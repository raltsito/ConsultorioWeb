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cioMc\Downloads\"/>
    </mc:Choice>
  </mc:AlternateContent>
  <xr:revisionPtr revIDLastSave="0" documentId="13_ncr:1_{0D84B75B-53C1-480E-AE2E-D3B48D8007EC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ATOS" sheetId="1" r:id="rId1"/>
    <sheet name="HAMILT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8" i="2" s="1"/>
  <c r="J6" i="2" l="1"/>
  <c r="E7" i="2"/>
</calcChain>
</file>

<file path=xl/sharedStrings.xml><?xml version="1.0" encoding="utf-8"?>
<sst xmlns="http://schemas.openxmlformats.org/spreadsheetml/2006/main" count="56" uniqueCount="43">
  <si>
    <t>ID|number-1</t>
  </si>
  <si>
    <t>Nombre completo|name-1</t>
  </si>
  <si>
    <t>hidden|hidden-1</t>
  </si>
  <si>
    <t>Sexo|select-1</t>
  </si>
  <si>
    <t>Edad|number-2</t>
  </si>
  <si>
    <t>1. Humor deprimido (Tristeza, melancolía, desesperanza, desamparo, inutilidad)|radio-1</t>
  </si>
  <si>
    <t>2. Sentimientos de culpa|radio-2</t>
  </si>
  <si>
    <t>3. Suicidio|radio-3</t>
  </si>
  <si>
    <t>4. Insomnio precoz|radio-4</t>
  </si>
  <si>
    <t>5. Insomnio intermedio|radio-5</t>
  </si>
  <si>
    <t>6. Insomnio tardío|radio-6</t>
  </si>
  <si>
    <t>7. Trabajo y actividades|radio-7</t>
  </si>
  <si>
    <t>8. Inhibición psicomotora (Lentitud de pensamiento y palabra, facultad de concentración disminuida, disminución de la actividad motora)|radio-8</t>
  </si>
  <si>
    <t>9. Agitación psicomotora|radio-9</t>
  </si>
  <si>
    <t>10. Ansiedad psíquica|radio-10</t>
  </si>
  <si>
    <t>11. Ansiedad somática (Signos físicos concomitantes de ansiedad tales como: Gastrointestinales: Sequedad de boca, diarrea, eructos, etc. Cardiovasculares: Palpitaciones, cefaleas. Respiratorios: Hiperventilación, suspiros. Frecuencia de micción incrementada, transpiración)|radio-11</t>
  </si>
  <si>
    <t>12. Síntomas somáticos gastrointestinales|radio-12</t>
  </si>
  <si>
    <t>13. Síntomas somáticos generales|radio-13</t>
  </si>
  <si>
    <t>14. Síntomas genitales (Tales como disminución, de la libido y trastornos menstruales)|radio-14</t>
  </si>
  <si>
    <t>15. Hipocondría|radio-15</t>
  </si>
  <si>
    <t>16. Pérdida de peso|radio-16</t>
  </si>
  <si>
    <t>17. Insight - Introspección (Conciencia de la enfermedad)|radio-17</t>
  </si>
  <si>
    <t>Puntuación|calculation-1</t>
  </si>
  <si>
    <t/>
  </si>
  <si>
    <t>Raúl Alvarado</t>
  </si>
  <si>
    <t>04/10/2024</t>
  </si>
  <si>
    <t>Masculino</t>
  </si>
  <si>
    <t>Luis Jesus Salazar Alvarez</t>
  </si>
  <si>
    <t>VALERIA LOPEZ mata</t>
  </si>
  <si>
    <t>05/05/2026</t>
  </si>
  <si>
    <t>Femenino</t>
  </si>
  <si>
    <t>0</t>
  </si>
  <si>
    <t>Datos Paciente - HAMILTON</t>
  </si>
  <si>
    <t>NOMBRE</t>
  </si>
  <si>
    <t>TOTAL</t>
  </si>
  <si>
    <t>NIVEL</t>
  </si>
  <si>
    <t>Nivel del PX</t>
  </si>
  <si>
    <t>Sin depresión</t>
  </si>
  <si>
    <t>Nivel del paciente</t>
  </si>
  <si>
    <t>Ligera / menor</t>
  </si>
  <si>
    <t>Moderada</t>
  </si>
  <si>
    <t>Grave</t>
  </si>
  <si>
    <t>Muy grave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</si>
</sst>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rgb="FFFFFFFF"/>
      <name val="Arial"/>
    </font>
    <font>
      <strike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5"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9900"/>
          <bgColor rgb="FFFF99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7.3670572916666732E-2"/>
          <c:y val="3.9641943734015347E-2"/>
          <c:w val="0.88382942708333334"/>
          <c:h val="0.7774936061381073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HAMILTON!$I$6</c:f>
              <c:strCache>
                <c:ptCount val="1"/>
                <c:pt idx="0">
                  <c:v>Nivel del PX</c:v>
                </c:pt>
              </c:strCache>
            </c:strRef>
          </c:tx>
          <c:spPr>
            <a:solidFill>
              <a:srgbClr val="4285F4"/>
            </a:solidFill>
            <a:ln w="38100" cmpd="sng">
              <a:noFill/>
              <a:prstDash val="sysDot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285F4">
                  <a:alpha val="0"/>
                </a:srgbClr>
              </a:solidFill>
              <a:ln w="38100" cmpd="sng">
                <a:noFill/>
                <a:prstDash val="sysDot"/>
              </a:ln>
            </c:spPr>
            <c:extLst>
              <c:ext xmlns:c16="http://schemas.microsoft.com/office/drawing/2014/chart" uri="{C3380CC4-5D6E-409C-BE32-E72D297353CC}">
                <c16:uniqueId val="{00000001-60CB-4249-8BEB-90422DC666A6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60CB-4249-8BEB-90422DC666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black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HAMILTON!$J$6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38100" cmpd="sng">
                    <a:noFill/>
                    <a:prstDash val="sysDot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0CB-4249-8BEB-90422DC666A6}"/>
            </c:ext>
          </c:extLst>
        </c:ser>
        <c:ser>
          <c:idx val="1"/>
          <c:order val="1"/>
          <c:tx>
            <c:v>Nivel nulo</c:v>
          </c:tx>
          <c:spPr>
            <a:solidFill>
              <a:srgbClr val="B6D7A8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6D7A8">
                  <a:alpha val="0"/>
                </a:srgbClr>
              </a:solidFill>
              <a:ln w="38100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60CB-4249-8BEB-90422DC666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HAMILTON!$J$7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0CB-4249-8BEB-90422DC666A6}"/>
            </c:ext>
          </c:extLst>
        </c:ser>
        <c:ser>
          <c:idx val="2"/>
          <c:order val="2"/>
          <c:tx>
            <c:v>Nivel ligero</c:v>
          </c:tx>
          <c:spPr>
            <a:solidFill>
              <a:srgbClr val="00FF00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FF00">
                  <a:alpha val="0"/>
                </a:srgbClr>
              </a:solidFill>
              <a:ln w="38100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8-60CB-4249-8BEB-90422DC666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HAMILTON!$J$8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60CB-4249-8BEB-90422DC666A6}"/>
            </c:ext>
          </c:extLst>
        </c:ser>
        <c:ser>
          <c:idx val="3"/>
          <c:order val="3"/>
          <c:tx>
            <c:v>Nivel moderado </c:v>
          </c:tx>
          <c:spPr>
            <a:solidFill>
              <a:srgbClr val="FFFF00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00">
                  <a:alpha val="0"/>
                </a:srgbClr>
              </a:solidFill>
              <a:ln w="38100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B-60CB-4249-8BEB-90422DC666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HAMILTON!$J$9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60CB-4249-8BEB-90422DC666A6}"/>
            </c:ext>
          </c:extLst>
        </c:ser>
        <c:ser>
          <c:idx val="4"/>
          <c:order val="4"/>
          <c:tx>
            <c:v>Nivel grave</c:v>
          </c:tx>
          <c:spPr>
            <a:solidFill>
              <a:srgbClr val="FF9900"/>
            </a:solidFill>
            <a:ln w="9525"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0000">
                  <a:alpha val="0"/>
                </a:srgbClr>
              </a:solidFill>
              <a:ln w="38100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E-60CB-4249-8BEB-90422DC666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black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HAMILTON!$J$10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60CB-4249-8BEB-90422DC666A6}"/>
            </c:ext>
          </c:extLst>
        </c:ser>
        <c:ser>
          <c:idx val="5"/>
          <c:order val="5"/>
          <c:tx>
            <c:strRef>
              <c:f>HAMILTON!$I$11</c:f>
              <c:strCache>
                <c:ptCount val="1"/>
                <c:pt idx="0">
                  <c:v>Muy grave</c:v>
                </c:pt>
              </c:strCache>
            </c:strRef>
          </c:tx>
          <c:spPr>
            <a:solidFill>
              <a:srgbClr val="FF0000"/>
            </a:solidFill>
            <a:ln w="19050"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0000">
                  <a:alpha val="0"/>
                </a:srgbClr>
              </a:solidFill>
              <a:ln w="38100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11-60CB-4249-8BEB-90422DC666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black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HAMILTON!$J$11</c:f>
              <c:numCache>
                <c:formatCode>General</c:formatCode>
                <c:ptCount val="1"/>
                <c:pt idx="0">
                  <c:v>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9050"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60CB-4249-8BEB-90422DC66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6704895"/>
        <c:axId val="591584997"/>
      </c:barChart>
      <c:catAx>
        <c:axId val="806704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1">
                    <a:solidFill>
                      <a:srgbClr val="000000"/>
                    </a:solidFill>
                    <a:latin typeface="Tahoma"/>
                  </a:defRPr>
                </a:pPr>
                <a:r>
                  <a:rPr lang="es-MX" sz="1400" b="1">
                    <a:solidFill>
                      <a:srgbClr val="000000"/>
                    </a:solidFill>
                    <a:latin typeface="Tahoma"/>
                  </a:rPr>
                  <a:t>Niveles de depresión</a:t>
                </a:r>
              </a:p>
            </c:rich>
          </c:tx>
          <c:layout>
            <c:manualLayout>
              <c:xMode val="edge"/>
              <c:yMode val="edge"/>
              <c:x val="7.5190329755572508E-2"/>
              <c:y val="0.9381583999295047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endParaRPr lang="es-MX"/>
          </a:p>
        </c:txPr>
        <c:crossAx val="591584997"/>
        <c:crosses val="autoZero"/>
        <c:auto val="1"/>
        <c:lblAlgn val="ctr"/>
        <c:lblOffset val="100"/>
        <c:noMultiLvlLbl val="1"/>
      </c:catAx>
      <c:valAx>
        <c:axId val="591584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endParaRPr lang="es-MX"/>
          </a:p>
        </c:txPr>
        <c:crossAx val="806704895"/>
        <c:crosses val="autoZero"/>
        <c:crossBetween val="between"/>
        <c:majorUnit val="10"/>
        <c:minorUnit val="5"/>
      </c:valAx>
    </c:plotArea>
    <c:legend>
      <c:legendPos val="b"/>
      <c:layout>
        <c:manualLayout>
          <c:xMode val="edge"/>
          <c:yMode val="edge"/>
          <c:x val="0.10688461721124624"/>
          <c:y val="0.8636352575923950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  <a:endParaRPr lang="es-MX"/>
        </a:p>
      </c:txPr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14</xdr:row>
      <xdr:rowOff>9525</xdr:rowOff>
    </xdr:from>
    <xdr:ext cx="6267450" cy="374332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ColWidth="12.6640625" defaultRowHeight="15.75" customHeight="1" x14ac:dyDescent="0.25"/>
  <cols>
    <col min="1" max="1" width="10.21875" customWidth="1"/>
    <col min="2" max="2" width="20.21875" customWidth="1"/>
    <col min="3" max="3" width="12.88671875" customWidth="1"/>
    <col min="4" max="4" width="11.109375" customWidth="1"/>
    <col min="5" max="5" width="12.44140625" customWidth="1"/>
    <col min="6" max="6" width="95.21875" customWidth="1"/>
    <col min="7" max="7" width="24.88671875" customWidth="1"/>
    <col min="8" max="8" width="14.21875" customWidth="1"/>
    <col min="9" max="9" width="20.77734375" customWidth="1"/>
    <col min="10" max="10" width="23.44140625" customWidth="1"/>
    <col min="11" max="11" width="20" customWidth="1"/>
    <col min="12" max="12" width="24.109375" customWidth="1"/>
    <col min="13" max="13" width="107" customWidth="1"/>
    <col min="14" max="14" width="24.88671875" customWidth="1"/>
    <col min="15" max="15" width="24" customWidth="1"/>
    <col min="16" max="16" width="211.109375" customWidth="1"/>
    <col min="17" max="17" width="38.77734375" customWidth="1"/>
    <col min="18" max="18" width="33.109375" customWidth="1"/>
    <col min="19" max="19" width="71.33203125" customWidth="1"/>
    <col min="20" max="20" width="19.21875" customWidth="1"/>
    <col min="21" max="21" width="22.44140625" customWidth="1"/>
    <col min="22" max="22" width="49.88671875" customWidth="1"/>
    <col min="23" max="23" width="19.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/>
      <c r="Z1" s="1"/>
    </row>
    <row r="2" spans="1:26" x14ac:dyDescent="0.25">
      <c r="A2" s="1" t="s">
        <v>23</v>
      </c>
      <c r="B2" s="1" t="s">
        <v>24</v>
      </c>
      <c r="C2" s="2" t="s">
        <v>25</v>
      </c>
      <c r="D2" s="1" t="s">
        <v>26</v>
      </c>
      <c r="E2" s="1">
        <v>25</v>
      </c>
      <c r="F2" s="1">
        <v>2</v>
      </c>
      <c r="G2" s="1">
        <v>1</v>
      </c>
      <c r="H2" s="1">
        <v>3</v>
      </c>
      <c r="I2" s="1">
        <v>1</v>
      </c>
      <c r="J2" s="1">
        <v>1</v>
      </c>
      <c r="K2" s="1">
        <v>2</v>
      </c>
      <c r="L2" s="1">
        <v>0</v>
      </c>
      <c r="M2" s="1">
        <v>0</v>
      </c>
      <c r="N2" s="1">
        <v>0</v>
      </c>
      <c r="O2" s="1">
        <v>2</v>
      </c>
      <c r="P2" s="1">
        <v>3</v>
      </c>
      <c r="Q2" s="1">
        <v>2</v>
      </c>
      <c r="R2" s="1">
        <v>1</v>
      </c>
      <c r="S2" s="1">
        <v>2</v>
      </c>
      <c r="T2" s="1">
        <v>3</v>
      </c>
      <c r="U2" s="1">
        <v>1</v>
      </c>
      <c r="V2" s="1">
        <v>2</v>
      </c>
      <c r="W2" s="1">
        <v>26</v>
      </c>
      <c r="X2" s="1"/>
      <c r="Y2" s="1"/>
      <c r="Z2" s="1"/>
    </row>
    <row r="3" spans="1:26" x14ac:dyDescent="0.25">
      <c r="A3" s="1" t="s">
        <v>23</v>
      </c>
      <c r="B3" s="1" t="s">
        <v>27</v>
      </c>
      <c r="C3" s="2" t="s">
        <v>25</v>
      </c>
      <c r="D3" s="1" t="s">
        <v>26</v>
      </c>
      <c r="E3" s="1">
        <v>24</v>
      </c>
      <c r="F3" s="1">
        <v>3</v>
      </c>
      <c r="G3" s="1">
        <v>2</v>
      </c>
      <c r="H3" s="1">
        <v>0</v>
      </c>
      <c r="I3" s="1">
        <v>1</v>
      </c>
      <c r="J3" s="1">
        <v>1</v>
      </c>
      <c r="K3" s="1">
        <v>1</v>
      </c>
      <c r="L3" s="1">
        <v>2</v>
      </c>
      <c r="M3" s="1">
        <v>2</v>
      </c>
      <c r="N3" s="1">
        <v>2</v>
      </c>
      <c r="O3" s="1">
        <v>4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0</v>
      </c>
      <c r="V3" s="1">
        <v>1</v>
      </c>
      <c r="W3" s="1">
        <v>24</v>
      </c>
      <c r="X3" s="1"/>
      <c r="Y3" s="1"/>
      <c r="Z3" s="1"/>
    </row>
    <row r="4" spans="1:26" x14ac:dyDescent="0.25">
      <c r="A4" s="1" t="s">
        <v>23</v>
      </c>
      <c r="B4" s="1" t="s">
        <v>28</v>
      </c>
      <c r="C4" s="2" t="s">
        <v>29</v>
      </c>
      <c r="D4" s="1" t="s">
        <v>30</v>
      </c>
      <c r="E4" s="1">
        <v>20</v>
      </c>
      <c r="F4" s="1">
        <v>1</v>
      </c>
      <c r="G4" s="2" t="s">
        <v>31</v>
      </c>
      <c r="H4" s="1">
        <v>1</v>
      </c>
      <c r="I4" s="1">
        <v>2</v>
      </c>
      <c r="J4" s="1">
        <v>2</v>
      </c>
      <c r="K4" s="1">
        <v>1</v>
      </c>
      <c r="L4" s="1">
        <v>2</v>
      </c>
      <c r="M4" s="2" t="s">
        <v>31</v>
      </c>
      <c r="N4" s="1">
        <v>3</v>
      </c>
      <c r="O4" s="1">
        <v>4</v>
      </c>
      <c r="P4" s="2" t="s">
        <v>31</v>
      </c>
      <c r="Q4" s="1">
        <v>1</v>
      </c>
      <c r="R4" s="1">
        <v>2</v>
      </c>
      <c r="S4" s="1">
        <v>1</v>
      </c>
      <c r="T4" s="1">
        <v>2</v>
      </c>
      <c r="U4" s="1">
        <v>2</v>
      </c>
      <c r="V4" s="2" t="s">
        <v>31</v>
      </c>
      <c r="W4" s="1">
        <v>24</v>
      </c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35"/>
  <sheetViews>
    <sheetView showGridLines="0" workbookViewId="0">
      <selection activeCell="N13" sqref="N13"/>
    </sheetView>
  </sheetViews>
  <sheetFormatPr baseColWidth="10" defaultColWidth="12.6640625" defaultRowHeight="15.75" customHeight="1" x14ac:dyDescent="0.25"/>
  <cols>
    <col min="1" max="1" width="3.33203125" customWidth="1"/>
    <col min="3" max="3" width="19.44140625" customWidth="1"/>
    <col min="8" max="8" width="3.33203125" customWidth="1"/>
    <col min="9" max="9" width="44.21875" hidden="1" customWidth="1"/>
    <col min="10" max="10" width="12.6640625" hidden="1"/>
  </cols>
  <sheetData>
    <row r="1" spans="1:10" x14ac:dyDescent="0.25">
      <c r="A1" s="3"/>
      <c r="B1" s="4"/>
      <c r="C1" s="4"/>
      <c r="D1" s="4"/>
      <c r="E1" s="4"/>
      <c r="F1" s="4"/>
      <c r="G1" s="4"/>
      <c r="H1" s="3"/>
      <c r="I1" s="3"/>
      <c r="J1" s="3"/>
    </row>
    <row r="2" spans="1:10" x14ac:dyDescent="0.25">
      <c r="A2" s="3"/>
      <c r="B2" s="14" t="s">
        <v>32</v>
      </c>
      <c r="C2" s="12"/>
      <c r="D2" s="12"/>
      <c r="E2" s="12"/>
      <c r="F2" s="12"/>
      <c r="G2" s="13"/>
      <c r="H2" s="3"/>
      <c r="I2" s="3"/>
      <c r="J2" s="3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/>
      <c r="B4" s="5" t="s">
        <v>33</v>
      </c>
      <c r="C4" s="15" t="s">
        <v>27</v>
      </c>
      <c r="D4" s="16"/>
      <c r="E4" s="16"/>
      <c r="F4" s="16"/>
      <c r="G4" s="16"/>
      <c r="H4" s="3"/>
      <c r="I4" s="3"/>
      <c r="J4" s="3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/>
      <c r="B6" s="11" t="s">
        <v>34</v>
      </c>
      <c r="C6" s="12"/>
      <c r="D6" s="13"/>
      <c r="E6" s="11" t="s">
        <v>35</v>
      </c>
      <c r="F6" s="12"/>
      <c r="G6" s="13"/>
      <c r="H6" s="3"/>
      <c r="I6" s="6" t="s">
        <v>36</v>
      </c>
      <c r="J6" s="7">
        <f>B7</f>
        <v>24</v>
      </c>
    </row>
    <row r="7" spans="1:10" x14ac:dyDescent="0.25">
      <c r="A7" s="3"/>
      <c r="B7" s="11">
        <f>IFERROR(VLOOKUP($C$4,DATOS!B2:W35,22,FALSE),"-")</f>
        <v>24</v>
      </c>
      <c r="C7" s="12"/>
      <c r="D7" s="13"/>
      <c r="E7" s="17" t="str">
        <f>IF(B7&lt;=7, D9, IF(B7&lt;=13, D10, IF(B7&lt;=18, D11, IF(B7&lt;=22, D12, IF(B7&lt;=51, D13, D13)))))</f>
        <v>Muy grave</v>
      </c>
      <c r="F7" s="12"/>
      <c r="G7" s="13"/>
      <c r="H7" s="3"/>
      <c r="I7" s="7" t="s">
        <v>37</v>
      </c>
      <c r="J7" s="7">
        <v>7</v>
      </c>
    </row>
    <row r="8" spans="1:10" x14ac:dyDescent="0.25">
      <c r="A8" s="8"/>
      <c r="B8" s="9"/>
      <c r="C8" s="10">
        <f>B7</f>
        <v>24</v>
      </c>
      <c r="D8" s="18" t="s">
        <v>38</v>
      </c>
      <c r="E8" s="19"/>
      <c r="F8" s="19"/>
      <c r="G8" s="19"/>
      <c r="H8" s="8"/>
      <c r="I8" s="7" t="s">
        <v>39</v>
      </c>
      <c r="J8" s="7">
        <v>13</v>
      </c>
    </row>
    <row r="9" spans="1:10" x14ac:dyDescent="0.25">
      <c r="A9" s="3"/>
      <c r="B9" s="5">
        <v>0</v>
      </c>
      <c r="C9" s="5">
        <v>7</v>
      </c>
      <c r="D9" s="11" t="s">
        <v>37</v>
      </c>
      <c r="E9" s="12"/>
      <c r="F9" s="12"/>
      <c r="G9" s="13"/>
      <c r="H9" s="3"/>
      <c r="I9" s="7" t="s">
        <v>40</v>
      </c>
      <c r="J9" s="7">
        <v>18</v>
      </c>
    </row>
    <row r="10" spans="1:10" x14ac:dyDescent="0.25">
      <c r="A10" s="3"/>
      <c r="B10" s="5">
        <v>8</v>
      </c>
      <c r="C10" s="5">
        <v>13</v>
      </c>
      <c r="D10" s="11" t="s">
        <v>39</v>
      </c>
      <c r="E10" s="12"/>
      <c r="F10" s="12"/>
      <c r="G10" s="13"/>
      <c r="H10" s="3"/>
      <c r="I10" s="7" t="s">
        <v>41</v>
      </c>
      <c r="J10" s="7">
        <v>22</v>
      </c>
    </row>
    <row r="11" spans="1:10" x14ac:dyDescent="0.25">
      <c r="A11" s="3"/>
      <c r="B11" s="5">
        <v>14</v>
      </c>
      <c r="C11" s="5">
        <v>18</v>
      </c>
      <c r="D11" s="11" t="s">
        <v>40</v>
      </c>
      <c r="E11" s="12"/>
      <c r="F11" s="12"/>
      <c r="G11" s="13"/>
      <c r="H11" s="3"/>
      <c r="I11" s="7" t="s">
        <v>42</v>
      </c>
      <c r="J11" s="7">
        <v>51</v>
      </c>
    </row>
    <row r="12" spans="1:10" x14ac:dyDescent="0.25">
      <c r="A12" s="3"/>
      <c r="B12" s="5">
        <v>19</v>
      </c>
      <c r="C12" s="5">
        <v>22</v>
      </c>
      <c r="D12" s="11" t="s">
        <v>41</v>
      </c>
      <c r="E12" s="12"/>
      <c r="F12" s="12"/>
      <c r="G12" s="13"/>
      <c r="H12" s="3"/>
      <c r="I12" s="3"/>
      <c r="J12" s="3"/>
    </row>
    <row r="13" spans="1:10" x14ac:dyDescent="0.25">
      <c r="A13" s="3"/>
      <c r="B13" s="5">
        <v>23</v>
      </c>
      <c r="C13" s="5">
        <v>51</v>
      </c>
      <c r="D13" s="11" t="s">
        <v>42</v>
      </c>
      <c r="E13" s="12"/>
      <c r="F13" s="12"/>
      <c r="G13" s="13"/>
      <c r="H13" s="3"/>
      <c r="I13" s="3"/>
      <c r="J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</sheetData>
  <mergeCells count="12">
    <mergeCell ref="D8:G8"/>
    <mergeCell ref="B2:G2"/>
    <mergeCell ref="C4:G4"/>
    <mergeCell ref="B6:D6"/>
    <mergeCell ref="E6:G6"/>
    <mergeCell ref="B7:D7"/>
    <mergeCell ref="E7:G7"/>
    <mergeCell ref="D9:G9"/>
    <mergeCell ref="D10:G10"/>
    <mergeCell ref="D11:G11"/>
    <mergeCell ref="D12:G12"/>
    <mergeCell ref="D13:G13"/>
  </mergeCells>
  <conditionalFormatting sqref="E7:G7">
    <cfRule type="cellIs" dxfId="4" priority="1" operator="equal">
      <formula>"Sin depresión"</formula>
    </cfRule>
    <cfRule type="cellIs" dxfId="3" priority="2" operator="equal">
      <formula>"Ligera / menor"</formula>
    </cfRule>
    <cfRule type="cellIs" dxfId="2" priority="3" operator="equal">
      <formula>"Moderada"</formula>
    </cfRule>
    <cfRule type="cellIs" dxfId="1" priority="4" operator="equal">
      <formula>"Grave"</formula>
    </cfRule>
    <cfRule type="cellIs" dxfId="0" priority="5" operator="equal">
      <formula>"Muy grave"</formula>
    </cfRule>
  </conditionalFormatting>
  <printOptions horizontalCentered="1" gridLines="1"/>
  <pageMargins left="0.7" right="0.7" top="0.75" bottom="0.75" header="0" footer="0"/>
  <pageSetup fitToHeight="0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DATOS!$B$2:$B35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HAMILTON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Rocio Medina</cp:lastModifiedBy>
  <dcterms:modified xsi:type="dcterms:W3CDTF">2026-06-22T17:38:15Z</dcterms:modified>
</cp:coreProperties>
</file>