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OS" sheetId="1" r:id="rId5"/>
    <sheet state="visible" name="DASHBOARD" sheetId="2" r:id="rId6"/>
  </sheets>
  <definedNames/>
  <calcPr/>
</workbook>
</file>

<file path=xl/sharedStrings.xml><?xml version="1.0" encoding="utf-8"?>
<sst xmlns="http://schemas.openxmlformats.org/spreadsheetml/2006/main" count="1315" uniqueCount="183">
  <si>
    <t>ID|number-1</t>
  </si>
  <si>
    <t>Nombre completo|name-1</t>
  </si>
  <si>
    <t>Sexo|select-1</t>
  </si>
  <si>
    <t>Edad|number-2</t>
  </si>
  <si>
    <t>Fecha de realización|date-1</t>
  </si>
  <si>
    <t>Hora de realización|time-1</t>
  </si>
  <si>
    <t>Manejo de finanzas familiares|radio-1</t>
  </si>
  <si>
    <t>Diversiones|radio-2</t>
  </si>
  <si>
    <t>Cuestiones religiosas|radio-3</t>
  </si>
  <si>
    <t>Demostración de afecto|radio-4</t>
  </si>
  <si>
    <t>Amistades|radio-5</t>
  </si>
  <si>
    <t>Relaciones sexuales|radio-6</t>
  </si>
  <si>
    <t>Convencionalismos (¿Qué es lo correcto o lo incorrecto?)|radio-7</t>
  </si>
  <si>
    <t>Filosofía de la vida|radio-8</t>
  </si>
  <si>
    <t>Relaciones con suegros|radio-9</t>
  </si>
  <si>
    <t>Objetivos, fines, valores|radio-10</t>
  </si>
  <si>
    <t>Cantidad de tiempo a pasar juntos|radio-11</t>
  </si>
  <si>
    <t>Toma de decisiones importantes|radio-12</t>
  </si>
  <si>
    <t>Tareas domésticas|radio-13</t>
  </si>
  <si>
    <t>Intereses y actividades a realizar durante el ocio|radio-14</t>
  </si>
  <si>
    <t>Decisiones en relación con el trabajo|radio-15</t>
  </si>
  <si>
    <t>¿Con que frecuencia has pensado en el divorcio o en la separación?|radio-16</t>
  </si>
  <si>
    <t>¿Con que frecuencia te vas de casa tras una pelea?|radio-17</t>
  </si>
  <si>
    <t>¿Con que frecuencia piensas que las cosas les van bien como pareja?|radio-18</t>
  </si>
  <si>
    <t>¿Confías en tu pareja?|radio-19</t>
  </si>
  <si>
    <t>¿Lamentas el haberte casado?|radio-20</t>
  </si>
  <si>
    <t>¿Con que frecuencia reñis?|radio-21</t>
  </si>
  <si>
    <t>¿Con que frecuencia hacen que el otro pierda los estribos?|radio-22</t>
  </si>
  <si>
    <t>¿Besas a tu pareja?|radio-23</t>
  </si>
  <si>
    <t>¿Participan juntos en actividades fuera de la pareja?|radio-24</t>
  </si>
  <si>
    <t>Intercambian ideas estimulantes|radio-25</t>
  </si>
  <si>
    <t>Ríen juntos|radio-26</t>
  </si>
  <si>
    <t>Discuten algo con calma|radio-27</t>
  </si>
  <si>
    <t>Trabajan juntos en un proyecto|radio-28</t>
  </si>
  <si>
    <t>Estar demasiado cansado/a para hacer el amor|radio-29</t>
  </si>
  <si>
    <t>Ausencia de demostraciones afectivas|radio-30</t>
  </si>
  <si>
    <t>Los puntos de abajo representan grados diferentes de satisfacción con su relación. Suponiendo que el punto marcado con la palabra "Satisfecho" refleja el grado de satisfación obtenido por la mayoria de las parejas, selecciona el punto que mejor refleje tu propio grado de satisfacción|radio-31</t>
  </si>
  <si>
    <t>De las formas que siguen ¿Cuál refleja mejor tu forma de ver el futuro de tu relación?|radio-32</t>
  </si>
  <si>
    <t>Concenso|calculation-1</t>
  </si>
  <si>
    <t>Satisfacción|calculation-2</t>
  </si>
  <si>
    <t>Cohesión|calculation-3</t>
  </si>
  <si>
    <t>Afecto|calculation-4</t>
  </si>
  <si>
    <t>Conceso %|calculation-5</t>
  </si>
  <si>
    <t>Satisfacción %|calculation-6</t>
  </si>
  <si>
    <t>Cohesión %|calculation-7</t>
  </si>
  <si>
    <t>Afecto %|calculation-8</t>
  </si>
  <si>
    <t>José Francisco Salazar Álvarez</t>
  </si>
  <si>
    <t>Masculino</t>
  </si>
  <si>
    <t>13-12-2023</t>
  </si>
  <si>
    <t xml:space="preserve">09:00 </t>
  </si>
  <si>
    <t>Desacuerdo-frecuente</t>
  </si>
  <si>
    <t>Desacuerdo-ocasional</t>
  </si>
  <si>
    <t>Casi-siempre-de-acuerdo</t>
  </si>
  <si>
    <t>Ocasionalmente</t>
  </si>
  <si>
    <t>Raramente</t>
  </si>
  <si>
    <t>Casi-siempre</t>
  </si>
  <si>
    <t>A-menudo</t>
  </si>
  <si>
    <t>Casi-todos-los-días</t>
  </si>
  <si>
    <t>Pocas</t>
  </si>
  <si>
    <t>Menos-de-una-vez-al-mes</t>
  </si>
  <si>
    <t>Más-a-menudo</t>
  </si>
  <si>
    <t>Una-o-dos-veces-por-semana</t>
  </si>
  <si>
    <t>Si</t>
  </si>
  <si>
    <t>Satisfecho</t>
  </si>
  <si>
    <t>Tania libertad león Soria</t>
  </si>
  <si>
    <t>Femenino</t>
  </si>
  <si>
    <t>21-12-2023</t>
  </si>
  <si>
    <t xml:space="preserve">14:00 </t>
  </si>
  <si>
    <t>Siempre-de-acuerdo</t>
  </si>
  <si>
    <t>Siempre-en-desacuerdo</t>
  </si>
  <si>
    <t>Casi-siempre-en-desacuerdo</t>
  </si>
  <si>
    <t>En-todas</t>
  </si>
  <si>
    <t>Una-vez-al-día</t>
  </si>
  <si>
    <t>Un-poco-insatisfecho</t>
  </si>
  <si>
    <t/>
  </si>
  <si>
    <t>Elena Palomares Resendiz</t>
  </si>
  <si>
    <t>09-05-2024</t>
  </si>
  <si>
    <t xml:space="preserve">05:30 </t>
  </si>
  <si>
    <t>Nunca</t>
  </si>
  <si>
    <t>Todos-los-días</t>
  </si>
  <si>
    <t>Ninguna</t>
  </si>
  <si>
    <t>Muy-insatisfecho</t>
  </si>
  <si>
    <t>Noe Javier ramirez castorena</t>
  </si>
  <si>
    <t xml:space="preserve">06:30 </t>
  </si>
  <si>
    <t>Siempre</t>
  </si>
  <si>
    <t>Una-o-dos-veces-al-mes</t>
  </si>
  <si>
    <t>Muy-satisfecho</t>
  </si>
  <si>
    <t>Yuvisela Elizabeth Gutiérrez Gámez</t>
  </si>
  <si>
    <t>24-05-2024</t>
  </si>
  <si>
    <t xml:space="preserve">11:15 </t>
  </si>
  <si>
    <t>No</t>
  </si>
  <si>
    <t>Carlos Lara Gomez</t>
  </si>
  <si>
    <t>26-05-2024</t>
  </si>
  <si>
    <t>Bastante-insatisfecho</t>
  </si>
  <si>
    <t>Paola Lizbeth Castañeda Araiza</t>
  </si>
  <si>
    <t>28-06-2024</t>
  </si>
  <si>
    <t xml:space="preserve">13:30 </t>
  </si>
  <si>
    <t>Casi-todas</t>
  </si>
  <si>
    <t>Extremadamente-satisfecho</t>
  </si>
  <si>
    <t>Yuvisela Rodríguez López</t>
  </si>
  <si>
    <t>13-07-2024</t>
  </si>
  <si>
    <t>Adriana Elizabeth Muñiz Lira</t>
  </si>
  <si>
    <t xml:space="preserve">11:45 </t>
  </si>
  <si>
    <t>Mayra Karina Rocha Medina</t>
  </si>
  <si>
    <t>14-07-2024</t>
  </si>
  <si>
    <t xml:space="preserve">02:30 </t>
  </si>
  <si>
    <t>Arturo Alejandro Ramírez Lopez</t>
  </si>
  <si>
    <t>15-07-2024</t>
  </si>
  <si>
    <t xml:space="preserve">04:30 </t>
  </si>
  <si>
    <t>Algunas</t>
  </si>
  <si>
    <t>José Alexis Ramírez Bocanegra</t>
  </si>
  <si>
    <t>17-07-2024</t>
  </si>
  <si>
    <t xml:space="preserve">12:30 </t>
  </si>
  <si>
    <t>Cynthia Emireth Galaviz Carrillo</t>
  </si>
  <si>
    <t>22-07-2024</t>
  </si>
  <si>
    <t xml:space="preserve">02:00 </t>
  </si>
  <si>
    <t>Hugo Alonso Lara Rico</t>
  </si>
  <si>
    <t xml:space="preserve">07:45 </t>
  </si>
  <si>
    <t>Gerardo Antonio Herrera Esquivel</t>
  </si>
  <si>
    <t>26-07-2024</t>
  </si>
  <si>
    <t xml:space="preserve">10:15 </t>
  </si>
  <si>
    <t>Guadalupe higuera carrillo</t>
  </si>
  <si>
    <t>07-08-2024</t>
  </si>
  <si>
    <t xml:space="preserve">04:45 </t>
  </si>
  <si>
    <t>Osvaldo Luna Lopez</t>
  </si>
  <si>
    <t>08-08-2024</t>
  </si>
  <si>
    <t xml:space="preserve">15:00 </t>
  </si>
  <si>
    <t>Blanca Margarita Pérez Monsiváis</t>
  </si>
  <si>
    <t>12-08-2024</t>
  </si>
  <si>
    <t xml:space="preserve">05:15 </t>
  </si>
  <si>
    <t>Omar Sánchez Noguez</t>
  </si>
  <si>
    <t>17-08-2024</t>
  </si>
  <si>
    <t xml:space="preserve">02:15 </t>
  </si>
  <si>
    <t>Dalia Guadalupe Monroy Cervantes</t>
  </si>
  <si>
    <t xml:space="preserve">14:30 </t>
  </si>
  <si>
    <t>Anabel Hernández Cortes</t>
  </si>
  <si>
    <t>19-08-2024</t>
  </si>
  <si>
    <t>Christopher Hernandez Riojas</t>
  </si>
  <si>
    <t>21-08-2024</t>
  </si>
  <si>
    <t xml:space="preserve">12:00 </t>
  </si>
  <si>
    <t>Antonio Asuraby Mota Saucedo</t>
  </si>
  <si>
    <t>02-09-2024</t>
  </si>
  <si>
    <t xml:space="preserve">09:30 </t>
  </si>
  <si>
    <t>ANA KARINA MARQUEZ MEDINA</t>
  </si>
  <si>
    <t>05-09-2024</t>
  </si>
  <si>
    <t>Nubia Guadalupe Espinoza Mendez</t>
  </si>
  <si>
    <t>16-09-2024</t>
  </si>
  <si>
    <t xml:space="preserve">12:15 </t>
  </si>
  <si>
    <t>EZEQUIEL MARTINEZ GUEVARA</t>
  </si>
  <si>
    <t>21-09-2024</t>
  </si>
  <si>
    <t xml:space="preserve">02:45 </t>
  </si>
  <si>
    <t>Karla Nallely Medellin de la cruz</t>
  </si>
  <si>
    <t>24-09-2024</t>
  </si>
  <si>
    <t>Jesús Francisco Alvarado cedillo</t>
  </si>
  <si>
    <t>07-10-2024</t>
  </si>
  <si>
    <t xml:space="preserve">18:00 </t>
  </si>
  <si>
    <t>Wendy Yanett Lopez Coronado</t>
  </si>
  <si>
    <t xml:space="preserve">10:00 </t>
  </si>
  <si>
    <t>José Abel reyes Navarro</t>
  </si>
  <si>
    <t>19-12-2024</t>
  </si>
  <si>
    <t xml:space="preserve">16:15 </t>
  </si>
  <si>
    <t>Karina Alejandra Figueroa Rueda</t>
  </si>
  <si>
    <t>20-12-2024</t>
  </si>
  <si>
    <t xml:space="preserve">21:45 </t>
  </si>
  <si>
    <t>31-01-2025</t>
  </si>
  <si>
    <t xml:space="preserve">07:15 </t>
  </si>
  <si>
    <t>04-08-1989</t>
  </si>
  <si>
    <t xml:space="preserve">18:45 </t>
  </si>
  <si>
    <t>Félix Baena Guerrero</t>
  </si>
  <si>
    <t>21-03-2025</t>
  </si>
  <si>
    <t xml:space="preserve">17:45 </t>
  </si>
  <si>
    <t>Emmanuel Rodríguez Núñez</t>
  </si>
  <si>
    <t>14-04-2026</t>
  </si>
  <si>
    <t>ESCALA DE AJUSTE DIÁDICO</t>
  </si>
  <si>
    <t>NOMBRE</t>
  </si>
  <si>
    <t>TOTAL</t>
  </si>
  <si>
    <t>%</t>
  </si>
  <si>
    <t>Nivel del paciente</t>
  </si>
  <si>
    <t>Concenso</t>
  </si>
  <si>
    <t>Satisfacción</t>
  </si>
  <si>
    <t>Cohesión</t>
  </si>
  <si>
    <t>Afecto</t>
  </si>
  <si>
    <r>
      <rPr>
        <rFont val="Arial"/>
        <b/>
        <color theme="1"/>
      </rPr>
      <t>Descripción: Además de dar una puntuación de ajuste global, evalúa cuatro dimensiones de la relación:</t>
    </r>
    <r>
      <rPr>
        <rFont val="Arial"/>
        <color theme="1"/>
      </rPr>
      <t xml:space="preserve">
</t>
    </r>
    <r>
      <rPr>
        <rFont val="Arial"/>
        <b/>
        <color theme="1"/>
      </rPr>
      <t>Consenso</t>
    </r>
    <r>
      <rPr>
        <rFont val="Arial"/>
        <color theme="1"/>
      </rPr>
      <t xml:space="preserve">: Grado de acuerdo entre la pareja, en aspectos impoftantes de la relación.
</t>
    </r>
    <r>
      <rPr>
        <rFont val="Arial"/>
        <b/>
        <color theme="1"/>
      </rPr>
      <t>Cohesión</t>
    </r>
    <r>
      <rPr>
        <rFont val="Arial"/>
        <color theme="1"/>
      </rPr>
      <t xml:space="preserve">: Grado en que la pareja se implica en actividades conjuntas.
</t>
    </r>
    <r>
      <rPr>
        <rFont val="Arial"/>
        <b/>
        <color theme="1"/>
      </rPr>
      <t>Satisfacción</t>
    </r>
    <r>
      <rPr>
        <rFont val="Arial"/>
        <color theme="1"/>
      </rPr>
      <t xml:space="preserve">: Grado de satisfacción de la pareja en relación a su momento presente y su grado de compromiso a continuar con dicha relación.
</t>
    </r>
    <r>
      <rPr>
        <rFont val="Arial"/>
        <b/>
        <color theme="1"/>
      </rPr>
      <t>Afecto</t>
    </r>
    <r>
      <rPr>
        <rFont val="Arial"/>
        <color theme="1"/>
      </rPr>
      <t>: Grado en que la pareja está satisfecha con la expresión del afecto dentro de la relación y con la satisfacción que deriva de la relación sexual.</t>
    </r>
  </si>
</sst>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scheme val="minor"/>
    </font>
    <font>
      <b/>
      <color theme="1"/>
      <name val="Arial"/>
      <scheme val="minor"/>
    </font>
    <font>
      <color theme="1"/>
      <name val="Arial"/>
    </font>
    <font>
      <b/>
      <color theme="1"/>
      <name val="Arial"/>
    </font>
    <font/>
    <font>
      <color rgb="FFFFFFFF"/>
      <name val="Arial"/>
    </font>
    <font>
      <strike/>
      <sz val="6.0"/>
      <color rgb="FFFFFFFF"/>
      <name val="Arial"/>
    </font>
    <font>
      <sz val="6.0"/>
      <color rgb="FFFFFFFF"/>
      <name val="Arial"/>
    </font>
  </fonts>
  <fills count="9">
    <fill>
      <patternFill patternType="none"/>
    </fill>
    <fill>
      <patternFill patternType="lightGray"/>
    </fill>
    <fill>
      <patternFill patternType="solid">
        <fgColor rgb="FFC4CDDB"/>
        <bgColor rgb="FFC4CDDB"/>
      </patternFill>
    </fill>
    <fill>
      <patternFill patternType="solid">
        <fgColor rgb="FFA5AEBC"/>
        <bgColor rgb="FFA5AEBC"/>
      </patternFill>
    </fill>
    <fill>
      <patternFill patternType="solid">
        <fgColor rgb="FFC0C0C0"/>
        <bgColor rgb="FFC0C0C0"/>
      </patternFill>
    </fill>
    <fill>
      <patternFill patternType="solid">
        <fgColor rgb="FFB7B7B7"/>
        <bgColor rgb="FFB7B7B7"/>
      </patternFill>
    </fill>
    <fill>
      <patternFill patternType="solid">
        <fgColor rgb="FFD9D9D9"/>
        <bgColor rgb="FFD9D9D9"/>
      </patternFill>
    </fill>
    <fill>
      <patternFill patternType="solid">
        <fgColor rgb="FFEFEFEF"/>
        <bgColor rgb="FFEFEFEF"/>
      </patternFill>
    </fill>
    <fill>
      <patternFill patternType="solid">
        <fgColor rgb="FFFFFFFF"/>
        <bgColor rgb="FFFFFFFF"/>
      </patternFill>
    </fill>
  </fills>
  <borders count="7">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0" xfId="0" applyAlignment="1" applyFont="1">
      <alignment horizontal="center" readingOrder="0"/>
    </xf>
    <xf borderId="0" fillId="2" fontId="2" numFmtId="0" xfId="0" applyAlignment="1" applyFill="1" applyFont="1">
      <alignment horizontal="center" readingOrder="0"/>
    </xf>
    <xf borderId="0" fillId="3" fontId="2" numFmtId="0" xfId="0" applyAlignment="1" applyFill="1" applyFont="1">
      <alignment horizontal="center" readingOrder="0"/>
    </xf>
    <xf borderId="0" fillId="0" fontId="1" numFmtId="0" xfId="0" applyAlignment="1" applyFont="1">
      <alignment horizontal="center" readingOrder="0"/>
    </xf>
    <xf quotePrefix="1" borderId="0" fillId="0" fontId="1" numFmtId="0" xfId="0" applyAlignment="1" applyFont="1">
      <alignment horizontal="center" readingOrder="0"/>
    </xf>
    <xf borderId="0" fillId="2" fontId="2" numFmtId="0" xfId="0" applyAlignment="1" applyFont="1">
      <alignment horizontal="center" readingOrder="0"/>
    </xf>
    <xf borderId="0" fillId="3" fontId="2" numFmtId="0" xfId="0" applyAlignment="1" applyFont="1">
      <alignment horizontal="center" readingOrder="0"/>
    </xf>
    <xf borderId="0" fillId="0" fontId="1" numFmtId="0" xfId="0" applyAlignment="1" applyFont="1">
      <alignment horizontal="center"/>
    </xf>
    <xf borderId="0" fillId="2" fontId="2" numFmtId="0" xfId="0" applyAlignment="1" applyFont="1">
      <alignment horizontal="center"/>
    </xf>
    <xf borderId="0" fillId="3" fontId="2" numFmtId="0" xfId="0" applyAlignment="1" applyFont="1">
      <alignment horizontal="center"/>
    </xf>
    <xf borderId="0" fillId="0" fontId="3" numFmtId="0" xfId="0" applyAlignment="1" applyFont="1">
      <alignment vertical="bottom"/>
    </xf>
    <xf borderId="1" fillId="0" fontId="3" numFmtId="0" xfId="0" applyAlignment="1" applyBorder="1" applyFont="1">
      <alignment vertical="bottom"/>
    </xf>
    <xf borderId="2" fillId="4" fontId="4" numFmtId="0" xfId="0" applyAlignment="1" applyBorder="1" applyFill="1" applyFont="1">
      <alignment horizontal="center" readingOrder="0" vertical="bottom"/>
    </xf>
    <xf borderId="3" fillId="0" fontId="5" numFmtId="0" xfId="0" applyBorder="1" applyFont="1"/>
    <xf borderId="4" fillId="0" fontId="5" numFmtId="0" xfId="0" applyBorder="1" applyFont="1"/>
    <xf borderId="0" fillId="5" fontId="4" numFmtId="0" xfId="0" applyAlignment="1" applyFill="1" applyFont="1">
      <alignment horizontal="center" readingOrder="0" vertical="bottom"/>
    </xf>
    <xf borderId="0" fillId="6" fontId="4" numFmtId="0" xfId="0" applyAlignment="1" applyFill="1" applyFont="1">
      <alignment horizontal="center" readingOrder="0" vertical="bottom"/>
    </xf>
    <xf borderId="0" fillId="4" fontId="4" numFmtId="0" xfId="0" applyAlignment="1" applyFont="1">
      <alignment horizontal="center" vertical="bottom"/>
    </xf>
    <xf borderId="0" fillId="4" fontId="4" numFmtId="0" xfId="0" applyAlignment="1" applyFont="1">
      <alignment horizontal="center" readingOrder="0" vertical="bottom"/>
    </xf>
    <xf borderId="2" fillId="7" fontId="4" numFmtId="0" xfId="0" applyAlignment="1" applyBorder="1" applyFill="1" applyFont="1">
      <alignment horizontal="center" vertical="bottom"/>
    </xf>
    <xf borderId="2" fillId="7" fontId="4" numFmtId="2" xfId="0" applyAlignment="1" applyBorder="1" applyFont="1" applyNumberFormat="1">
      <alignment horizontal="center" vertical="bottom"/>
    </xf>
    <xf borderId="0" fillId="0" fontId="6" numFmtId="0" xfId="0" applyAlignment="1" applyFont="1">
      <alignment horizontal="center" vertical="bottom"/>
    </xf>
    <xf borderId="1" fillId="0" fontId="6" numFmtId="0" xfId="0" applyAlignment="1" applyBorder="1" applyFont="1">
      <alignment horizontal="center" vertical="bottom"/>
    </xf>
    <xf borderId="1" fillId="0" fontId="7" numFmtId="0" xfId="0" applyAlignment="1" applyBorder="1" applyFont="1">
      <alignment horizontal="center" vertical="center"/>
    </xf>
    <xf borderId="1" fillId="0" fontId="8" numFmtId="0" xfId="0" applyAlignment="1" applyBorder="1" applyFont="1">
      <alignment horizontal="center" readingOrder="0" vertical="center"/>
    </xf>
    <xf borderId="1" fillId="0" fontId="5" numFmtId="0" xfId="0" applyBorder="1" applyFont="1"/>
    <xf borderId="5" fillId="8" fontId="4" numFmtId="0" xfId="0" applyAlignment="1" applyBorder="1" applyFill="1" applyFont="1">
      <alignment horizontal="center" readingOrder="0" vertical="bottom"/>
    </xf>
    <xf borderId="2" fillId="8" fontId="4" numFmtId="0" xfId="0" applyAlignment="1" applyBorder="1" applyFont="1">
      <alignment horizontal="center" vertical="bottom"/>
    </xf>
    <xf borderId="3" fillId="8" fontId="4" numFmtId="0" xfId="0" applyAlignment="1" applyBorder="1" applyFont="1">
      <alignment horizontal="center" vertical="bottom"/>
    </xf>
    <xf borderId="0" fillId="0" fontId="6" numFmtId="0" xfId="0" applyAlignment="1" applyFont="1">
      <alignment vertical="bottom"/>
    </xf>
    <xf borderId="6" fillId="8" fontId="4" numFmtId="0" xfId="0" applyAlignment="1" applyBorder="1" applyFont="1">
      <alignment horizontal="center" readingOrder="0" vertical="bottom"/>
    </xf>
    <xf borderId="0" fillId="0" fontId="3" numFmtId="0" xfId="0" applyAlignment="1" applyFont="1">
      <alignment horizontal="left" readingOrder="0" shrinkToFit="0" vertical="bottom" wrapText="1"/>
    </xf>
    <xf borderId="0" fillId="0" fontId="3"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9867602323008849"/>
          <c:y val="0.09710144927536232"/>
          <c:w val="0.8707930033185841"/>
          <c:h val="0.8007246376811594"/>
        </c:manualLayout>
      </c:layout>
      <c:barChart>
        <c:barDir val="col"/>
        <c:ser>
          <c:idx val="0"/>
          <c:order val="0"/>
          <c:spPr>
            <a:solidFill>
              <a:srgbClr val="F3F3F3"/>
            </a:solidFill>
            <a:ln cmpd="sng">
              <a:noFill/>
            </a:ln>
          </c:spPr>
          <c:dLbls>
            <c:numFmt formatCode="0 &quot;%&quot;" sourceLinked="0"/>
            <c:txPr>
              <a:bodyPr/>
              <a:lstStyle/>
              <a:p>
                <a:pPr lvl="0">
                  <a:defRPr b="1"/>
                </a:pPr>
              </a:p>
            </c:txPr>
            <c:showLegendKey val="0"/>
            <c:showVal val="1"/>
            <c:showCatName val="0"/>
            <c:showSerName val="0"/>
            <c:showPercent val="0"/>
            <c:showBubbleSize val="0"/>
          </c:dLbls>
          <c:cat>
            <c:strRef>
              <c:f>DASHBOARD!$B$9:$B$12</c:f>
            </c:strRef>
          </c:cat>
          <c:val>
            <c:numRef>
              <c:f>DASHBOARD!$H$9:$H$12</c:f>
              <c:numCache/>
            </c:numRef>
          </c:val>
        </c:ser>
        <c:axId val="1427968494"/>
        <c:axId val="1694117385"/>
      </c:barChart>
      <c:catAx>
        <c:axId val="14279684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1">
                <a:solidFill>
                  <a:srgbClr val="000000"/>
                </a:solidFill>
                <a:latin typeface="Roboto"/>
              </a:defRPr>
            </a:pPr>
          </a:p>
        </c:txPr>
        <c:crossAx val="1694117385"/>
      </c:catAx>
      <c:valAx>
        <c:axId val="1694117385"/>
        <c:scaling>
          <c:orientation val="minMax"/>
          <c:max val="100.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quot;%&quot;" sourceLinked="0"/>
        <c:majorTickMark val="none"/>
        <c:minorTickMark val="none"/>
        <c:tickLblPos val="nextTo"/>
        <c:spPr>
          <a:ln>
            <a:noFill/>
          </a:ln>
        </c:spPr>
        <c:txPr>
          <a:bodyPr/>
          <a:lstStyle/>
          <a:p>
            <a:pPr lvl="0">
              <a:defRPr b="1">
                <a:solidFill>
                  <a:srgbClr val="000000"/>
                </a:solidFill>
                <a:latin typeface="Roboto"/>
              </a:defRPr>
            </a:pPr>
          </a:p>
        </c:txPr>
        <c:crossAx val="1427968494"/>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476250</xdr:colOff>
      <xdr:row>12</xdr:row>
      <xdr:rowOff>180975</xdr:rowOff>
    </xdr:from>
    <xdr:ext cx="5381625" cy="328612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1.38"/>
    <col customWidth="1" min="3" max="3" width="11.13"/>
    <col customWidth="1" min="4" max="4" width="12.5"/>
    <col customWidth="1" min="5" max="5" width="21.5"/>
    <col customWidth="1" min="6" max="46" width="20.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2" t="s">
        <v>38</v>
      </c>
      <c r="AN1" s="2" t="s">
        <v>39</v>
      </c>
      <c r="AO1" s="2" t="s">
        <v>40</v>
      </c>
      <c r="AP1" s="2" t="s">
        <v>41</v>
      </c>
      <c r="AQ1" s="3" t="s">
        <v>42</v>
      </c>
      <c r="AR1" s="3" t="s">
        <v>43</v>
      </c>
      <c r="AS1" s="3" t="s">
        <v>44</v>
      </c>
      <c r="AT1" s="3" t="s">
        <v>45</v>
      </c>
    </row>
    <row r="2">
      <c r="A2" s="1">
        <v>1.0</v>
      </c>
      <c r="B2" s="4" t="s">
        <v>46</v>
      </c>
      <c r="C2" s="4" t="s">
        <v>47</v>
      </c>
      <c r="D2" s="4">
        <v>31.0</v>
      </c>
      <c r="E2" s="5" t="s">
        <v>48</v>
      </c>
      <c r="F2" s="5" t="s">
        <v>49</v>
      </c>
      <c r="G2" s="4" t="s">
        <v>50</v>
      </c>
      <c r="H2" s="4" t="s">
        <v>51</v>
      </c>
      <c r="I2" s="4" t="s">
        <v>52</v>
      </c>
      <c r="J2" s="4" t="s">
        <v>51</v>
      </c>
      <c r="K2" s="4" t="s">
        <v>50</v>
      </c>
      <c r="L2" s="4" t="s">
        <v>50</v>
      </c>
      <c r="M2" s="4" t="s">
        <v>51</v>
      </c>
      <c r="N2" s="4" t="s">
        <v>51</v>
      </c>
      <c r="O2" s="4" t="s">
        <v>52</v>
      </c>
      <c r="P2" s="4" t="s">
        <v>51</v>
      </c>
      <c r="Q2" s="4" t="s">
        <v>51</v>
      </c>
      <c r="R2" s="4" t="s">
        <v>52</v>
      </c>
      <c r="S2" s="4" t="s">
        <v>51</v>
      </c>
      <c r="T2" s="4" t="s">
        <v>51</v>
      </c>
      <c r="U2" s="4" t="s">
        <v>52</v>
      </c>
      <c r="V2" s="4" t="s">
        <v>53</v>
      </c>
      <c r="W2" s="4" t="s">
        <v>54</v>
      </c>
      <c r="X2" s="4" t="s">
        <v>53</v>
      </c>
      <c r="Y2" s="4" t="s">
        <v>55</v>
      </c>
      <c r="Z2" s="4" t="s">
        <v>53</v>
      </c>
      <c r="AA2" s="4" t="s">
        <v>56</v>
      </c>
      <c r="AB2" s="4" t="s">
        <v>53</v>
      </c>
      <c r="AC2" s="4" t="s">
        <v>57</v>
      </c>
      <c r="AD2" s="4" t="s">
        <v>58</v>
      </c>
      <c r="AE2" s="4" t="s">
        <v>59</v>
      </c>
      <c r="AF2" s="4" t="s">
        <v>60</v>
      </c>
      <c r="AG2" s="4" t="s">
        <v>61</v>
      </c>
      <c r="AH2" s="4" t="s">
        <v>60</v>
      </c>
      <c r="AI2" s="4" t="s">
        <v>62</v>
      </c>
      <c r="AJ2" s="4" t="s">
        <v>62</v>
      </c>
      <c r="AK2" s="4" t="s">
        <v>63</v>
      </c>
      <c r="AL2" s="4">
        <v>2.0</v>
      </c>
      <c r="AM2" s="6">
        <v>41.0</v>
      </c>
      <c r="AN2" s="6">
        <v>29.0</v>
      </c>
      <c r="AO2" s="6">
        <v>15.0</v>
      </c>
      <c r="AP2" s="6">
        <v>5.0</v>
      </c>
      <c r="AQ2" s="7">
        <v>63.0</v>
      </c>
      <c r="AR2" s="7">
        <v>58.0</v>
      </c>
      <c r="AS2" s="7">
        <v>63.0</v>
      </c>
      <c r="AT2" s="7">
        <v>42.0</v>
      </c>
    </row>
    <row r="3">
      <c r="A3" s="1">
        <v>2.0</v>
      </c>
      <c r="B3" s="4" t="s">
        <v>64</v>
      </c>
      <c r="C3" s="4" t="s">
        <v>65</v>
      </c>
      <c r="D3" s="4">
        <v>31.0</v>
      </c>
      <c r="E3" s="5" t="s">
        <v>66</v>
      </c>
      <c r="F3" s="5" t="s">
        <v>67</v>
      </c>
      <c r="G3" s="4" t="s">
        <v>52</v>
      </c>
      <c r="H3" s="4" t="s">
        <v>68</v>
      </c>
      <c r="I3" s="4" t="s">
        <v>68</v>
      </c>
      <c r="J3" s="4" t="s">
        <v>69</v>
      </c>
      <c r="K3" s="4" t="s">
        <v>52</v>
      </c>
      <c r="L3" s="4" t="s">
        <v>52</v>
      </c>
      <c r="M3" s="4" t="s">
        <v>70</v>
      </c>
      <c r="N3" s="4" t="s">
        <v>51</v>
      </c>
      <c r="O3" s="4" t="s">
        <v>68</v>
      </c>
      <c r="P3" s="4" t="s">
        <v>70</v>
      </c>
      <c r="Q3" s="4" t="s">
        <v>52</v>
      </c>
      <c r="R3" s="4" t="s">
        <v>68</v>
      </c>
      <c r="S3" s="4" t="s">
        <v>68</v>
      </c>
      <c r="T3" s="4" t="s">
        <v>68</v>
      </c>
      <c r="U3" s="4" t="s">
        <v>68</v>
      </c>
      <c r="V3" s="4" t="s">
        <v>55</v>
      </c>
      <c r="W3" s="4" t="s">
        <v>53</v>
      </c>
      <c r="X3" s="4" t="s">
        <v>55</v>
      </c>
      <c r="Y3" s="4" t="s">
        <v>54</v>
      </c>
      <c r="Z3" s="4" t="s">
        <v>54</v>
      </c>
      <c r="AA3" s="4" t="s">
        <v>56</v>
      </c>
      <c r="AB3" s="4" t="s">
        <v>53</v>
      </c>
      <c r="AC3" s="4" t="s">
        <v>57</v>
      </c>
      <c r="AD3" s="4" t="s">
        <v>71</v>
      </c>
      <c r="AE3" s="4" t="s">
        <v>72</v>
      </c>
      <c r="AF3" s="4" t="s">
        <v>72</v>
      </c>
      <c r="AG3" s="4" t="s">
        <v>61</v>
      </c>
      <c r="AH3" s="4" t="s">
        <v>60</v>
      </c>
      <c r="AI3" s="4" t="s">
        <v>62</v>
      </c>
      <c r="AJ3" s="4" t="s">
        <v>62</v>
      </c>
      <c r="AK3" s="4" t="s">
        <v>73</v>
      </c>
      <c r="AL3" s="4">
        <v>5.0</v>
      </c>
      <c r="AM3" s="6">
        <v>52.0</v>
      </c>
      <c r="AN3" s="6">
        <v>28.0</v>
      </c>
      <c r="AO3" s="6">
        <v>20.0</v>
      </c>
      <c r="AP3" s="6">
        <v>4.0</v>
      </c>
      <c r="AQ3" s="7">
        <v>80.0</v>
      </c>
      <c r="AR3" s="7">
        <v>56.0</v>
      </c>
      <c r="AS3" s="7">
        <v>83.0</v>
      </c>
      <c r="AT3" s="7">
        <v>33.0</v>
      </c>
    </row>
    <row r="4">
      <c r="A4" s="4" t="s">
        <v>74</v>
      </c>
      <c r="B4" s="4" t="s">
        <v>75</v>
      </c>
      <c r="C4" s="4" t="s">
        <v>65</v>
      </c>
      <c r="D4" s="4">
        <v>45.0</v>
      </c>
      <c r="E4" s="5" t="s">
        <v>76</v>
      </c>
      <c r="F4" s="5" t="s">
        <v>77</v>
      </c>
      <c r="G4" s="4" t="s">
        <v>52</v>
      </c>
      <c r="H4" s="4" t="s">
        <v>51</v>
      </c>
      <c r="I4" s="4" t="s">
        <v>52</v>
      </c>
      <c r="J4" s="4" t="s">
        <v>51</v>
      </c>
      <c r="K4" s="4" t="s">
        <v>68</v>
      </c>
      <c r="L4" s="4" t="s">
        <v>69</v>
      </c>
      <c r="M4" s="4" t="s">
        <v>51</v>
      </c>
      <c r="N4" s="4" t="s">
        <v>51</v>
      </c>
      <c r="O4" s="4" t="s">
        <v>52</v>
      </c>
      <c r="P4" s="4" t="s">
        <v>51</v>
      </c>
      <c r="Q4" s="4" t="s">
        <v>52</v>
      </c>
      <c r="R4" s="4" t="s">
        <v>51</v>
      </c>
      <c r="S4" s="4" t="s">
        <v>70</v>
      </c>
      <c r="T4" s="4" t="s">
        <v>52</v>
      </c>
      <c r="U4" s="4" t="s">
        <v>52</v>
      </c>
      <c r="V4" s="4" t="s">
        <v>55</v>
      </c>
      <c r="W4" s="4" t="s">
        <v>78</v>
      </c>
      <c r="X4" s="4" t="s">
        <v>53</v>
      </c>
      <c r="Y4" s="4" t="s">
        <v>54</v>
      </c>
      <c r="Z4" s="4" t="s">
        <v>55</v>
      </c>
      <c r="AA4" s="4" t="s">
        <v>55</v>
      </c>
      <c r="AB4" s="4" t="s">
        <v>55</v>
      </c>
      <c r="AC4" s="4" t="s">
        <v>79</v>
      </c>
      <c r="AD4" s="4" t="s">
        <v>80</v>
      </c>
      <c r="AE4" s="4" t="s">
        <v>78</v>
      </c>
      <c r="AF4" s="4" t="s">
        <v>61</v>
      </c>
      <c r="AG4" s="4" t="s">
        <v>78</v>
      </c>
      <c r="AH4" s="4" t="s">
        <v>59</v>
      </c>
      <c r="AI4" s="4" t="s">
        <v>62</v>
      </c>
      <c r="AJ4" s="4" t="s">
        <v>62</v>
      </c>
      <c r="AK4" s="4" t="s">
        <v>81</v>
      </c>
      <c r="AL4" s="4">
        <v>4.0</v>
      </c>
      <c r="AM4" s="6">
        <v>45.0</v>
      </c>
      <c r="AN4" s="6">
        <v>20.0</v>
      </c>
      <c r="AO4" s="6">
        <v>4.0</v>
      </c>
      <c r="AP4" s="6">
        <v>3.0</v>
      </c>
      <c r="AQ4" s="7">
        <v>69.0</v>
      </c>
      <c r="AR4" s="7">
        <v>40.0</v>
      </c>
      <c r="AS4" s="7">
        <v>17.0</v>
      </c>
      <c r="AT4" s="7">
        <v>25.0</v>
      </c>
    </row>
    <row r="5">
      <c r="A5" s="4" t="s">
        <v>74</v>
      </c>
      <c r="B5" s="4" t="s">
        <v>82</v>
      </c>
      <c r="C5" s="4" t="s">
        <v>47</v>
      </c>
      <c r="D5" s="4">
        <v>45.0</v>
      </c>
      <c r="E5" s="5" t="s">
        <v>76</v>
      </c>
      <c r="F5" s="5" t="s">
        <v>83</v>
      </c>
      <c r="G5" s="4" t="s">
        <v>51</v>
      </c>
      <c r="H5" s="4" t="s">
        <v>52</v>
      </c>
      <c r="I5" s="4" t="s">
        <v>68</v>
      </c>
      <c r="J5" s="4" t="s">
        <v>52</v>
      </c>
      <c r="K5" s="4" t="s">
        <v>51</v>
      </c>
      <c r="L5" s="4" t="s">
        <v>50</v>
      </c>
      <c r="M5" s="4" t="s">
        <v>51</v>
      </c>
      <c r="N5" s="4" t="s">
        <v>52</v>
      </c>
      <c r="O5" s="4" t="s">
        <v>68</v>
      </c>
      <c r="P5" s="4" t="s">
        <v>52</v>
      </c>
      <c r="Q5" s="4" t="s">
        <v>52</v>
      </c>
      <c r="R5" s="4" t="s">
        <v>52</v>
      </c>
      <c r="S5" s="4" t="s">
        <v>52</v>
      </c>
      <c r="T5" s="4" t="s">
        <v>51</v>
      </c>
      <c r="U5" s="4" t="s">
        <v>52</v>
      </c>
      <c r="V5" s="4" t="s">
        <v>56</v>
      </c>
      <c r="W5" s="4" t="s">
        <v>53</v>
      </c>
      <c r="X5" s="4" t="s">
        <v>53</v>
      </c>
      <c r="Y5" s="4" t="s">
        <v>84</v>
      </c>
      <c r="Z5" s="4" t="s">
        <v>78</v>
      </c>
      <c r="AA5" s="4" t="s">
        <v>53</v>
      </c>
      <c r="AB5" s="4" t="s">
        <v>53</v>
      </c>
      <c r="AC5" s="4" t="s">
        <v>57</v>
      </c>
      <c r="AD5" s="4" t="s">
        <v>58</v>
      </c>
      <c r="AE5" s="4" t="s">
        <v>85</v>
      </c>
      <c r="AF5" s="4" t="s">
        <v>72</v>
      </c>
      <c r="AG5" s="4" t="s">
        <v>72</v>
      </c>
      <c r="AH5" s="4" t="s">
        <v>59</v>
      </c>
      <c r="AI5" s="4" t="s">
        <v>62</v>
      </c>
      <c r="AJ5" s="4" t="s">
        <v>62</v>
      </c>
      <c r="AK5" s="4" t="s">
        <v>86</v>
      </c>
      <c r="AL5" s="4">
        <v>5.0</v>
      </c>
      <c r="AM5" s="6">
        <v>50.0</v>
      </c>
      <c r="AN5" s="6">
        <v>35.0</v>
      </c>
      <c r="AO5" s="6">
        <v>12.0</v>
      </c>
      <c r="AP5" s="6">
        <v>6.0</v>
      </c>
      <c r="AQ5" s="7">
        <v>77.0</v>
      </c>
      <c r="AR5" s="7">
        <v>70.0</v>
      </c>
      <c r="AS5" s="7">
        <v>50.0</v>
      </c>
      <c r="AT5" s="7">
        <v>50.0</v>
      </c>
    </row>
    <row r="6">
      <c r="A6" s="4" t="s">
        <v>74</v>
      </c>
      <c r="B6" s="4" t="s">
        <v>87</v>
      </c>
      <c r="C6" s="4" t="s">
        <v>65</v>
      </c>
      <c r="D6" s="4">
        <v>30.0</v>
      </c>
      <c r="E6" s="5" t="s">
        <v>88</v>
      </c>
      <c r="F6" s="5" t="s">
        <v>89</v>
      </c>
      <c r="G6" s="4" t="s">
        <v>50</v>
      </c>
      <c r="H6" s="4" t="s">
        <v>52</v>
      </c>
      <c r="I6" s="4" t="s">
        <v>52</v>
      </c>
      <c r="J6" s="4" t="s">
        <v>50</v>
      </c>
      <c r="K6" s="4" t="s">
        <v>52</v>
      </c>
      <c r="L6" s="4" t="s">
        <v>68</v>
      </c>
      <c r="M6" s="4" t="s">
        <v>50</v>
      </c>
      <c r="N6" s="4" t="s">
        <v>50</v>
      </c>
      <c r="O6" s="4" t="s">
        <v>50</v>
      </c>
      <c r="P6" s="4" t="s">
        <v>50</v>
      </c>
      <c r="Q6" s="4" t="s">
        <v>50</v>
      </c>
      <c r="R6" s="4" t="s">
        <v>50</v>
      </c>
      <c r="S6" s="4" t="s">
        <v>51</v>
      </c>
      <c r="T6" s="4" t="s">
        <v>52</v>
      </c>
      <c r="U6" s="4" t="s">
        <v>50</v>
      </c>
      <c r="V6" s="4" t="s">
        <v>84</v>
      </c>
      <c r="W6" s="4" t="s">
        <v>78</v>
      </c>
      <c r="X6" s="4" t="s">
        <v>54</v>
      </c>
      <c r="Y6" s="4" t="s">
        <v>55</v>
      </c>
      <c r="Z6" s="4" t="s">
        <v>55</v>
      </c>
      <c r="AA6" s="4" t="s">
        <v>56</v>
      </c>
      <c r="AB6" s="4" t="s">
        <v>53</v>
      </c>
      <c r="AC6" s="4" t="s">
        <v>53</v>
      </c>
      <c r="AD6" s="4" t="s">
        <v>80</v>
      </c>
      <c r="AE6" s="4" t="s">
        <v>61</v>
      </c>
      <c r="AF6" s="4" t="s">
        <v>61</v>
      </c>
      <c r="AG6" s="4" t="s">
        <v>85</v>
      </c>
      <c r="AH6" s="4" t="s">
        <v>78</v>
      </c>
      <c r="AI6" s="4" t="s">
        <v>90</v>
      </c>
      <c r="AJ6" s="4" t="s">
        <v>62</v>
      </c>
      <c r="AK6" s="4" t="s">
        <v>81</v>
      </c>
      <c r="AL6" s="4">
        <v>3.0</v>
      </c>
      <c r="AM6" s="6">
        <v>35.0</v>
      </c>
      <c r="AN6" s="6">
        <v>21.0</v>
      </c>
      <c r="AO6" s="6">
        <v>8.0</v>
      </c>
      <c r="AP6" s="6">
        <v>8.0</v>
      </c>
      <c r="AQ6" s="7">
        <v>54.0</v>
      </c>
      <c r="AR6" s="7">
        <v>42.0</v>
      </c>
      <c r="AS6" s="7">
        <v>33.0</v>
      </c>
      <c r="AT6" s="7">
        <v>67.0</v>
      </c>
    </row>
    <row r="7">
      <c r="A7" s="4" t="s">
        <v>74</v>
      </c>
      <c r="B7" s="4" t="s">
        <v>91</v>
      </c>
      <c r="C7" s="4" t="s">
        <v>47</v>
      </c>
      <c r="D7" s="4">
        <v>39.0</v>
      </c>
      <c r="E7" s="5" t="s">
        <v>92</v>
      </c>
      <c r="F7" s="5" t="s">
        <v>89</v>
      </c>
      <c r="G7" s="4" t="s">
        <v>52</v>
      </c>
      <c r="H7" s="4" t="s">
        <v>52</v>
      </c>
      <c r="I7" s="4" t="s">
        <v>68</v>
      </c>
      <c r="J7" s="4" t="s">
        <v>50</v>
      </c>
      <c r="K7" s="4" t="s">
        <v>52</v>
      </c>
      <c r="L7" s="4" t="s">
        <v>50</v>
      </c>
      <c r="M7" s="4" t="s">
        <v>51</v>
      </c>
      <c r="N7" s="4" t="s">
        <v>51</v>
      </c>
      <c r="O7" s="4" t="s">
        <v>52</v>
      </c>
      <c r="P7" s="4" t="s">
        <v>52</v>
      </c>
      <c r="Q7" s="4" t="s">
        <v>51</v>
      </c>
      <c r="R7" s="4" t="s">
        <v>51</v>
      </c>
      <c r="S7" s="4" t="s">
        <v>68</v>
      </c>
      <c r="T7" s="4" t="s">
        <v>68</v>
      </c>
      <c r="U7" s="4" t="s">
        <v>52</v>
      </c>
      <c r="V7" s="4" t="s">
        <v>54</v>
      </c>
      <c r="W7" s="4" t="s">
        <v>78</v>
      </c>
      <c r="X7" s="4" t="s">
        <v>54</v>
      </c>
      <c r="Y7" s="4" t="s">
        <v>53</v>
      </c>
      <c r="Z7" s="4" t="s">
        <v>54</v>
      </c>
      <c r="AA7" s="4" t="s">
        <v>56</v>
      </c>
      <c r="AB7" s="4" t="s">
        <v>56</v>
      </c>
      <c r="AC7" s="4" t="s">
        <v>57</v>
      </c>
      <c r="AD7" s="4" t="s">
        <v>80</v>
      </c>
      <c r="AE7" s="4" t="s">
        <v>59</v>
      </c>
      <c r="AF7" s="4" t="s">
        <v>59</v>
      </c>
      <c r="AG7" s="4" t="s">
        <v>59</v>
      </c>
      <c r="AH7" s="4" t="s">
        <v>59</v>
      </c>
      <c r="AI7" s="4" t="s">
        <v>62</v>
      </c>
      <c r="AJ7" s="4" t="s">
        <v>62</v>
      </c>
      <c r="AK7" s="4" t="s">
        <v>93</v>
      </c>
      <c r="AL7" s="4">
        <v>5.0</v>
      </c>
      <c r="AM7" s="6">
        <v>51.0</v>
      </c>
      <c r="AN7" s="6">
        <v>29.0</v>
      </c>
      <c r="AO7" s="6">
        <v>4.0</v>
      </c>
      <c r="AP7" s="6">
        <v>4.0</v>
      </c>
      <c r="AQ7" s="7">
        <v>78.0</v>
      </c>
      <c r="AR7" s="7">
        <v>58.0</v>
      </c>
      <c r="AS7" s="7">
        <v>17.0</v>
      </c>
      <c r="AT7" s="7">
        <v>33.0</v>
      </c>
    </row>
    <row r="8">
      <c r="A8" s="4" t="s">
        <v>74</v>
      </c>
      <c r="B8" s="4" t="s">
        <v>94</v>
      </c>
      <c r="C8" s="4" t="s">
        <v>65</v>
      </c>
      <c r="D8" s="4">
        <v>27.0</v>
      </c>
      <c r="E8" s="5" t="s">
        <v>95</v>
      </c>
      <c r="F8" s="5" t="s">
        <v>96</v>
      </c>
      <c r="G8" s="4" t="s">
        <v>68</v>
      </c>
      <c r="H8" s="4" t="s">
        <v>68</v>
      </c>
      <c r="I8" s="4" t="s">
        <v>68</v>
      </c>
      <c r="J8" s="4" t="s">
        <v>68</v>
      </c>
      <c r="K8" s="4" t="s">
        <v>52</v>
      </c>
      <c r="L8" s="4" t="s">
        <v>68</v>
      </c>
      <c r="M8" s="4" t="s">
        <v>68</v>
      </c>
      <c r="N8" s="4" t="s">
        <v>68</v>
      </c>
      <c r="O8" s="4" t="s">
        <v>68</v>
      </c>
      <c r="P8" s="4" t="s">
        <v>68</v>
      </c>
      <c r="Q8" s="4" t="s">
        <v>52</v>
      </c>
      <c r="R8" s="4" t="s">
        <v>68</v>
      </c>
      <c r="S8" s="4" t="s">
        <v>68</v>
      </c>
      <c r="T8" s="4" t="s">
        <v>52</v>
      </c>
      <c r="U8" s="4" t="s">
        <v>68</v>
      </c>
      <c r="V8" s="4" t="s">
        <v>54</v>
      </c>
      <c r="W8" s="4" t="s">
        <v>78</v>
      </c>
      <c r="X8" s="4" t="s">
        <v>55</v>
      </c>
      <c r="Y8" s="4" t="s">
        <v>55</v>
      </c>
      <c r="Z8" s="4" t="s">
        <v>78</v>
      </c>
      <c r="AA8" s="4" t="s">
        <v>53</v>
      </c>
      <c r="AB8" s="4" t="s">
        <v>54</v>
      </c>
      <c r="AC8" s="4" t="s">
        <v>79</v>
      </c>
      <c r="AD8" s="4" t="s">
        <v>97</v>
      </c>
      <c r="AE8" s="4" t="s">
        <v>60</v>
      </c>
      <c r="AF8" s="4" t="s">
        <v>60</v>
      </c>
      <c r="AG8" s="4" t="s">
        <v>59</v>
      </c>
      <c r="AH8" s="4" t="s">
        <v>59</v>
      </c>
      <c r="AI8" s="4" t="s">
        <v>90</v>
      </c>
      <c r="AJ8" s="4" t="s">
        <v>90</v>
      </c>
      <c r="AK8" s="4" t="s">
        <v>98</v>
      </c>
      <c r="AL8" s="4">
        <v>5.0</v>
      </c>
      <c r="AM8" s="6">
        <v>62.0</v>
      </c>
      <c r="AN8" s="6">
        <v>43.0</v>
      </c>
      <c r="AO8" s="6">
        <v>15.0</v>
      </c>
      <c r="AP8" s="6">
        <v>12.0</v>
      </c>
      <c r="AQ8" s="7">
        <v>95.0</v>
      </c>
      <c r="AR8" s="7">
        <v>86.0</v>
      </c>
      <c r="AS8" s="7">
        <v>63.0</v>
      </c>
      <c r="AT8" s="7">
        <v>100.0</v>
      </c>
    </row>
    <row r="9">
      <c r="A9" s="4" t="s">
        <v>74</v>
      </c>
      <c r="B9" s="4" t="s">
        <v>99</v>
      </c>
      <c r="C9" s="4" t="s">
        <v>65</v>
      </c>
      <c r="D9" s="4">
        <v>34.0</v>
      </c>
      <c r="E9" s="5" t="s">
        <v>100</v>
      </c>
      <c r="F9" s="5" t="s">
        <v>49</v>
      </c>
      <c r="G9" s="4" t="s">
        <v>50</v>
      </c>
      <c r="H9" s="4" t="s">
        <v>70</v>
      </c>
      <c r="I9" s="4" t="s">
        <v>70</v>
      </c>
      <c r="J9" s="4" t="s">
        <v>70</v>
      </c>
      <c r="K9" s="4" t="s">
        <v>52</v>
      </c>
      <c r="L9" s="4" t="s">
        <v>70</v>
      </c>
      <c r="M9" s="4" t="s">
        <v>50</v>
      </c>
      <c r="N9" s="4" t="s">
        <v>70</v>
      </c>
      <c r="O9" s="4" t="s">
        <v>68</v>
      </c>
      <c r="P9" s="4" t="s">
        <v>68</v>
      </c>
      <c r="Q9" s="4" t="s">
        <v>50</v>
      </c>
      <c r="R9" s="4" t="s">
        <v>52</v>
      </c>
      <c r="S9" s="4" t="s">
        <v>52</v>
      </c>
      <c r="T9" s="4" t="s">
        <v>50</v>
      </c>
      <c r="U9" s="4" t="s">
        <v>52</v>
      </c>
      <c r="V9" s="4" t="s">
        <v>55</v>
      </c>
      <c r="W9" s="4" t="s">
        <v>78</v>
      </c>
      <c r="X9" s="4" t="s">
        <v>55</v>
      </c>
      <c r="Y9" s="4" t="s">
        <v>53</v>
      </c>
      <c r="Z9" s="4" t="s">
        <v>84</v>
      </c>
      <c r="AA9" s="4" t="s">
        <v>55</v>
      </c>
      <c r="AB9" s="4" t="s">
        <v>55</v>
      </c>
      <c r="AC9" s="4" t="s">
        <v>53</v>
      </c>
      <c r="AD9" s="4" t="s">
        <v>80</v>
      </c>
      <c r="AE9" s="4" t="s">
        <v>78</v>
      </c>
      <c r="AF9" s="4" t="s">
        <v>59</v>
      </c>
      <c r="AG9" s="4" t="s">
        <v>85</v>
      </c>
      <c r="AH9" s="4" t="s">
        <v>78</v>
      </c>
      <c r="AI9" s="4" t="s">
        <v>62</v>
      </c>
      <c r="AJ9" s="4" t="s">
        <v>62</v>
      </c>
      <c r="AK9" s="4" t="s">
        <v>93</v>
      </c>
      <c r="AL9" s="4">
        <v>1.0</v>
      </c>
      <c r="AM9" s="6">
        <v>37.0</v>
      </c>
      <c r="AN9" s="6">
        <v>18.0</v>
      </c>
      <c r="AO9" s="6">
        <v>3.0</v>
      </c>
      <c r="AP9" s="6">
        <v>2.0</v>
      </c>
      <c r="AQ9" s="7">
        <v>57.0</v>
      </c>
      <c r="AR9" s="7">
        <v>36.0</v>
      </c>
      <c r="AS9" s="7">
        <v>13.0</v>
      </c>
      <c r="AT9" s="7">
        <v>17.0</v>
      </c>
    </row>
    <row r="10">
      <c r="A10" s="4" t="s">
        <v>74</v>
      </c>
      <c r="B10" s="4" t="s">
        <v>101</v>
      </c>
      <c r="C10" s="4" t="s">
        <v>65</v>
      </c>
      <c r="D10" s="4">
        <v>28.0</v>
      </c>
      <c r="E10" s="5" t="s">
        <v>100</v>
      </c>
      <c r="F10" s="5" t="s">
        <v>102</v>
      </c>
      <c r="G10" s="4" t="s">
        <v>70</v>
      </c>
      <c r="H10" s="4" t="s">
        <v>70</v>
      </c>
      <c r="I10" s="4" t="s">
        <v>52</v>
      </c>
      <c r="J10" s="4" t="s">
        <v>70</v>
      </c>
      <c r="K10" s="4" t="s">
        <v>51</v>
      </c>
      <c r="L10" s="4" t="s">
        <v>50</v>
      </c>
      <c r="M10" s="4" t="s">
        <v>70</v>
      </c>
      <c r="N10" s="4" t="s">
        <v>51</v>
      </c>
      <c r="O10" s="4" t="s">
        <v>52</v>
      </c>
      <c r="P10" s="4" t="s">
        <v>50</v>
      </c>
      <c r="Q10" s="4" t="s">
        <v>70</v>
      </c>
      <c r="R10" s="4" t="s">
        <v>70</v>
      </c>
      <c r="S10" s="4" t="s">
        <v>69</v>
      </c>
      <c r="T10" s="4" t="s">
        <v>70</v>
      </c>
      <c r="U10" s="4" t="s">
        <v>51</v>
      </c>
      <c r="V10" s="4" t="s">
        <v>56</v>
      </c>
      <c r="W10" s="4" t="s">
        <v>78</v>
      </c>
      <c r="X10" s="4" t="s">
        <v>54</v>
      </c>
      <c r="Y10" s="4" t="s">
        <v>84</v>
      </c>
      <c r="Z10" s="4" t="s">
        <v>78</v>
      </c>
      <c r="AA10" s="4" t="s">
        <v>53</v>
      </c>
      <c r="AB10" s="4" t="s">
        <v>53</v>
      </c>
      <c r="AC10" s="4" t="s">
        <v>53</v>
      </c>
      <c r="AD10" s="4" t="s">
        <v>58</v>
      </c>
      <c r="AE10" s="4" t="s">
        <v>59</v>
      </c>
      <c r="AF10" s="4" t="s">
        <v>61</v>
      </c>
      <c r="AG10" s="4" t="s">
        <v>59</v>
      </c>
      <c r="AH10" s="4" t="s">
        <v>78</v>
      </c>
      <c r="AI10" s="4" t="s">
        <v>90</v>
      </c>
      <c r="AJ10" s="4" t="s">
        <v>62</v>
      </c>
      <c r="AK10" s="4" t="s">
        <v>73</v>
      </c>
      <c r="AL10" s="4">
        <v>3.0</v>
      </c>
      <c r="AM10" s="6">
        <v>25.0</v>
      </c>
      <c r="AN10" s="6">
        <v>31.0</v>
      </c>
      <c r="AO10" s="6">
        <v>6.0</v>
      </c>
      <c r="AP10" s="6">
        <v>4.0</v>
      </c>
      <c r="AQ10" s="7">
        <v>38.0</v>
      </c>
      <c r="AR10" s="7">
        <v>62.0</v>
      </c>
      <c r="AS10" s="7">
        <v>25.0</v>
      </c>
      <c r="AT10" s="7">
        <v>33.0</v>
      </c>
    </row>
    <row r="11">
      <c r="A11" s="4" t="s">
        <v>74</v>
      </c>
      <c r="B11" s="4" t="s">
        <v>103</v>
      </c>
      <c r="C11" s="4" t="s">
        <v>65</v>
      </c>
      <c r="D11" s="4">
        <v>35.0</v>
      </c>
      <c r="E11" s="5" t="s">
        <v>104</v>
      </c>
      <c r="F11" s="5" t="s">
        <v>105</v>
      </c>
      <c r="G11" s="4" t="s">
        <v>51</v>
      </c>
      <c r="H11" s="4" t="s">
        <v>70</v>
      </c>
      <c r="I11" s="4" t="s">
        <v>52</v>
      </c>
      <c r="J11" s="4" t="s">
        <v>50</v>
      </c>
      <c r="K11" s="4" t="s">
        <v>52</v>
      </c>
      <c r="L11" s="4" t="s">
        <v>52</v>
      </c>
      <c r="M11" s="4" t="s">
        <v>51</v>
      </c>
      <c r="N11" s="4" t="s">
        <v>52</v>
      </c>
      <c r="O11" s="4" t="s">
        <v>51</v>
      </c>
      <c r="P11" s="4" t="s">
        <v>52</v>
      </c>
      <c r="Q11" s="4" t="s">
        <v>50</v>
      </c>
      <c r="R11" s="4" t="s">
        <v>52</v>
      </c>
      <c r="S11" s="4" t="s">
        <v>52</v>
      </c>
      <c r="T11" s="4" t="s">
        <v>51</v>
      </c>
      <c r="U11" s="4" t="s">
        <v>52</v>
      </c>
      <c r="V11" s="4" t="s">
        <v>53</v>
      </c>
      <c r="W11" s="4" t="s">
        <v>78</v>
      </c>
      <c r="X11" s="4" t="s">
        <v>53</v>
      </c>
      <c r="Y11" s="4" t="s">
        <v>54</v>
      </c>
      <c r="Z11" s="4" t="s">
        <v>54</v>
      </c>
      <c r="AA11" s="4" t="s">
        <v>54</v>
      </c>
      <c r="AB11" s="4" t="s">
        <v>54</v>
      </c>
      <c r="AC11" s="4" t="s">
        <v>79</v>
      </c>
      <c r="AD11" s="4" t="s">
        <v>80</v>
      </c>
      <c r="AE11" s="4" t="s">
        <v>59</v>
      </c>
      <c r="AF11" s="4" t="s">
        <v>61</v>
      </c>
      <c r="AG11" s="4" t="s">
        <v>85</v>
      </c>
      <c r="AH11" s="4" t="s">
        <v>78</v>
      </c>
      <c r="AI11" s="4" t="s">
        <v>62</v>
      </c>
      <c r="AJ11" s="4" t="s">
        <v>62</v>
      </c>
      <c r="AK11" s="4" t="s">
        <v>73</v>
      </c>
      <c r="AL11" s="4">
        <v>5.0</v>
      </c>
      <c r="AM11" s="6">
        <v>43.0</v>
      </c>
      <c r="AN11" s="6">
        <v>34.0</v>
      </c>
      <c r="AO11" s="6">
        <v>6.0</v>
      </c>
      <c r="AP11" s="6">
        <v>6.0</v>
      </c>
      <c r="AQ11" s="7">
        <v>66.0</v>
      </c>
      <c r="AR11" s="7">
        <v>68.0</v>
      </c>
      <c r="AS11" s="7">
        <v>25.0</v>
      </c>
      <c r="AT11" s="7">
        <v>50.0</v>
      </c>
    </row>
    <row r="12">
      <c r="A12" s="4" t="s">
        <v>74</v>
      </c>
      <c r="B12" s="4" t="s">
        <v>106</v>
      </c>
      <c r="C12" s="4" t="s">
        <v>47</v>
      </c>
      <c r="D12" s="4">
        <v>0.0</v>
      </c>
      <c r="E12" s="5" t="s">
        <v>107</v>
      </c>
      <c r="F12" s="5" t="s">
        <v>108</v>
      </c>
      <c r="G12" s="4" t="s">
        <v>52</v>
      </c>
      <c r="H12" s="4" t="s">
        <v>68</v>
      </c>
      <c r="I12" s="4" t="s">
        <v>51</v>
      </c>
      <c r="J12" s="4" t="s">
        <v>51</v>
      </c>
      <c r="K12" s="4" t="s">
        <v>68</v>
      </c>
      <c r="L12" s="4" t="s">
        <v>52</v>
      </c>
      <c r="M12" s="4" t="s">
        <v>52</v>
      </c>
      <c r="N12" s="4" t="s">
        <v>52</v>
      </c>
      <c r="O12" s="4" t="s">
        <v>68</v>
      </c>
      <c r="P12" s="4" t="s">
        <v>52</v>
      </c>
      <c r="Q12" s="4" t="s">
        <v>50</v>
      </c>
      <c r="R12" s="4" t="s">
        <v>52</v>
      </c>
      <c r="S12" s="4" t="s">
        <v>52</v>
      </c>
      <c r="T12" s="4" t="s">
        <v>52</v>
      </c>
      <c r="U12" s="4" t="s">
        <v>52</v>
      </c>
      <c r="V12" s="4" t="s">
        <v>53</v>
      </c>
      <c r="W12" s="4" t="s">
        <v>78</v>
      </c>
      <c r="X12" s="4" t="s">
        <v>55</v>
      </c>
      <c r="Y12" s="4" t="s">
        <v>84</v>
      </c>
      <c r="Z12" s="4" t="s">
        <v>78</v>
      </c>
      <c r="AA12" s="4" t="s">
        <v>78</v>
      </c>
      <c r="AB12" s="4" t="s">
        <v>54</v>
      </c>
      <c r="AC12" s="4" t="s">
        <v>79</v>
      </c>
      <c r="AD12" s="4" t="s">
        <v>109</v>
      </c>
      <c r="AE12" s="4" t="s">
        <v>59</v>
      </c>
      <c r="AF12" s="4" t="s">
        <v>60</v>
      </c>
      <c r="AG12" s="4" t="s">
        <v>59</v>
      </c>
      <c r="AH12" s="4" t="s">
        <v>59</v>
      </c>
      <c r="AI12" s="4" t="s">
        <v>90</v>
      </c>
      <c r="AJ12" s="4" t="s">
        <v>62</v>
      </c>
      <c r="AK12" s="4" t="s">
        <v>86</v>
      </c>
      <c r="AL12" s="4">
        <v>4.0</v>
      </c>
      <c r="AM12" s="6">
        <v>52.0</v>
      </c>
      <c r="AN12" s="6">
        <v>43.0</v>
      </c>
      <c r="AO12" s="6">
        <v>10.0</v>
      </c>
      <c r="AP12" s="6">
        <v>8.0</v>
      </c>
      <c r="AQ12" s="7">
        <v>80.0</v>
      </c>
      <c r="AR12" s="7">
        <v>86.0</v>
      </c>
      <c r="AS12" s="7">
        <v>42.0</v>
      </c>
      <c r="AT12" s="7">
        <v>67.0</v>
      </c>
    </row>
    <row r="13">
      <c r="A13" s="4" t="s">
        <v>74</v>
      </c>
      <c r="B13" s="4" t="s">
        <v>110</v>
      </c>
      <c r="C13" s="4" t="s">
        <v>47</v>
      </c>
      <c r="D13" s="4">
        <v>22.0</v>
      </c>
      <c r="E13" s="5" t="s">
        <v>111</v>
      </c>
      <c r="F13" s="5" t="s">
        <v>112</v>
      </c>
      <c r="G13" s="4" t="s">
        <v>52</v>
      </c>
      <c r="H13" s="4" t="s">
        <v>51</v>
      </c>
      <c r="I13" s="4" t="s">
        <v>51</v>
      </c>
      <c r="J13" s="4" t="s">
        <v>51</v>
      </c>
      <c r="K13" s="4" t="s">
        <v>52</v>
      </c>
      <c r="L13" s="4" t="s">
        <v>52</v>
      </c>
      <c r="M13" s="4" t="s">
        <v>51</v>
      </c>
      <c r="N13" s="4" t="s">
        <v>51</v>
      </c>
      <c r="O13" s="4" t="s">
        <v>50</v>
      </c>
      <c r="P13" s="4" t="s">
        <v>51</v>
      </c>
      <c r="Q13" s="4" t="s">
        <v>51</v>
      </c>
      <c r="R13" s="4" t="s">
        <v>51</v>
      </c>
      <c r="S13" s="4" t="s">
        <v>52</v>
      </c>
      <c r="T13" s="4" t="s">
        <v>52</v>
      </c>
      <c r="U13" s="4" t="s">
        <v>52</v>
      </c>
      <c r="V13" s="4" t="s">
        <v>56</v>
      </c>
      <c r="W13" s="4" t="s">
        <v>78</v>
      </c>
      <c r="X13" s="4" t="s">
        <v>54</v>
      </c>
      <c r="Y13" s="4" t="s">
        <v>56</v>
      </c>
      <c r="Z13" s="4" t="s">
        <v>53</v>
      </c>
      <c r="AA13" s="4" t="s">
        <v>55</v>
      </c>
      <c r="AB13" s="4" t="s">
        <v>53</v>
      </c>
      <c r="AC13" s="4" t="s">
        <v>53</v>
      </c>
      <c r="AD13" s="4" t="s">
        <v>109</v>
      </c>
      <c r="AE13" s="4" t="s">
        <v>85</v>
      </c>
      <c r="AF13" s="4" t="s">
        <v>60</v>
      </c>
      <c r="AG13" s="4" t="s">
        <v>78</v>
      </c>
      <c r="AH13" s="4" t="s">
        <v>59</v>
      </c>
      <c r="AI13" s="4" t="s">
        <v>90</v>
      </c>
      <c r="AJ13" s="4" t="s">
        <v>62</v>
      </c>
      <c r="AK13" s="4" t="s">
        <v>73</v>
      </c>
      <c r="AL13" s="4">
        <v>3.0</v>
      </c>
      <c r="AM13" s="6">
        <v>43.0</v>
      </c>
      <c r="AN13" s="6">
        <v>25.0</v>
      </c>
      <c r="AO13" s="6">
        <v>10.0</v>
      </c>
      <c r="AP13" s="6">
        <v>8.0</v>
      </c>
      <c r="AQ13" s="7">
        <v>66.0</v>
      </c>
      <c r="AR13" s="7">
        <v>50.0</v>
      </c>
      <c r="AS13" s="7">
        <v>42.0</v>
      </c>
      <c r="AT13" s="7">
        <v>67.0</v>
      </c>
    </row>
    <row r="14">
      <c r="A14" s="4" t="s">
        <v>74</v>
      </c>
      <c r="B14" s="4" t="s">
        <v>113</v>
      </c>
      <c r="C14" s="4" t="s">
        <v>65</v>
      </c>
      <c r="D14" s="4">
        <v>22.0</v>
      </c>
      <c r="E14" s="5" t="s">
        <v>114</v>
      </c>
      <c r="F14" s="5" t="s">
        <v>115</v>
      </c>
      <c r="G14" s="4" t="s">
        <v>68</v>
      </c>
      <c r="H14" s="4" t="s">
        <v>52</v>
      </c>
      <c r="I14" s="4" t="s">
        <v>68</v>
      </c>
      <c r="J14" s="4" t="s">
        <v>68</v>
      </c>
      <c r="K14" s="4" t="s">
        <v>50</v>
      </c>
      <c r="L14" s="4" t="s">
        <v>68</v>
      </c>
      <c r="M14" s="4" t="s">
        <v>68</v>
      </c>
      <c r="N14" s="4" t="s">
        <v>68</v>
      </c>
      <c r="O14" s="4" t="s">
        <v>50</v>
      </c>
      <c r="P14" s="4" t="s">
        <v>68</v>
      </c>
      <c r="Q14" s="4" t="s">
        <v>68</v>
      </c>
      <c r="R14" s="4" t="s">
        <v>68</v>
      </c>
      <c r="S14" s="4" t="s">
        <v>68</v>
      </c>
      <c r="T14" s="4" t="s">
        <v>68</v>
      </c>
      <c r="U14" s="4" t="s">
        <v>68</v>
      </c>
      <c r="V14" s="4" t="s">
        <v>53</v>
      </c>
      <c r="W14" s="4" t="s">
        <v>78</v>
      </c>
      <c r="X14" s="4" t="s">
        <v>84</v>
      </c>
      <c r="Y14" s="4" t="s">
        <v>84</v>
      </c>
      <c r="Z14" s="4" t="s">
        <v>78</v>
      </c>
      <c r="AA14" s="4" t="s">
        <v>78</v>
      </c>
      <c r="AB14" s="4" t="s">
        <v>53</v>
      </c>
      <c r="AC14" s="4" t="s">
        <v>79</v>
      </c>
      <c r="AD14" s="4" t="s">
        <v>71</v>
      </c>
      <c r="AE14" s="4" t="s">
        <v>60</v>
      </c>
      <c r="AF14" s="4" t="s">
        <v>60</v>
      </c>
      <c r="AG14" s="4" t="s">
        <v>60</v>
      </c>
      <c r="AH14" s="4" t="s">
        <v>60</v>
      </c>
      <c r="AI14" s="4" t="s">
        <v>62</v>
      </c>
      <c r="AJ14" s="4" t="s">
        <v>90</v>
      </c>
      <c r="AK14" s="4" t="s">
        <v>86</v>
      </c>
      <c r="AL14" s="4">
        <v>5.0</v>
      </c>
      <c r="AM14" s="6">
        <v>58.0</v>
      </c>
      <c r="AN14" s="6">
        <v>44.0</v>
      </c>
      <c r="AO14" s="6">
        <v>24.0</v>
      </c>
      <c r="AP14" s="6">
        <v>11.0</v>
      </c>
      <c r="AQ14" s="7">
        <v>89.0</v>
      </c>
      <c r="AR14" s="7">
        <v>88.0</v>
      </c>
      <c r="AS14" s="7">
        <v>100.0</v>
      </c>
      <c r="AT14" s="7">
        <v>92.0</v>
      </c>
    </row>
    <row r="15">
      <c r="A15" s="4" t="s">
        <v>74</v>
      </c>
      <c r="B15" s="4" t="s">
        <v>116</v>
      </c>
      <c r="C15" s="4" t="s">
        <v>47</v>
      </c>
      <c r="D15" s="4">
        <v>23.0</v>
      </c>
      <c r="E15" s="5" t="s">
        <v>114</v>
      </c>
      <c r="F15" s="5" t="s">
        <v>117</v>
      </c>
      <c r="G15" s="4" t="s">
        <v>52</v>
      </c>
      <c r="H15" s="4" t="s">
        <v>68</v>
      </c>
      <c r="I15" s="4" t="s">
        <v>51</v>
      </c>
      <c r="J15" s="4" t="s">
        <v>68</v>
      </c>
      <c r="K15" s="4" t="s">
        <v>68</v>
      </c>
      <c r="L15" s="4" t="s">
        <v>52</v>
      </c>
      <c r="M15" s="4" t="s">
        <v>51</v>
      </c>
      <c r="N15" s="4" t="s">
        <v>52</v>
      </c>
      <c r="O15" s="4" t="s">
        <v>52</v>
      </c>
      <c r="P15" s="4" t="s">
        <v>52</v>
      </c>
      <c r="Q15" s="4" t="s">
        <v>52</v>
      </c>
      <c r="R15" s="4" t="s">
        <v>51</v>
      </c>
      <c r="S15" s="4" t="s">
        <v>51</v>
      </c>
      <c r="T15" s="4" t="s">
        <v>51</v>
      </c>
      <c r="U15" s="4" t="s">
        <v>52</v>
      </c>
      <c r="V15" s="4" t="s">
        <v>54</v>
      </c>
      <c r="W15" s="4" t="s">
        <v>78</v>
      </c>
      <c r="X15" s="4" t="s">
        <v>55</v>
      </c>
      <c r="Y15" s="4" t="s">
        <v>55</v>
      </c>
      <c r="Z15" s="4" t="s">
        <v>78</v>
      </c>
      <c r="AA15" s="4" t="s">
        <v>53</v>
      </c>
      <c r="AB15" s="4" t="s">
        <v>54</v>
      </c>
      <c r="AC15" s="4" t="s">
        <v>57</v>
      </c>
      <c r="AD15" s="4" t="s">
        <v>109</v>
      </c>
      <c r="AE15" s="4" t="s">
        <v>61</v>
      </c>
      <c r="AF15" s="4" t="s">
        <v>60</v>
      </c>
      <c r="AG15" s="4" t="s">
        <v>61</v>
      </c>
      <c r="AH15" s="4" t="s">
        <v>61</v>
      </c>
      <c r="AI15" s="4" t="s">
        <v>90</v>
      </c>
      <c r="AJ15" s="4" t="s">
        <v>90</v>
      </c>
      <c r="AK15" s="4" t="s">
        <v>86</v>
      </c>
      <c r="AL15" s="4">
        <v>3.0</v>
      </c>
      <c r="AM15" s="6">
        <v>49.0</v>
      </c>
      <c r="AN15" s="6">
        <v>39.0</v>
      </c>
      <c r="AO15" s="6">
        <v>16.0</v>
      </c>
      <c r="AP15" s="6">
        <v>11.0</v>
      </c>
      <c r="AQ15" s="7">
        <v>75.0</v>
      </c>
      <c r="AR15" s="7">
        <v>78.0</v>
      </c>
      <c r="AS15" s="7">
        <v>67.0</v>
      </c>
      <c r="AT15" s="7">
        <v>92.0</v>
      </c>
    </row>
    <row r="16">
      <c r="A16" s="4" t="s">
        <v>74</v>
      </c>
      <c r="B16" s="4" t="s">
        <v>118</v>
      </c>
      <c r="C16" s="4" t="s">
        <v>47</v>
      </c>
      <c r="D16" s="4">
        <v>33.0</v>
      </c>
      <c r="E16" s="5" t="s">
        <v>119</v>
      </c>
      <c r="F16" s="5" t="s">
        <v>120</v>
      </c>
      <c r="G16" s="4" t="s">
        <v>52</v>
      </c>
      <c r="H16" s="4" t="s">
        <v>51</v>
      </c>
      <c r="I16" s="4" t="s">
        <v>50</v>
      </c>
      <c r="J16" s="4" t="s">
        <v>50</v>
      </c>
      <c r="K16" s="4" t="s">
        <v>51</v>
      </c>
      <c r="L16" s="4" t="s">
        <v>70</v>
      </c>
      <c r="M16" s="4" t="s">
        <v>51</v>
      </c>
      <c r="N16" s="4" t="s">
        <v>51</v>
      </c>
      <c r="O16" s="4" t="s">
        <v>52</v>
      </c>
      <c r="P16" s="4" t="s">
        <v>52</v>
      </c>
      <c r="Q16" s="4" t="s">
        <v>51</v>
      </c>
      <c r="R16" s="4" t="s">
        <v>51</v>
      </c>
      <c r="S16" s="4" t="s">
        <v>50</v>
      </c>
      <c r="T16" s="4" t="s">
        <v>50</v>
      </c>
      <c r="U16" s="4" t="s">
        <v>52</v>
      </c>
      <c r="V16" s="4" t="s">
        <v>54</v>
      </c>
      <c r="W16" s="4" t="s">
        <v>53</v>
      </c>
      <c r="X16" s="4" t="s">
        <v>56</v>
      </c>
      <c r="Y16" s="4" t="s">
        <v>55</v>
      </c>
      <c r="Z16" s="4" t="s">
        <v>78</v>
      </c>
      <c r="AA16" s="4" t="s">
        <v>53</v>
      </c>
      <c r="AB16" s="4" t="s">
        <v>54</v>
      </c>
      <c r="AC16" s="4" t="s">
        <v>53</v>
      </c>
      <c r="AD16" s="4" t="s">
        <v>109</v>
      </c>
      <c r="AE16" s="4" t="s">
        <v>59</v>
      </c>
      <c r="AF16" s="4" t="s">
        <v>85</v>
      </c>
      <c r="AG16" s="4" t="s">
        <v>59</v>
      </c>
      <c r="AH16" s="4" t="s">
        <v>59</v>
      </c>
      <c r="AI16" s="4" t="s">
        <v>90</v>
      </c>
      <c r="AJ16" s="4" t="s">
        <v>90</v>
      </c>
      <c r="AK16" s="4" t="s">
        <v>63</v>
      </c>
      <c r="AL16" s="4">
        <v>3.0</v>
      </c>
      <c r="AM16" s="6">
        <v>40.0</v>
      </c>
      <c r="AN16" s="6">
        <v>34.0</v>
      </c>
      <c r="AO16" s="6">
        <v>7.0</v>
      </c>
      <c r="AP16" s="6">
        <v>5.0</v>
      </c>
      <c r="AQ16" s="7">
        <v>62.0</v>
      </c>
      <c r="AR16" s="7">
        <v>68.0</v>
      </c>
      <c r="AS16" s="7">
        <v>29.0</v>
      </c>
      <c r="AT16" s="7">
        <v>42.0</v>
      </c>
    </row>
    <row r="17">
      <c r="A17" s="4" t="s">
        <v>74</v>
      </c>
      <c r="B17" s="4" t="s">
        <v>121</v>
      </c>
      <c r="C17" s="4" t="s">
        <v>65</v>
      </c>
      <c r="D17" s="4">
        <v>30.0</v>
      </c>
      <c r="E17" s="5" t="s">
        <v>122</v>
      </c>
      <c r="F17" s="5" t="s">
        <v>123</v>
      </c>
      <c r="G17" s="4" t="s">
        <v>51</v>
      </c>
      <c r="H17" s="4" t="s">
        <v>50</v>
      </c>
      <c r="I17" s="4" t="s">
        <v>69</v>
      </c>
      <c r="J17" s="4" t="s">
        <v>50</v>
      </c>
      <c r="K17" s="4" t="s">
        <v>70</v>
      </c>
      <c r="L17" s="4" t="s">
        <v>50</v>
      </c>
      <c r="M17" s="4" t="s">
        <v>70</v>
      </c>
      <c r="N17" s="4" t="s">
        <v>50</v>
      </c>
      <c r="O17" s="4" t="s">
        <v>51</v>
      </c>
      <c r="P17" s="4" t="s">
        <v>50</v>
      </c>
      <c r="Q17" s="4" t="s">
        <v>51</v>
      </c>
      <c r="R17" s="4" t="s">
        <v>50</v>
      </c>
      <c r="S17" s="4" t="s">
        <v>51</v>
      </c>
      <c r="T17" s="4" t="s">
        <v>51</v>
      </c>
      <c r="U17" s="4" t="s">
        <v>52</v>
      </c>
      <c r="V17" s="4" t="s">
        <v>56</v>
      </c>
      <c r="W17" s="4" t="s">
        <v>78</v>
      </c>
      <c r="X17" s="4" t="s">
        <v>53</v>
      </c>
      <c r="Y17" s="4" t="s">
        <v>54</v>
      </c>
      <c r="Z17" s="4" t="s">
        <v>56</v>
      </c>
      <c r="AA17" s="4" t="s">
        <v>55</v>
      </c>
      <c r="AB17" s="4" t="s">
        <v>56</v>
      </c>
      <c r="AC17" s="4" t="s">
        <v>57</v>
      </c>
      <c r="AD17" s="4" t="s">
        <v>80</v>
      </c>
      <c r="AE17" s="4" t="s">
        <v>59</v>
      </c>
      <c r="AF17" s="4" t="s">
        <v>61</v>
      </c>
      <c r="AG17" s="4" t="s">
        <v>78</v>
      </c>
      <c r="AH17" s="4" t="s">
        <v>78</v>
      </c>
      <c r="AI17" s="4" t="s">
        <v>62</v>
      </c>
      <c r="AJ17" s="4" t="s">
        <v>90</v>
      </c>
      <c r="AK17" s="4" t="s">
        <v>93</v>
      </c>
      <c r="AL17" s="4">
        <v>3.0</v>
      </c>
      <c r="AM17" s="6">
        <v>29.0</v>
      </c>
      <c r="AN17" s="6">
        <v>22.0</v>
      </c>
      <c r="AO17" s="6">
        <v>4.0</v>
      </c>
      <c r="AP17" s="6">
        <v>5.0</v>
      </c>
      <c r="AQ17" s="7">
        <v>45.0</v>
      </c>
      <c r="AR17" s="7">
        <v>44.0</v>
      </c>
      <c r="AS17" s="7">
        <v>17.0</v>
      </c>
      <c r="AT17" s="7">
        <v>42.0</v>
      </c>
    </row>
    <row r="18">
      <c r="A18" s="4" t="s">
        <v>74</v>
      </c>
      <c r="B18" s="4" t="s">
        <v>124</v>
      </c>
      <c r="C18" s="4" t="s">
        <v>47</v>
      </c>
      <c r="D18" s="4">
        <v>34.0</v>
      </c>
      <c r="E18" s="5" t="s">
        <v>125</v>
      </c>
      <c r="F18" s="5" t="s">
        <v>126</v>
      </c>
      <c r="G18" s="4" t="s">
        <v>52</v>
      </c>
      <c r="H18" s="4" t="s">
        <v>52</v>
      </c>
      <c r="I18" s="4" t="s">
        <v>51</v>
      </c>
      <c r="J18" s="4" t="s">
        <v>51</v>
      </c>
      <c r="K18" s="4" t="s">
        <v>51</v>
      </c>
      <c r="L18" s="4" t="s">
        <v>50</v>
      </c>
      <c r="M18" s="4" t="s">
        <v>52</v>
      </c>
      <c r="N18" s="4" t="s">
        <v>52</v>
      </c>
      <c r="O18" s="4" t="s">
        <v>52</v>
      </c>
      <c r="P18" s="4" t="s">
        <v>52</v>
      </c>
      <c r="Q18" s="4" t="s">
        <v>51</v>
      </c>
      <c r="R18" s="4" t="s">
        <v>51</v>
      </c>
      <c r="S18" s="4" t="s">
        <v>52</v>
      </c>
      <c r="T18" s="4" t="s">
        <v>52</v>
      </c>
      <c r="U18" s="4" t="s">
        <v>68</v>
      </c>
      <c r="V18" s="4" t="s">
        <v>54</v>
      </c>
      <c r="W18" s="4" t="s">
        <v>78</v>
      </c>
      <c r="X18" s="4" t="s">
        <v>56</v>
      </c>
      <c r="Y18" s="4" t="s">
        <v>84</v>
      </c>
      <c r="Z18" s="4" t="s">
        <v>78</v>
      </c>
      <c r="AA18" s="4" t="s">
        <v>56</v>
      </c>
      <c r="AB18" s="4" t="s">
        <v>56</v>
      </c>
      <c r="AC18" s="4" t="s">
        <v>79</v>
      </c>
      <c r="AD18" s="4" t="s">
        <v>80</v>
      </c>
      <c r="AE18" s="4" t="s">
        <v>61</v>
      </c>
      <c r="AF18" s="4" t="s">
        <v>61</v>
      </c>
      <c r="AG18" s="4" t="s">
        <v>61</v>
      </c>
      <c r="AH18" s="4" t="s">
        <v>85</v>
      </c>
      <c r="AI18" s="4" t="s">
        <v>62</v>
      </c>
      <c r="AJ18" s="4" t="s">
        <v>62</v>
      </c>
      <c r="AK18" s="4" t="s">
        <v>63</v>
      </c>
      <c r="AL18" s="4">
        <v>4.0</v>
      </c>
      <c r="AM18" s="6">
        <v>49.0</v>
      </c>
      <c r="AN18" s="6">
        <v>37.0</v>
      </c>
      <c r="AO18" s="6">
        <v>11.0</v>
      </c>
      <c r="AP18" s="6">
        <v>5.0</v>
      </c>
      <c r="AQ18" s="7">
        <v>75.0</v>
      </c>
      <c r="AR18" s="7">
        <v>74.0</v>
      </c>
      <c r="AS18" s="7">
        <v>46.0</v>
      </c>
      <c r="AT18" s="7">
        <v>42.0</v>
      </c>
    </row>
    <row r="19">
      <c r="A19" s="4" t="s">
        <v>74</v>
      </c>
      <c r="B19" s="4" t="s">
        <v>127</v>
      </c>
      <c r="C19" s="4" t="s">
        <v>65</v>
      </c>
      <c r="D19" s="4">
        <v>38.0</v>
      </c>
      <c r="E19" s="5" t="s">
        <v>128</v>
      </c>
      <c r="F19" s="5" t="s">
        <v>129</v>
      </c>
      <c r="G19" s="4" t="s">
        <v>51</v>
      </c>
      <c r="H19" s="4" t="s">
        <v>52</v>
      </c>
      <c r="I19" s="4" t="s">
        <v>68</v>
      </c>
      <c r="J19" s="4" t="s">
        <v>51</v>
      </c>
      <c r="K19" s="4" t="s">
        <v>51</v>
      </c>
      <c r="L19" s="4" t="s">
        <v>50</v>
      </c>
      <c r="M19" s="4" t="s">
        <v>52</v>
      </c>
      <c r="N19" s="4" t="s">
        <v>52</v>
      </c>
      <c r="O19" s="4" t="s">
        <v>51</v>
      </c>
      <c r="P19" s="4" t="s">
        <v>68</v>
      </c>
      <c r="Q19" s="4" t="s">
        <v>51</v>
      </c>
      <c r="R19" s="4" t="s">
        <v>51</v>
      </c>
      <c r="S19" s="4" t="s">
        <v>69</v>
      </c>
      <c r="T19" s="4" t="s">
        <v>52</v>
      </c>
      <c r="U19" s="4" t="s">
        <v>52</v>
      </c>
      <c r="V19" s="4" t="s">
        <v>53</v>
      </c>
      <c r="W19" s="4" t="s">
        <v>54</v>
      </c>
      <c r="X19" s="4" t="s">
        <v>54</v>
      </c>
      <c r="Y19" s="4" t="s">
        <v>54</v>
      </c>
      <c r="Z19" s="4" t="s">
        <v>53</v>
      </c>
      <c r="AA19" s="4" t="s">
        <v>53</v>
      </c>
      <c r="AB19" s="4" t="s">
        <v>53</v>
      </c>
      <c r="AC19" s="4" t="s">
        <v>53</v>
      </c>
      <c r="AD19" s="4" t="s">
        <v>58</v>
      </c>
      <c r="AE19" s="4" t="s">
        <v>59</v>
      </c>
      <c r="AF19" s="4" t="s">
        <v>85</v>
      </c>
      <c r="AG19" s="4" t="s">
        <v>85</v>
      </c>
      <c r="AH19" s="4" t="s">
        <v>59</v>
      </c>
      <c r="AI19" s="4" t="s">
        <v>62</v>
      </c>
      <c r="AJ19" s="4" t="s">
        <v>62</v>
      </c>
      <c r="AK19" s="4" t="s">
        <v>81</v>
      </c>
      <c r="AL19" s="4">
        <v>3.0</v>
      </c>
      <c r="AM19" s="6">
        <v>45.0</v>
      </c>
      <c r="AN19" s="6">
        <v>23.0</v>
      </c>
      <c r="AO19" s="6">
        <v>7.0</v>
      </c>
      <c r="AP19" s="6">
        <v>5.0</v>
      </c>
      <c r="AQ19" s="7">
        <v>69.0</v>
      </c>
      <c r="AR19" s="7">
        <v>46.0</v>
      </c>
      <c r="AS19" s="7">
        <v>29.0</v>
      </c>
      <c r="AT19" s="7">
        <v>42.0</v>
      </c>
    </row>
    <row r="20">
      <c r="A20" s="4" t="s">
        <v>74</v>
      </c>
      <c r="B20" s="4" t="s">
        <v>130</v>
      </c>
      <c r="C20" s="4" t="s">
        <v>47</v>
      </c>
      <c r="D20" s="4">
        <v>23.0</v>
      </c>
      <c r="E20" s="5" t="s">
        <v>131</v>
      </c>
      <c r="F20" s="5" t="s">
        <v>132</v>
      </c>
      <c r="G20" s="4" t="s">
        <v>51</v>
      </c>
      <c r="H20" s="4" t="s">
        <v>52</v>
      </c>
      <c r="I20" s="4" t="s">
        <v>68</v>
      </c>
      <c r="J20" s="4" t="s">
        <v>52</v>
      </c>
      <c r="K20" s="4" t="s">
        <v>51</v>
      </c>
      <c r="L20" s="4" t="s">
        <v>52</v>
      </c>
      <c r="M20" s="4" t="s">
        <v>52</v>
      </c>
      <c r="N20" s="4" t="s">
        <v>51</v>
      </c>
      <c r="O20" s="4" t="s">
        <v>51</v>
      </c>
      <c r="P20" s="4" t="s">
        <v>52</v>
      </c>
      <c r="Q20" s="4" t="s">
        <v>52</v>
      </c>
      <c r="R20" s="4" t="s">
        <v>52</v>
      </c>
      <c r="S20" s="4" t="s">
        <v>68</v>
      </c>
      <c r="T20" s="4" t="s">
        <v>52</v>
      </c>
      <c r="U20" s="4" t="s">
        <v>52</v>
      </c>
      <c r="V20" s="4" t="s">
        <v>54</v>
      </c>
      <c r="W20" s="4" t="s">
        <v>54</v>
      </c>
      <c r="X20" s="4" t="s">
        <v>56</v>
      </c>
      <c r="Y20" s="4" t="s">
        <v>53</v>
      </c>
      <c r="Z20" s="4" t="s">
        <v>78</v>
      </c>
      <c r="AA20" s="4" t="s">
        <v>78</v>
      </c>
      <c r="AB20" s="4" t="s">
        <v>53</v>
      </c>
      <c r="AC20" s="4" t="s">
        <v>57</v>
      </c>
      <c r="AD20" s="4" t="s">
        <v>97</v>
      </c>
      <c r="AE20" s="4" t="s">
        <v>60</v>
      </c>
      <c r="AF20" s="4" t="s">
        <v>60</v>
      </c>
      <c r="AG20" s="4" t="s">
        <v>60</v>
      </c>
      <c r="AH20" s="4" t="s">
        <v>61</v>
      </c>
      <c r="AI20" s="4" t="s">
        <v>90</v>
      </c>
      <c r="AJ20" s="4" t="s">
        <v>90</v>
      </c>
      <c r="AK20" s="4" t="s">
        <v>63</v>
      </c>
      <c r="AL20" s="4">
        <v>4.0</v>
      </c>
      <c r="AM20" s="6">
        <v>50.0</v>
      </c>
      <c r="AN20" s="6">
        <v>36.0</v>
      </c>
      <c r="AO20" s="6">
        <v>21.0</v>
      </c>
      <c r="AP20" s="6">
        <v>10.0</v>
      </c>
      <c r="AQ20" s="7">
        <v>77.0</v>
      </c>
      <c r="AR20" s="7">
        <v>72.0</v>
      </c>
      <c r="AS20" s="7">
        <v>88.0</v>
      </c>
      <c r="AT20" s="7">
        <v>83.0</v>
      </c>
    </row>
    <row r="21">
      <c r="A21" s="4" t="s">
        <v>74</v>
      </c>
      <c r="B21" s="4" t="s">
        <v>133</v>
      </c>
      <c r="C21" s="4" t="s">
        <v>65</v>
      </c>
      <c r="D21" s="4">
        <v>23.0</v>
      </c>
      <c r="E21" s="5" t="s">
        <v>131</v>
      </c>
      <c r="F21" s="5" t="s">
        <v>134</v>
      </c>
      <c r="G21" s="4" t="s">
        <v>52</v>
      </c>
      <c r="H21" s="4" t="s">
        <v>51</v>
      </c>
      <c r="I21" s="4" t="s">
        <v>50</v>
      </c>
      <c r="J21" s="4" t="s">
        <v>68</v>
      </c>
      <c r="K21" s="4" t="s">
        <v>51</v>
      </c>
      <c r="L21" s="4" t="s">
        <v>52</v>
      </c>
      <c r="M21" s="4" t="s">
        <v>51</v>
      </c>
      <c r="N21" s="4" t="s">
        <v>52</v>
      </c>
      <c r="O21" s="4" t="s">
        <v>50</v>
      </c>
      <c r="P21" s="4" t="s">
        <v>52</v>
      </c>
      <c r="Q21" s="4" t="s">
        <v>52</v>
      </c>
      <c r="R21" s="4" t="s">
        <v>52</v>
      </c>
      <c r="S21" s="4" t="s">
        <v>68</v>
      </c>
      <c r="T21" s="4" t="s">
        <v>52</v>
      </c>
      <c r="U21" s="4" t="s">
        <v>51</v>
      </c>
      <c r="V21" s="4" t="s">
        <v>53</v>
      </c>
      <c r="W21" s="4" t="s">
        <v>78</v>
      </c>
      <c r="X21" s="4" t="s">
        <v>55</v>
      </c>
      <c r="Y21" s="4" t="s">
        <v>53</v>
      </c>
      <c r="Z21" s="4" t="s">
        <v>78</v>
      </c>
      <c r="AA21" s="4" t="s">
        <v>54</v>
      </c>
      <c r="AB21" s="4" t="s">
        <v>54</v>
      </c>
      <c r="AC21" s="4" t="s">
        <v>79</v>
      </c>
      <c r="AD21" s="4" t="s">
        <v>109</v>
      </c>
      <c r="AE21" s="4" t="s">
        <v>61</v>
      </c>
      <c r="AF21" s="4" t="s">
        <v>60</v>
      </c>
      <c r="AG21" s="4" t="s">
        <v>60</v>
      </c>
      <c r="AH21" s="4" t="s">
        <v>61</v>
      </c>
      <c r="AI21" s="4" t="s">
        <v>62</v>
      </c>
      <c r="AJ21" s="4" t="s">
        <v>90</v>
      </c>
      <c r="AK21" s="4" t="s">
        <v>86</v>
      </c>
      <c r="AL21" s="4">
        <v>4.0</v>
      </c>
      <c r="AM21" s="6">
        <v>45.0</v>
      </c>
      <c r="AN21" s="6">
        <v>39.0</v>
      </c>
      <c r="AO21" s="6">
        <v>18.0</v>
      </c>
      <c r="AP21" s="6">
        <v>10.0</v>
      </c>
      <c r="AQ21" s="7">
        <v>69.0</v>
      </c>
      <c r="AR21" s="7">
        <v>78.0</v>
      </c>
      <c r="AS21" s="7">
        <v>75.0</v>
      </c>
      <c r="AT21" s="7">
        <v>83.0</v>
      </c>
    </row>
    <row r="22">
      <c r="A22" s="4" t="s">
        <v>74</v>
      </c>
      <c r="B22" s="4" t="s">
        <v>135</v>
      </c>
      <c r="C22" s="4" t="s">
        <v>65</v>
      </c>
      <c r="D22" s="4">
        <v>42.0</v>
      </c>
      <c r="E22" s="5" t="s">
        <v>136</v>
      </c>
      <c r="F22" s="5" t="s">
        <v>129</v>
      </c>
      <c r="G22" s="4" t="s">
        <v>52</v>
      </c>
      <c r="H22" s="4" t="s">
        <v>52</v>
      </c>
      <c r="I22" s="4" t="s">
        <v>68</v>
      </c>
      <c r="J22" s="4" t="s">
        <v>68</v>
      </c>
      <c r="K22" s="4" t="s">
        <v>68</v>
      </c>
      <c r="L22" s="4" t="s">
        <v>68</v>
      </c>
      <c r="M22" s="4" t="s">
        <v>68</v>
      </c>
      <c r="N22" s="4" t="s">
        <v>68</v>
      </c>
      <c r="O22" s="4" t="s">
        <v>68</v>
      </c>
      <c r="P22" s="4" t="s">
        <v>68</v>
      </c>
      <c r="Q22" s="4" t="s">
        <v>68</v>
      </c>
      <c r="R22" s="4" t="s">
        <v>52</v>
      </c>
      <c r="S22" s="4" t="s">
        <v>52</v>
      </c>
      <c r="T22" s="4" t="s">
        <v>52</v>
      </c>
      <c r="U22" s="4" t="s">
        <v>52</v>
      </c>
      <c r="V22" s="4" t="s">
        <v>53</v>
      </c>
      <c r="W22" s="4" t="s">
        <v>54</v>
      </c>
      <c r="X22" s="4" t="s">
        <v>55</v>
      </c>
      <c r="Y22" s="4" t="s">
        <v>55</v>
      </c>
      <c r="Z22" s="4" t="s">
        <v>78</v>
      </c>
      <c r="AA22" s="4" t="s">
        <v>53</v>
      </c>
      <c r="AB22" s="4" t="s">
        <v>53</v>
      </c>
      <c r="AC22" s="4" t="s">
        <v>79</v>
      </c>
      <c r="AD22" s="4" t="s">
        <v>109</v>
      </c>
      <c r="AE22" s="4" t="s">
        <v>85</v>
      </c>
      <c r="AF22" s="4" t="s">
        <v>61</v>
      </c>
      <c r="AG22" s="4" t="s">
        <v>61</v>
      </c>
      <c r="AH22" s="4" t="s">
        <v>85</v>
      </c>
      <c r="AI22" s="4" t="s">
        <v>90</v>
      </c>
      <c r="AJ22" s="4" t="s">
        <v>90</v>
      </c>
      <c r="AK22" s="4" t="s">
        <v>73</v>
      </c>
      <c r="AL22" s="4">
        <v>2.0</v>
      </c>
      <c r="AM22" s="6">
        <v>59.0</v>
      </c>
      <c r="AN22" s="6">
        <v>34.0</v>
      </c>
      <c r="AO22" s="6">
        <v>12.0</v>
      </c>
      <c r="AP22" s="6">
        <v>12.0</v>
      </c>
      <c r="AQ22" s="7">
        <v>91.0</v>
      </c>
      <c r="AR22" s="7">
        <v>68.0</v>
      </c>
      <c r="AS22" s="7">
        <v>50.0</v>
      </c>
      <c r="AT22" s="7">
        <v>100.0</v>
      </c>
    </row>
    <row r="23">
      <c r="A23" s="4" t="s">
        <v>74</v>
      </c>
      <c r="B23" s="4" t="s">
        <v>137</v>
      </c>
      <c r="C23" s="4" t="s">
        <v>47</v>
      </c>
      <c r="D23" s="4">
        <v>23.0</v>
      </c>
      <c r="E23" s="5" t="s">
        <v>138</v>
      </c>
      <c r="F23" s="5" t="s">
        <v>139</v>
      </c>
      <c r="G23" s="4" t="s">
        <v>51</v>
      </c>
      <c r="H23" s="4" t="s">
        <v>52</v>
      </c>
      <c r="I23" s="4" t="s">
        <v>51</v>
      </c>
      <c r="J23" s="4" t="s">
        <v>52</v>
      </c>
      <c r="K23" s="4" t="s">
        <v>52</v>
      </c>
      <c r="L23" s="4" t="s">
        <v>51</v>
      </c>
      <c r="M23" s="4" t="s">
        <v>51</v>
      </c>
      <c r="N23" s="4" t="s">
        <v>51</v>
      </c>
      <c r="O23" s="4" t="s">
        <v>52</v>
      </c>
      <c r="P23" s="4" t="s">
        <v>52</v>
      </c>
      <c r="Q23" s="4" t="s">
        <v>68</v>
      </c>
      <c r="R23" s="4" t="s">
        <v>52</v>
      </c>
      <c r="S23" s="4" t="s">
        <v>52</v>
      </c>
      <c r="T23" s="4" t="s">
        <v>68</v>
      </c>
      <c r="U23" s="4" t="s">
        <v>52</v>
      </c>
      <c r="V23" s="4" t="s">
        <v>78</v>
      </c>
      <c r="W23" s="4" t="s">
        <v>54</v>
      </c>
      <c r="X23" s="4" t="s">
        <v>84</v>
      </c>
      <c r="Y23" s="4" t="s">
        <v>55</v>
      </c>
      <c r="Z23" s="4" t="s">
        <v>78</v>
      </c>
      <c r="AA23" s="4" t="s">
        <v>53</v>
      </c>
      <c r="AB23" s="4" t="s">
        <v>56</v>
      </c>
      <c r="AC23" s="4" t="s">
        <v>79</v>
      </c>
      <c r="AD23" s="4" t="s">
        <v>109</v>
      </c>
      <c r="AE23" s="4" t="s">
        <v>61</v>
      </c>
      <c r="AF23" s="4" t="s">
        <v>61</v>
      </c>
      <c r="AG23" s="4" t="s">
        <v>59</v>
      </c>
      <c r="AH23" s="4" t="s">
        <v>78</v>
      </c>
      <c r="AI23" s="4" t="s">
        <v>90</v>
      </c>
      <c r="AJ23" s="4" t="s">
        <v>90</v>
      </c>
      <c r="AK23" s="4" t="s">
        <v>98</v>
      </c>
      <c r="AL23" s="4">
        <v>5.0</v>
      </c>
      <c r="AM23" s="6">
        <v>50.0</v>
      </c>
      <c r="AN23" s="6">
        <v>42.0</v>
      </c>
      <c r="AO23" s="6">
        <v>9.0</v>
      </c>
      <c r="AP23" s="6">
        <v>9.0</v>
      </c>
      <c r="AQ23" s="7">
        <v>77.0</v>
      </c>
      <c r="AR23" s="7">
        <v>84.0</v>
      </c>
      <c r="AS23" s="7">
        <v>38.0</v>
      </c>
      <c r="AT23" s="7">
        <v>75.0</v>
      </c>
    </row>
    <row r="24">
      <c r="A24" s="4" t="s">
        <v>74</v>
      </c>
      <c r="B24" s="4" t="s">
        <v>140</v>
      </c>
      <c r="C24" s="4" t="s">
        <v>47</v>
      </c>
      <c r="D24" s="4">
        <v>23.0</v>
      </c>
      <c r="E24" s="5" t="s">
        <v>141</v>
      </c>
      <c r="F24" s="5" t="s">
        <v>142</v>
      </c>
      <c r="G24" s="4" t="s">
        <v>51</v>
      </c>
      <c r="H24" s="4" t="s">
        <v>51</v>
      </c>
      <c r="I24" s="4" t="s">
        <v>51</v>
      </c>
      <c r="J24" s="4" t="s">
        <v>51</v>
      </c>
      <c r="K24" s="4" t="s">
        <v>50</v>
      </c>
      <c r="L24" s="4" t="s">
        <v>51</v>
      </c>
      <c r="M24" s="4" t="s">
        <v>52</v>
      </c>
      <c r="N24" s="4" t="s">
        <v>52</v>
      </c>
      <c r="O24" s="4" t="s">
        <v>68</v>
      </c>
      <c r="P24" s="4" t="s">
        <v>52</v>
      </c>
      <c r="Q24" s="4" t="s">
        <v>51</v>
      </c>
      <c r="R24" s="4" t="s">
        <v>52</v>
      </c>
      <c r="S24" s="4" t="s">
        <v>51</v>
      </c>
      <c r="T24" s="4" t="s">
        <v>51</v>
      </c>
      <c r="U24" s="4" t="s">
        <v>68</v>
      </c>
      <c r="V24" s="4" t="s">
        <v>55</v>
      </c>
      <c r="W24" s="4" t="s">
        <v>54</v>
      </c>
      <c r="X24" s="4" t="s">
        <v>53</v>
      </c>
      <c r="Y24" s="4" t="s">
        <v>54</v>
      </c>
      <c r="Z24" s="4" t="s">
        <v>78</v>
      </c>
      <c r="AA24" s="4" t="s">
        <v>56</v>
      </c>
      <c r="AB24" s="4" t="s">
        <v>55</v>
      </c>
      <c r="AC24" s="4" t="s">
        <v>79</v>
      </c>
      <c r="AD24" s="4" t="s">
        <v>71</v>
      </c>
      <c r="AE24" s="4" t="s">
        <v>72</v>
      </c>
      <c r="AF24" s="4" t="s">
        <v>60</v>
      </c>
      <c r="AG24" s="4" t="s">
        <v>61</v>
      </c>
      <c r="AH24" s="4" t="s">
        <v>72</v>
      </c>
      <c r="AI24" s="4" t="s">
        <v>62</v>
      </c>
      <c r="AJ24" s="4" t="s">
        <v>62</v>
      </c>
      <c r="AK24" s="4" t="s">
        <v>63</v>
      </c>
      <c r="AL24" s="4">
        <v>5.0</v>
      </c>
      <c r="AM24" s="6">
        <v>46.0</v>
      </c>
      <c r="AN24" s="6">
        <v>28.0</v>
      </c>
      <c r="AO24" s="6">
        <v>20.0</v>
      </c>
      <c r="AP24" s="6">
        <v>6.0</v>
      </c>
      <c r="AQ24" s="7">
        <v>71.0</v>
      </c>
      <c r="AR24" s="7">
        <v>56.0</v>
      </c>
      <c r="AS24" s="7">
        <v>83.0</v>
      </c>
      <c r="AT24" s="7">
        <v>50.0</v>
      </c>
    </row>
    <row r="25">
      <c r="A25" s="4" t="s">
        <v>74</v>
      </c>
      <c r="B25" s="4" t="s">
        <v>143</v>
      </c>
      <c r="C25" s="4" t="s">
        <v>65</v>
      </c>
      <c r="D25" s="4">
        <v>22.0</v>
      </c>
      <c r="E25" s="5" t="s">
        <v>144</v>
      </c>
      <c r="F25" s="5" t="s">
        <v>83</v>
      </c>
      <c r="G25" s="4" t="s">
        <v>68</v>
      </c>
      <c r="H25" s="4" t="s">
        <v>52</v>
      </c>
      <c r="I25" s="4" t="s">
        <v>68</v>
      </c>
      <c r="J25" s="4" t="s">
        <v>52</v>
      </c>
      <c r="K25" s="4" t="s">
        <v>70</v>
      </c>
      <c r="L25" s="4" t="s">
        <v>51</v>
      </c>
      <c r="M25" s="4" t="s">
        <v>70</v>
      </c>
      <c r="N25" s="4" t="s">
        <v>70</v>
      </c>
      <c r="O25" s="4" t="s">
        <v>68</v>
      </c>
      <c r="P25" s="4" t="s">
        <v>52</v>
      </c>
      <c r="Q25" s="4" t="s">
        <v>52</v>
      </c>
      <c r="R25" s="4" t="s">
        <v>52</v>
      </c>
      <c r="S25" s="4" t="s">
        <v>68</v>
      </c>
      <c r="T25" s="4" t="s">
        <v>52</v>
      </c>
      <c r="U25" s="4" t="s">
        <v>51</v>
      </c>
      <c r="V25" s="4" t="s">
        <v>56</v>
      </c>
      <c r="W25" s="4" t="s">
        <v>54</v>
      </c>
      <c r="X25" s="4" t="s">
        <v>56</v>
      </c>
      <c r="Y25" s="4" t="s">
        <v>56</v>
      </c>
      <c r="Z25" s="4" t="s">
        <v>78</v>
      </c>
      <c r="AA25" s="4" t="s">
        <v>78</v>
      </c>
      <c r="AB25" s="4" t="s">
        <v>54</v>
      </c>
      <c r="AC25" s="4" t="s">
        <v>79</v>
      </c>
      <c r="AD25" s="4" t="s">
        <v>97</v>
      </c>
      <c r="AE25" s="4" t="s">
        <v>60</v>
      </c>
      <c r="AF25" s="4" t="s">
        <v>60</v>
      </c>
      <c r="AG25" s="4" t="s">
        <v>61</v>
      </c>
      <c r="AH25" s="4" t="s">
        <v>60</v>
      </c>
      <c r="AI25" s="4" t="s">
        <v>62</v>
      </c>
      <c r="AJ25" s="4" t="s">
        <v>62</v>
      </c>
      <c r="AK25" s="4" t="s">
        <v>86</v>
      </c>
      <c r="AL25" s="4">
        <v>5.0</v>
      </c>
      <c r="AM25" s="6">
        <v>46.0</v>
      </c>
      <c r="AN25" s="6">
        <v>39.0</v>
      </c>
      <c r="AO25" s="6">
        <v>21.0</v>
      </c>
      <c r="AP25" s="6">
        <v>7.0</v>
      </c>
      <c r="AQ25" s="7">
        <v>71.0</v>
      </c>
      <c r="AR25" s="7">
        <v>78.0</v>
      </c>
      <c r="AS25" s="7">
        <v>88.0</v>
      </c>
      <c r="AT25" s="7">
        <v>58.0</v>
      </c>
    </row>
    <row r="26">
      <c r="A26" s="4" t="s">
        <v>74</v>
      </c>
      <c r="B26" s="4" t="s">
        <v>145</v>
      </c>
      <c r="C26" s="4" t="s">
        <v>65</v>
      </c>
      <c r="D26" s="4">
        <v>28.0</v>
      </c>
      <c r="E26" s="5" t="s">
        <v>146</v>
      </c>
      <c r="F26" s="5" t="s">
        <v>147</v>
      </c>
      <c r="G26" s="4" t="s">
        <v>69</v>
      </c>
      <c r="H26" s="4" t="s">
        <v>69</v>
      </c>
      <c r="I26" s="4" t="s">
        <v>68</v>
      </c>
      <c r="J26" s="4" t="s">
        <v>69</v>
      </c>
      <c r="K26" s="4" t="s">
        <v>69</v>
      </c>
      <c r="L26" s="4" t="s">
        <v>69</v>
      </c>
      <c r="M26" s="4" t="s">
        <v>70</v>
      </c>
      <c r="N26" s="4" t="s">
        <v>70</v>
      </c>
      <c r="O26" s="4" t="s">
        <v>51</v>
      </c>
      <c r="P26" s="4" t="s">
        <v>52</v>
      </c>
      <c r="Q26" s="4" t="s">
        <v>69</v>
      </c>
      <c r="R26" s="4" t="s">
        <v>70</v>
      </c>
      <c r="S26" s="4" t="s">
        <v>69</v>
      </c>
      <c r="T26" s="4" t="s">
        <v>70</v>
      </c>
      <c r="U26" s="4" t="s">
        <v>51</v>
      </c>
      <c r="V26" s="4" t="s">
        <v>84</v>
      </c>
      <c r="W26" s="4" t="s">
        <v>84</v>
      </c>
      <c r="X26" s="4" t="s">
        <v>84</v>
      </c>
      <c r="Y26" s="4" t="s">
        <v>78</v>
      </c>
      <c r="Z26" s="4" t="s">
        <v>55</v>
      </c>
      <c r="AA26" s="4" t="s">
        <v>84</v>
      </c>
      <c r="AB26" s="4" t="s">
        <v>84</v>
      </c>
      <c r="AC26" s="4" t="s">
        <v>78</v>
      </c>
      <c r="AD26" s="4" t="s">
        <v>80</v>
      </c>
      <c r="AE26" s="4" t="s">
        <v>78</v>
      </c>
      <c r="AF26" s="4" t="s">
        <v>78</v>
      </c>
      <c r="AG26" s="4" t="s">
        <v>78</v>
      </c>
      <c r="AH26" s="4" t="s">
        <v>78</v>
      </c>
      <c r="AI26" s="4" t="s">
        <v>62</v>
      </c>
      <c r="AJ26" s="4" t="s">
        <v>62</v>
      </c>
      <c r="AK26" s="4" t="s">
        <v>81</v>
      </c>
      <c r="AL26" s="4">
        <v>0.0</v>
      </c>
      <c r="AM26" s="6">
        <v>19.0</v>
      </c>
      <c r="AN26" s="6">
        <v>6.0</v>
      </c>
      <c r="AO26" s="6">
        <v>0.0</v>
      </c>
      <c r="AP26" s="6">
        <v>0.0</v>
      </c>
      <c r="AQ26" s="7">
        <v>29.0</v>
      </c>
      <c r="AR26" s="7">
        <v>12.0</v>
      </c>
      <c r="AS26" s="7">
        <v>0.0</v>
      </c>
      <c r="AT26" s="7">
        <v>0.0</v>
      </c>
    </row>
    <row r="27">
      <c r="A27" s="4" t="s">
        <v>74</v>
      </c>
      <c r="B27" s="4" t="s">
        <v>148</v>
      </c>
      <c r="C27" s="4" t="s">
        <v>47</v>
      </c>
      <c r="D27" s="4">
        <v>38.0</v>
      </c>
      <c r="E27" s="5" t="s">
        <v>149</v>
      </c>
      <c r="F27" s="5" t="s">
        <v>150</v>
      </c>
      <c r="G27" s="4" t="s">
        <v>51</v>
      </c>
      <c r="H27" s="4" t="s">
        <v>52</v>
      </c>
      <c r="I27" s="4" t="s">
        <v>68</v>
      </c>
      <c r="J27" s="4" t="s">
        <v>68</v>
      </c>
      <c r="K27" s="4" t="s">
        <v>68</v>
      </c>
      <c r="L27" s="4" t="s">
        <v>52</v>
      </c>
      <c r="M27" s="4" t="s">
        <v>51</v>
      </c>
      <c r="N27" s="4" t="s">
        <v>51</v>
      </c>
      <c r="O27" s="4" t="s">
        <v>51</v>
      </c>
      <c r="P27" s="4" t="s">
        <v>52</v>
      </c>
      <c r="Q27" s="4" t="s">
        <v>52</v>
      </c>
      <c r="R27" s="4" t="s">
        <v>68</v>
      </c>
      <c r="S27" s="4" t="s">
        <v>52</v>
      </c>
      <c r="T27" s="4" t="s">
        <v>52</v>
      </c>
      <c r="U27" s="4" t="s">
        <v>51</v>
      </c>
      <c r="V27" s="4" t="s">
        <v>54</v>
      </c>
      <c r="W27" s="4" t="s">
        <v>55</v>
      </c>
      <c r="X27" s="4" t="s">
        <v>56</v>
      </c>
      <c r="Y27" s="4" t="s">
        <v>55</v>
      </c>
      <c r="Z27" s="4" t="s">
        <v>54</v>
      </c>
      <c r="AA27" s="4" t="s">
        <v>53</v>
      </c>
      <c r="AB27" s="4" t="s">
        <v>53</v>
      </c>
      <c r="AC27" s="4" t="s">
        <v>53</v>
      </c>
      <c r="AD27" s="4" t="s">
        <v>109</v>
      </c>
      <c r="AE27" s="4" t="s">
        <v>60</v>
      </c>
      <c r="AF27" s="4" t="s">
        <v>60</v>
      </c>
      <c r="AG27" s="4" t="s">
        <v>72</v>
      </c>
      <c r="AH27" s="4" t="s">
        <v>60</v>
      </c>
      <c r="AI27" s="4" t="s">
        <v>90</v>
      </c>
      <c r="AJ27" s="4" t="s">
        <v>90</v>
      </c>
      <c r="AK27" s="4" t="s">
        <v>86</v>
      </c>
      <c r="AL27" s="4">
        <v>5.0</v>
      </c>
      <c r="AM27" s="6">
        <v>50.0</v>
      </c>
      <c r="AN27" s="6">
        <v>33.0</v>
      </c>
      <c r="AO27" s="6">
        <v>21.0</v>
      </c>
      <c r="AP27" s="6">
        <v>11.0</v>
      </c>
      <c r="AQ27" s="7">
        <v>77.0</v>
      </c>
      <c r="AR27" s="7">
        <v>66.0</v>
      </c>
      <c r="AS27" s="7">
        <v>88.0</v>
      </c>
      <c r="AT27" s="7">
        <v>92.0</v>
      </c>
    </row>
    <row r="28">
      <c r="A28" s="4" t="s">
        <v>74</v>
      </c>
      <c r="B28" s="4" t="s">
        <v>151</v>
      </c>
      <c r="C28" s="4" t="s">
        <v>65</v>
      </c>
      <c r="D28" s="4">
        <v>28.0</v>
      </c>
      <c r="E28" s="5" t="s">
        <v>152</v>
      </c>
      <c r="F28" s="5" t="s">
        <v>89</v>
      </c>
      <c r="G28" s="4" t="s">
        <v>50</v>
      </c>
      <c r="H28" s="4" t="s">
        <v>50</v>
      </c>
      <c r="I28" s="4" t="s">
        <v>52</v>
      </c>
      <c r="J28" s="4" t="s">
        <v>52</v>
      </c>
      <c r="K28" s="4" t="s">
        <v>50</v>
      </c>
      <c r="L28" s="4" t="s">
        <v>68</v>
      </c>
      <c r="M28" s="4" t="s">
        <v>50</v>
      </c>
      <c r="N28" s="4" t="s">
        <v>52</v>
      </c>
      <c r="O28" s="4" t="s">
        <v>69</v>
      </c>
      <c r="P28" s="4" t="s">
        <v>69</v>
      </c>
      <c r="Q28" s="4" t="s">
        <v>70</v>
      </c>
      <c r="R28" s="4" t="s">
        <v>70</v>
      </c>
      <c r="S28" s="4" t="s">
        <v>70</v>
      </c>
      <c r="T28" s="4" t="s">
        <v>69</v>
      </c>
      <c r="U28" s="4" t="s">
        <v>69</v>
      </c>
      <c r="V28" s="4" t="s">
        <v>84</v>
      </c>
      <c r="W28" s="4" t="s">
        <v>56</v>
      </c>
      <c r="X28" s="4" t="s">
        <v>54</v>
      </c>
      <c r="Y28" s="4" t="s">
        <v>53</v>
      </c>
      <c r="Z28" s="4" t="s">
        <v>56</v>
      </c>
      <c r="AA28" s="4" t="s">
        <v>55</v>
      </c>
      <c r="AB28" s="4" t="s">
        <v>55</v>
      </c>
      <c r="AC28" s="4" t="s">
        <v>54</v>
      </c>
      <c r="AD28" s="4" t="s">
        <v>80</v>
      </c>
      <c r="AE28" s="4" t="s">
        <v>61</v>
      </c>
      <c r="AF28" s="4" t="s">
        <v>72</v>
      </c>
      <c r="AG28" s="4" t="s">
        <v>72</v>
      </c>
      <c r="AH28" s="4" t="s">
        <v>78</v>
      </c>
      <c r="AI28" s="4" t="s">
        <v>62</v>
      </c>
      <c r="AJ28" s="4" t="s">
        <v>62</v>
      </c>
      <c r="AK28" s="4" t="s">
        <v>63</v>
      </c>
      <c r="AL28" s="4">
        <v>3.0</v>
      </c>
      <c r="AM28" s="6">
        <v>19.0</v>
      </c>
      <c r="AN28" s="6">
        <v>16.0</v>
      </c>
      <c r="AO28" s="6">
        <v>11.0</v>
      </c>
      <c r="AP28" s="6">
        <v>9.0</v>
      </c>
      <c r="AQ28" s="7">
        <v>29.0</v>
      </c>
      <c r="AR28" s="7">
        <v>32.0</v>
      </c>
      <c r="AS28" s="7">
        <v>46.0</v>
      </c>
      <c r="AT28" s="7">
        <v>75.0</v>
      </c>
    </row>
    <row r="29">
      <c r="A29" s="4" t="s">
        <v>74</v>
      </c>
      <c r="B29" s="4" t="s">
        <v>153</v>
      </c>
      <c r="C29" s="4" t="s">
        <v>47</v>
      </c>
      <c r="D29" s="4">
        <v>49.0</v>
      </c>
      <c r="E29" s="5" t="s">
        <v>154</v>
      </c>
      <c r="F29" s="5" t="s">
        <v>155</v>
      </c>
      <c r="G29" s="4" t="s">
        <v>69</v>
      </c>
      <c r="H29" s="4" t="s">
        <v>69</v>
      </c>
      <c r="I29" s="4" t="s">
        <v>69</v>
      </c>
      <c r="J29" s="4" t="s">
        <v>69</v>
      </c>
      <c r="K29" s="4" t="s">
        <v>51</v>
      </c>
      <c r="L29" s="4" t="s">
        <v>69</v>
      </c>
      <c r="M29" s="4" t="s">
        <v>69</v>
      </c>
      <c r="N29" s="4" t="s">
        <v>69</v>
      </c>
      <c r="O29" s="4" t="s">
        <v>68</v>
      </c>
      <c r="P29" s="4" t="s">
        <v>69</v>
      </c>
      <c r="Q29" s="4" t="s">
        <v>69</v>
      </c>
      <c r="R29" s="4" t="s">
        <v>69</v>
      </c>
      <c r="S29" s="4" t="s">
        <v>52</v>
      </c>
      <c r="T29" s="4" t="s">
        <v>69</v>
      </c>
      <c r="U29" s="4" t="s">
        <v>69</v>
      </c>
      <c r="V29" s="4" t="s">
        <v>53</v>
      </c>
      <c r="W29" s="4" t="s">
        <v>56</v>
      </c>
      <c r="X29" s="4" t="s">
        <v>54</v>
      </c>
      <c r="Y29" s="4" t="s">
        <v>55</v>
      </c>
      <c r="Z29" s="4" t="s">
        <v>54</v>
      </c>
      <c r="AA29" s="4" t="s">
        <v>56</v>
      </c>
      <c r="AB29" s="4" t="s">
        <v>55</v>
      </c>
      <c r="AC29" s="4" t="s">
        <v>78</v>
      </c>
      <c r="AD29" s="4" t="s">
        <v>80</v>
      </c>
      <c r="AE29" s="4" t="s">
        <v>78</v>
      </c>
      <c r="AF29" s="4" t="s">
        <v>85</v>
      </c>
      <c r="AG29" s="4" t="s">
        <v>78</v>
      </c>
      <c r="AH29" s="4" t="s">
        <v>78</v>
      </c>
      <c r="AI29" s="4" t="s">
        <v>62</v>
      </c>
      <c r="AJ29" s="4" t="s">
        <v>62</v>
      </c>
      <c r="AK29" s="4" t="s">
        <v>81</v>
      </c>
      <c r="AL29" s="4">
        <v>5.0</v>
      </c>
      <c r="AM29" s="6">
        <v>12.0</v>
      </c>
      <c r="AN29" s="6">
        <v>22.0</v>
      </c>
      <c r="AO29" s="6">
        <v>2.0</v>
      </c>
      <c r="AP29" s="6">
        <v>0.0</v>
      </c>
      <c r="AQ29" s="7">
        <v>18.0</v>
      </c>
      <c r="AR29" s="7">
        <v>44.0</v>
      </c>
      <c r="AS29" s="7">
        <v>8.0</v>
      </c>
      <c r="AT29" s="7">
        <v>0.0</v>
      </c>
    </row>
    <row r="30">
      <c r="A30" s="4" t="s">
        <v>74</v>
      </c>
      <c r="B30" s="4" t="s">
        <v>156</v>
      </c>
      <c r="C30" s="4" t="s">
        <v>65</v>
      </c>
      <c r="D30" s="4">
        <v>44.0</v>
      </c>
      <c r="E30" s="5" t="s">
        <v>154</v>
      </c>
      <c r="F30" s="5" t="s">
        <v>157</v>
      </c>
      <c r="G30" s="4" t="s">
        <v>69</v>
      </c>
      <c r="H30" s="4" t="s">
        <v>50</v>
      </c>
      <c r="I30" s="4" t="s">
        <v>52</v>
      </c>
      <c r="J30" s="4" t="s">
        <v>50</v>
      </c>
      <c r="K30" s="4" t="s">
        <v>52</v>
      </c>
      <c r="L30" s="4" t="s">
        <v>70</v>
      </c>
      <c r="M30" s="4" t="s">
        <v>51</v>
      </c>
      <c r="N30" s="4" t="s">
        <v>51</v>
      </c>
      <c r="O30" s="4" t="s">
        <v>52</v>
      </c>
      <c r="P30" s="4" t="s">
        <v>50</v>
      </c>
      <c r="Q30" s="4" t="s">
        <v>50</v>
      </c>
      <c r="R30" s="4" t="s">
        <v>51</v>
      </c>
      <c r="S30" s="4" t="s">
        <v>52</v>
      </c>
      <c r="T30" s="4" t="s">
        <v>52</v>
      </c>
      <c r="U30" s="4" t="s">
        <v>51</v>
      </c>
      <c r="V30" s="4" t="s">
        <v>54</v>
      </c>
      <c r="W30" s="4" t="s">
        <v>78</v>
      </c>
      <c r="X30" s="4" t="s">
        <v>56</v>
      </c>
      <c r="Y30" s="4" t="s">
        <v>84</v>
      </c>
      <c r="Z30" s="4" t="s">
        <v>54</v>
      </c>
      <c r="AA30" s="4" t="s">
        <v>53</v>
      </c>
      <c r="AB30" s="4" t="s">
        <v>54</v>
      </c>
      <c r="AC30" s="4" t="s">
        <v>79</v>
      </c>
      <c r="AD30" s="4" t="s">
        <v>58</v>
      </c>
      <c r="AE30" s="4" t="s">
        <v>61</v>
      </c>
      <c r="AF30" s="4" t="s">
        <v>61</v>
      </c>
      <c r="AG30" s="4" t="s">
        <v>85</v>
      </c>
      <c r="AH30" s="4" t="s">
        <v>59</v>
      </c>
      <c r="AI30" s="4" t="s">
        <v>62</v>
      </c>
      <c r="AJ30" s="4" t="s">
        <v>62</v>
      </c>
      <c r="AK30" s="4" t="s">
        <v>73</v>
      </c>
      <c r="AL30" s="4">
        <v>3.0</v>
      </c>
      <c r="AM30" s="6">
        <v>38.0</v>
      </c>
      <c r="AN30" s="6">
        <v>37.0</v>
      </c>
      <c r="AO30" s="6">
        <v>10.0</v>
      </c>
      <c r="AP30" s="6">
        <v>3.0</v>
      </c>
      <c r="AQ30" s="7">
        <v>58.0</v>
      </c>
      <c r="AR30" s="7">
        <v>74.0</v>
      </c>
      <c r="AS30" s="7">
        <v>42.0</v>
      </c>
      <c r="AT30" s="7">
        <v>25.0</v>
      </c>
    </row>
    <row r="31">
      <c r="A31" s="4" t="s">
        <v>74</v>
      </c>
      <c r="B31" s="4" t="s">
        <v>158</v>
      </c>
      <c r="C31" s="4" t="s">
        <v>47</v>
      </c>
      <c r="D31" s="4">
        <v>38.0</v>
      </c>
      <c r="E31" s="5" t="s">
        <v>159</v>
      </c>
      <c r="F31" s="5" t="s">
        <v>160</v>
      </c>
      <c r="G31" s="4" t="s">
        <v>52</v>
      </c>
      <c r="H31" s="4" t="s">
        <v>52</v>
      </c>
      <c r="I31" s="4" t="s">
        <v>52</v>
      </c>
      <c r="J31" s="4" t="s">
        <v>51</v>
      </c>
      <c r="K31" s="4" t="s">
        <v>52</v>
      </c>
      <c r="L31" s="4" t="s">
        <v>69</v>
      </c>
      <c r="M31" s="4" t="s">
        <v>50</v>
      </c>
      <c r="N31" s="4" t="s">
        <v>51</v>
      </c>
      <c r="O31" s="4" t="s">
        <v>52</v>
      </c>
      <c r="P31" s="4" t="s">
        <v>52</v>
      </c>
      <c r="Q31" s="4" t="s">
        <v>50</v>
      </c>
      <c r="R31" s="4" t="s">
        <v>52</v>
      </c>
      <c r="S31" s="4" t="s">
        <v>52</v>
      </c>
      <c r="T31" s="4" t="s">
        <v>51</v>
      </c>
      <c r="U31" s="4" t="s">
        <v>52</v>
      </c>
      <c r="V31" s="4" t="s">
        <v>55</v>
      </c>
      <c r="W31" s="4" t="s">
        <v>78</v>
      </c>
      <c r="X31" s="4" t="s">
        <v>53</v>
      </c>
      <c r="Y31" s="4" t="s">
        <v>78</v>
      </c>
      <c r="Z31" s="4" t="s">
        <v>55</v>
      </c>
      <c r="AA31" s="4" t="s">
        <v>56</v>
      </c>
      <c r="AB31" s="4" t="s">
        <v>56</v>
      </c>
      <c r="AC31" s="4" t="s">
        <v>53</v>
      </c>
      <c r="AD31" s="4" t="s">
        <v>58</v>
      </c>
      <c r="AE31" s="4" t="s">
        <v>78</v>
      </c>
      <c r="AF31" s="4" t="s">
        <v>61</v>
      </c>
      <c r="AG31" s="4" t="s">
        <v>61</v>
      </c>
      <c r="AH31" s="4" t="s">
        <v>85</v>
      </c>
      <c r="AI31" s="4" t="s">
        <v>90</v>
      </c>
      <c r="AJ31" s="4" t="s">
        <v>62</v>
      </c>
      <c r="AK31" s="4" t="s">
        <v>73</v>
      </c>
      <c r="AL31" s="4">
        <v>4.0</v>
      </c>
      <c r="AM31" s="6">
        <v>46.0</v>
      </c>
      <c r="AN31" s="6">
        <v>21.0</v>
      </c>
      <c r="AO31" s="6">
        <v>9.0</v>
      </c>
      <c r="AP31" s="6">
        <v>4.0</v>
      </c>
      <c r="AQ31" s="7">
        <v>71.0</v>
      </c>
      <c r="AR31" s="7">
        <v>42.0</v>
      </c>
      <c r="AS31" s="7">
        <v>38.0</v>
      </c>
      <c r="AT31" s="7">
        <v>33.0</v>
      </c>
    </row>
    <row r="32">
      <c r="A32" s="4" t="s">
        <v>74</v>
      </c>
      <c r="B32" s="4" t="s">
        <v>161</v>
      </c>
      <c r="C32" s="4" t="s">
        <v>65</v>
      </c>
      <c r="D32" s="4">
        <v>36.0</v>
      </c>
      <c r="E32" s="5" t="s">
        <v>162</v>
      </c>
      <c r="F32" s="5" t="s">
        <v>163</v>
      </c>
      <c r="G32" s="4" t="s">
        <v>70</v>
      </c>
      <c r="H32" s="4" t="s">
        <v>70</v>
      </c>
      <c r="I32" s="4" t="s">
        <v>50</v>
      </c>
      <c r="J32" s="4" t="s">
        <v>69</v>
      </c>
      <c r="K32" s="4" t="s">
        <v>52</v>
      </c>
      <c r="L32" s="4" t="s">
        <v>69</v>
      </c>
      <c r="M32" s="4" t="s">
        <v>69</v>
      </c>
      <c r="N32" s="4" t="s">
        <v>69</v>
      </c>
      <c r="O32" s="4" t="s">
        <v>70</v>
      </c>
      <c r="P32" s="4" t="s">
        <v>50</v>
      </c>
      <c r="Q32" s="4" t="s">
        <v>70</v>
      </c>
      <c r="R32" s="4" t="s">
        <v>70</v>
      </c>
      <c r="S32" s="4" t="s">
        <v>70</v>
      </c>
      <c r="T32" s="4" t="s">
        <v>70</v>
      </c>
      <c r="U32" s="4" t="s">
        <v>50</v>
      </c>
      <c r="V32" s="4" t="s">
        <v>84</v>
      </c>
      <c r="W32" s="4" t="s">
        <v>53</v>
      </c>
      <c r="X32" s="4" t="s">
        <v>54</v>
      </c>
      <c r="Y32" s="4" t="s">
        <v>78</v>
      </c>
      <c r="Z32" s="4" t="s">
        <v>84</v>
      </c>
      <c r="AA32" s="4" t="s">
        <v>84</v>
      </c>
      <c r="AB32" s="4" t="s">
        <v>84</v>
      </c>
      <c r="AC32" s="4" t="s">
        <v>54</v>
      </c>
      <c r="AD32" s="4" t="s">
        <v>58</v>
      </c>
      <c r="AE32" s="4" t="s">
        <v>59</v>
      </c>
      <c r="AF32" s="4" t="s">
        <v>85</v>
      </c>
      <c r="AG32" s="4" t="s">
        <v>78</v>
      </c>
      <c r="AH32" s="4" t="s">
        <v>78</v>
      </c>
      <c r="AI32" s="4" t="s">
        <v>62</v>
      </c>
      <c r="AJ32" s="4" t="s">
        <v>62</v>
      </c>
      <c r="AK32" s="4" t="s">
        <v>93</v>
      </c>
      <c r="AL32" s="4">
        <v>2.0</v>
      </c>
      <c r="AM32" s="6">
        <v>17.0</v>
      </c>
      <c r="AN32" s="6">
        <v>8.0</v>
      </c>
      <c r="AO32" s="6">
        <v>4.0</v>
      </c>
      <c r="AP32" s="6">
        <v>0.0</v>
      </c>
      <c r="AQ32" s="7">
        <v>26.0</v>
      </c>
      <c r="AR32" s="7">
        <v>16.0</v>
      </c>
      <c r="AS32" s="7">
        <v>17.0</v>
      </c>
      <c r="AT32" s="7">
        <v>0.0</v>
      </c>
    </row>
    <row r="33">
      <c r="A33" s="4" t="s">
        <v>74</v>
      </c>
      <c r="B33" s="4" t="s">
        <v>161</v>
      </c>
      <c r="C33" s="4" t="s">
        <v>65</v>
      </c>
      <c r="D33" s="4">
        <v>36.0</v>
      </c>
      <c r="E33" s="5" t="s">
        <v>164</v>
      </c>
      <c r="F33" s="5" t="s">
        <v>165</v>
      </c>
      <c r="G33" s="4" t="s">
        <v>69</v>
      </c>
      <c r="H33" s="4" t="s">
        <v>70</v>
      </c>
      <c r="I33" s="4" t="s">
        <v>70</v>
      </c>
      <c r="J33" s="4" t="s">
        <v>70</v>
      </c>
      <c r="K33" s="4" t="s">
        <v>70</v>
      </c>
      <c r="L33" s="4" t="s">
        <v>70</v>
      </c>
      <c r="M33" s="4" t="s">
        <v>69</v>
      </c>
      <c r="N33" s="4" t="s">
        <v>70</v>
      </c>
      <c r="O33" s="4" t="s">
        <v>52</v>
      </c>
      <c r="P33" s="4" t="s">
        <v>50</v>
      </c>
      <c r="Q33" s="4" t="s">
        <v>69</v>
      </c>
      <c r="R33" s="4" t="s">
        <v>70</v>
      </c>
      <c r="S33" s="4" t="s">
        <v>52</v>
      </c>
      <c r="T33" s="4" t="s">
        <v>51</v>
      </c>
      <c r="U33" s="4" t="s">
        <v>50</v>
      </c>
      <c r="V33" s="4" t="s">
        <v>84</v>
      </c>
      <c r="W33" s="4" t="s">
        <v>78</v>
      </c>
      <c r="X33" s="4" t="s">
        <v>53</v>
      </c>
      <c r="Y33" s="4" t="s">
        <v>53</v>
      </c>
      <c r="Z33" s="4" t="s">
        <v>84</v>
      </c>
      <c r="AA33" s="4" t="s">
        <v>56</v>
      </c>
      <c r="AB33" s="4" t="s">
        <v>56</v>
      </c>
      <c r="AC33" s="4" t="s">
        <v>53</v>
      </c>
      <c r="AD33" s="4" t="s">
        <v>109</v>
      </c>
      <c r="AE33" s="4" t="s">
        <v>61</v>
      </c>
      <c r="AF33" s="4" t="s">
        <v>61</v>
      </c>
      <c r="AG33" s="4" t="s">
        <v>61</v>
      </c>
      <c r="AH33" s="4" t="s">
        <v>59</v>
      </c>
      <c r="AI33" s="4" t="s">
        <v>62</v>
      </c>
      <c r="AJ33" s="4" t="s">
        <v>62</v>
      </c>
      <c r="AK33" s="4" t="s">
        <v>93</v>
      </c>
      <c r="AL33" s="4">
        <v>2.0</v>
      </c>
      <c r="AM33" s="6">
        <v>20.0</v>
      </c>
      <c r="AN33" s="6">
        <v>18.0</v>
      </c>
      <c r="AO33" s="6">
        <v>12.0</v>
      </c>
      <c r="AP33" s="6">
        <v>2.0</v>
      </c>
      <c r="AQ33" s="7">
        <v>31.0</v>
      </c>
      <c r="AR33" s="7">
        <v>36.0</v>
      </c>
      <c r="AS33" s="7">
        <v>50.0</v>
      </c>
      <c r="AT33" s="7">
        <v>17.0</v>
      </c>
    </row>
    <row r="34">
      <c r="A34" s="4" t="s">
        <v>74</v>
      </c>
      <c r="B34" s="4" t="s">
        <v>158</v>
      </c>
      <c r="C34" s="4" t="s">
        <v>47</v>
      </c>
      <c r="D34" s="4">
        <v>35.0</v>
      </c>
      <c r="E34" s="5" t="s">
        <v>166</v>
      </c>
      <c r="F34" s="5" t="s">
        <v>167</v>
      </c>
      <c r="G34" s="4" t="s">
        <v>50</v>
      </c>
      <c r="H34" s="4" t="s">
        <v>52</v>
      </c>
      <c r="I34" s="4" t="s">
        <v>50</v>
      </c>
      <c r="J34" s="4" t="s">
        <v>51</v>
      </c>
      <c r="K34" s="4" t="s">
        <v>51</v>
      </c>
      <c r="L34" s="4" t="s">
        <v>50</v>
      </c>
      <c r="M34" s="4" t="s">
        <v>50</v>
      </c>
      <c r="N34" s="4" t="s">
        <v>50</v>
      </c>
      <c r="O34" s="4" t="s">
        <v>52</v>
      </c>
      <c r="P34" s="4" t="s">
        <v>52</v>
      </c>
      <c r="Q34" s="4" t="s">
        <v>52</v>
      </c>
      <c r="R34" s="4" t="s">
        <v>52</v>
      </c>
      <c r="S34" s="4" t="s">
        <v>52</v>
      </c>
      <c r="T34" s="4" t="s">
        <v>52</v>
      </c>
      <c r="U34" s="4" t="s">
        <v>51</v>
      </c>
      <c r="V34" s="4" t="s">
        <v>56</v>
      </c>
      <c r="W34" s="4" t="s">
        <v>78</v>
      </c>
      <c r="X34" s="4" t="s">
        <v>53</v>
      </c>
      <c r="Y34" s="4" t="s">
        <v>53</v>
      </c>
      <c r="Z34" s="4" t="s">
        <v>53</v>
      </c>
      <c r="AA34" s="4" t="s">
        <v>53</v>
      </c>
      <c r="AB34" s="4" t="s">
        <v>54</v>
      </c>
      <c r="AC34" s="4" t="s">
        <v>57</v>
      </c>
      <c r="AD34" s="4" t="s">
        <v>58</v>
      </c>
      <c r="AE34" s="4" t="s">
        <v>85</v>
      </c>
      <c r="AF34" s="4" t="s">
        <v>61</v>
      </c>
      <c r="AG34" s="4" t="s">
        <v>61</v>
      </c>
      <c r="AH34" s="4" t="s">
        <v>59</v>
      </c>
      <c r="AI34" s="4" t="s">
        <v>90</v>
      </c>
      <c r="AJ34" s="4" t="s">
        <v>90</v>
      </c>
      <c r="AK34" s="4" t="s">
        <v>73</v>
      </c>
      <c r="AL34" s="4">
        <v>5.0</v>
      </c>
      <c r="AM34" s="6">
        <v>42.0</v>
      </c>
      <c r="AN34" s="6">
        <v>31.0</v>
      </c>
      <c r="AO34" s="6">
        <v>10.0</v>
      </c>
      <c r="AP34" s="6">
        <v>7.0</v>
      </c>
      <c r="AQ34" s="7">
        <v>65.0</v>
      </c>
      <c r="AR34" s="7">
        <v>62.0</v>
      </c>
      <c r="AS34" s="7">
        <v>42.0</v>
      </c>
      <c r="AT34" s="7">
        <v>58.0</v>
      </c>
    </row>
    <row r="35">
      <c r="A35" s="4" t="s">
        <v>74</v>
      </c>
      <c r="B35" s="4" t="s">
        <v>168</v>
      </c>
      <c r="C35" s="4" t="s">
        <v>47</v>
      </c>
      <c r="D35" s="4">
        <v>54.0</v>
      </c>
      <c r="E35" s="5" t="s">
        <v>169</v>
      </c>
      <c r="F35" s="5" t="s">
        <v>170</v>
      </c>
      <c r="G35" s="4" t="s">
        <v>52</v>
      </c>
      <c r="H35" s="4" t="s">
        <v>52</v>
      </c>
      <c r="I35" s="4" t="s">
        <v>52</v>
      </c>
      <c r="J35" s="4" t="s">
        <v>52</v>
      </c>
      <c r="K35" s="4" t="s">
        <v>52</v>
      </c>
      <c r="L35" s="4" t="s">
        <v>52</v>
      </c>
      <c r="M35" s="4" t="s">
        <v>52</v>
      </c>
      <c r="N35" s="4" t="s">
        <v>52</v>
      </c>
      <c r="O35" s="4" t="s">
        <v>52</v>
      </c>
      <c r="P35" s="4" t="s">
        <v>52</v>
      </c>
      <c r="Q35" s="4" t="s">
        <v>52</v>
      </c>
      <c r="R35" s="4" t="s">
        <v>52</v>
      </c>
      <c r="S35" s="4" t="s">
        <v>52</v>
      </c>
      <c r="T35" s="4" t="s">
        <v>52</v>
      </c>
      <c r="U35" s="4" t="s">
        <v>52</v>
      </c>
      <c r="V35" s="4" t="s">
        <v>53</v>
      </c>
      <c r="W35" s="4" t="s">
        <v>78</v>
      </c>
      <c r="X35" s="4" t="s">
        <v>53</v>
      </c>
      <c r="Y35" s="4" t="s">
        <v>53</v>
      </c>
      <c r="Z35" s="4" t="s">
        <v>54</v>
      </c>
      <c r="AA35" s="4" t="s">
        <v>53</v>
      </c>
      <c r="AB35" s="4" t="s">
        <v>53</v>
      </c>
      <c r="AC35" s="4" t="s">
        <v>53</v>
      </c>
      <c r="AD35" s="4" t="s">
        <v>109</v>
      </c>
      <c r="AE35" s="4" t="s">
        <v>85</v>
      </c>
      <c r="AF35" s="4" t="s">
        <v>61</v>
      </c>
      <c r="AG35" s="4" t="s">
        <v>85</v>
      </c>
      <c r="AH35" s="4" t="s">
        <v>78</v>
      </c>
      <c r="AI35" s="4" t="s">
        <v>90</v>
      </c>
      <c r="AJ35" s="4" t="s">
        <v>62</v>
      </c>
      <c r="AK35" s="4" t="s">
        <v>73</v>
      </c>
      <c r="AL35" s="4">
        <v>4.0</v>
      </c>
      <c r="AM35" s="6">
        <v>52.0</v>
      </c>
      <c r="AN35" s="6">
        <v>30.0</v>
      </c>
      <c r="AO35" s="6">
        <v>9.0</v>
      </c>
      <c r="AP35" s="6">
        <v>9.0</v>
      </c>
      <c r="AQ35" s="7">
        <v>80.0</v>
      </c>
      <c r="AR35" s="7">
        <v>60.0</v>
      </c>
      <c r="AS35" s="7">
        <v>38.0</v>
      </c>
      <c r="AT35" s="7">
        <v>75.0</v>
      </c>
    </row>
    <row r="36">
      <c r="A36" s="4" t="s">
        <v>74</v>
      </c>
      <c r="B36" s="4" t="s">
        <v>171</v>
      </c>
      <c r="C36" s="4" t="s">
        <v>47</v>
      </c>
      <c r="D36" s="4">
        <v>29.0</v>
      </c>
      <c r="E36" s="5" t="s">
        <v>172</v>
      </c>
      <c r="F36" s="5" t="s">
        <v>117</v>
      </c>
      <c r="G36" s="4" t="s">
        <v>68</v>
      </c>
      <c r="H36" s="4" t="s">
        <v>52</v>
      </c>
      <c r="I36" s="4" t="s">
        <v>68</v>
      </c>
      <c r="J36" s="4" t="s">
        <v>51</v>
      </c>
      <c r="K36" s="4" t="s">
        <v>68</v>
      </c>
      <c r="L36" s="4" t="s">
        <v>69</v>
      </c>
      <c r="M36" s="4" t="s">
        <v>52</v>
      </c>
      <c r="N36" s="4" t="s">
        <v>52</v>
      </c>
      <c r="O36" s="4" t="s">
        <v>68</v>
      </c>
      <c r="P36" s="4" t="s">
        <v>51</v>
      </c>
      <c r="Q36" s="4" t="s">
        <v>52</v>
      </c>
      <c r="R36" s="4" t="s">
        <v>68</v>
      </c>
      <c r="S36" s="4" t="s">
        <v>52</v>
      </c>
      <c r="T36" s="4" t="s">
        <v>52</v>
      </c>
      <c r="U36" s="4" t="s">
        <v>52</v>
      </c>
      <c r="V36" s="4" t="s">
        <v>78</v>
      </c>
      <c r="W36" s="4" t="s">
        <v>78</v>
      </c>
      <c r="X36" s="4" t="s">
        <v>55</v>
      </c>
      <c r="Y36" s="4" t="s">
        <v>55</v>
      </c>
      <c r="Z36" s="4" t="s">
        <v>78</v>
      </c>
      <c r="AA36" s="4" t="s">
        <v>54</v>
      </c>
      <c r="AB36" s="4" t="s">
        <v>54</v>
      </c>
      <c r="AC36" s="4" t="s">
        <v>78</v>
      </c>
      <c r="AD36" s="4" t="s">
        <v>109</v>
      </c>
      <c r="AE36" s="4" t="s">
        <v>72</v>
      </c>
      <c r="AF36" s="4" t="s">
        <v>72</v>
      </c>
      <c r="AG36" s="4" t="s">
        <v>72</v>
      </c>
      <c r="AH36" s="4" t="s">
        <v>60</v>
      </c>
      <c r="AI36" s="4" t="s">
        <v>90</v>
      </c>
      <c r="AJ36" s="4" t="s">
        <v>62</v>
      </c>
      <c r="AK36" s="4" t="s">
        <v>63</v>
      </c>
      <c r="AL36" s="4">
        <v>1.0</v>
      </c>
      <c r="AM36" s="6">
        <v>56.0</v>
      </c>
      <c r="AN36" s="6">
        <v>35.0</v>
      </c>
      <c r="AO36" s="6">
        <v>19.0</v>
      </c>
      <c r="AP36" s="6">
        <v>4.0</v>
      </c>
      <c r="AQ36" s="7">
        <v>86.0</v>
      </c>
      <c r="AR36" s="7">
        <v>70.0</v>
      </c>
      <c r="AS36" s="7">
        <v>79.0</v>
      </c>
      <c r="AT36" s="7">
        <v>33.0</v>
      </c>
    </row>
    <row r="37">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9"/>
      <c r="AN37" s="9"/>
      <c r="AO37" s="9"/>
      <c r="AP37" s="9"/>
      <c r="AQ37" s="10"/>
      <c r="AR37" s="10"/>
      <c r="AS37" s="10"/>
      <c r="AT37" s="10"/>
    </row>
    <row r="38">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9"/>
      <c r="AN38" s="9"/>
      <c r="AO38" s="9"/>
      <c r="AP38" s="9"/>
      <c r="AQ38" s="10"/>
      <c r="AR38" s="10"/>
      <c r="AS38" s="10"/>
      <c r="AT38" s="10"/>
    </row>
    <row r="39">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9"/>
      <c r="AN39" s="9"/>
      <c r="AO39" s="9"/>
      <c r="AP39" s="9"/>
      <c r="AQ39" s="10"/>
      <c r="AR39" s="10"/>
      <c r="AS39" s="10"/>
      <c r="AT39" s="10"/>
    </row>
    <row r="40">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9"/>
      <c r="AN40" s="9"/>
      <c r="AO40" s="9"/>
      <c r="AP40" s="9"/>
      <c r="AQ40" s="10"/>
      <c r="AR40" s="10"/>
      <c r="AS40" s="10"/>
      <c r="AT40" s="10"/>
    </row>
    <row r="41">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9"/>
      <c r="AN41" s="9"/>
      <c r="AO41" s="9"/>
      <c r="AP41" s="9"/>
      <c r="AQ41" s="10"/>
      <c r="AR41" s="10"/>
      <c r="AS41" s="10"/>
      <c r="AT41" s="10"/>
    </row>
    <row r="42">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9"/>
      <c r="AN42" s="9"/>
      <c r="AO42" s="9"/>
      <c r="AP42" s="9"/>
      <c r="AQ42" s="10"/>
      <c r="AR42" s="10"/>
      <c r="AS42" s="10"/>
      <c r="AT42" s="10"/>
    </row>
    <row r="4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9"/>
      <c r="AN43" s="9"/>
      <c r="AO43" s="9"/>
      <c r="AP43" s="9"/>
      <c r="AQ43" s="10"/>
      <c r="AR43" s="10"/>
      <c r="AS43" s="10"/>
      <c r="AT43" s="10"/>
    </row>
    <row r="44">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9"/>
      <c r="AN44" s="9"/>
      <c r="AO44" s="9"/>
      <c r="AP44" s="9"/>
      <c r="AQ44" s="10"/>
      <c r="AR44" s="10"/>
      <c r="AS44" s="10"/>
      <c r="AT44" s="10"/>
    </row>
    <row r="4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9"/>
      <c r="AN45" s="9"/>
      <c r="AO45" s="9"/>
      <c r="AP45" s="9"/>
      <c r="AQ45" s="10"/>
      <c r="AR45" s="10"/>
      <c r="AS45" s="10"/>
      <c r="AT45" s="10"/>
    </row>
    <row r="46">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9"/>
      <c r="AN46" s="9"/>
      <c r="AO46" s="9"/>
      <c r="AP46" s="9"/>
      <c r="AQ46" s="10"/>
      <c r="AR46" s="10"/>
      <c r="AS46" s="10"/>
      <c r="AT46" s="10"/>
    </row>
    <row r="47">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9"/>
      <c r="AN47" s="9"/>
      <c r="AO47" s="9"/>
      <c r="AP47" s="9"/>
      <c r="AQ47" s="10"/>
      <c r="AR47" s="10"/>
      <c r="AS47" s="10"/>
      <c r="AT47" s="10"/>
    </row>
    <row r="48">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9"/>
      <c r="AN48" s="9"/>
      <c r="AO48" s="9"/>
      <c r="AP48" s="9"/>
      <c r="AQ48" s="10"/>
      <c r="AR48" s="10"/>
      <c r="AS48" s="10"/>
      <c r="AT48" s="10"/>
    </row>
    <row r="49">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9"/>
      <c r="AN49" s="9"/>
      <c r="AO49" s="9"/>
      <c r="AP49" s="9"/>
      <c r="AQ49" s="10"/>
      <c r="AR49" s="10"/>
      <c r="AS49" s="10"/>
      <c r="AT49" s="10"/>
    </row>
    <row r="50">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9"/>
      <c r="AN50" s="9"/>
      <c r="AO50" s="9"/>
      <c r="AP50" s="9"/>
      <c r="AQ50" s="10"/>
      <c r="AR50" s="10"/>
      <c r="AS50" s="10"/>
      <c r="AT50" s="10"/>
    </row>
    <row r="5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9"/>
      <c r="AN51" s="9"/>
      <c r="AO51" s="9"/>
      <c r="AP51" s="9"/>
      <c r="AQ51" s="10"/>
      <c r="AR51" s="10"/>
      <c r="AS51" s="10"/>
      <c r="AT51" s="10"/>
    </row>
    <row r="52">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9"/>
      <c r="AN52" s="9"/>
      <c r="AO52" s="9"/>
      <c r="AP52" s="9"/>
      <c r="AQ52" s="10"/>
      <c r="AR52" s="10"/>
      <c r="AS52" s="10"/>
      <c r="AT52" s="10"/>
    </row>
    <row r="5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9"/>
      <c r="AN53" s="9"/>
      <c r="AO53" s="9"/>
      <c r="AP53" s="9"/>
      <c r="AQ53" s="10"/>
      <c r="AR53" s="10"/>
      <c r="AS53" s="10"/>
      <c r="AT53" s="10"/>
    </row>
    <row r="54">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9"/>
      <c r="AN54" s="9"/>
      <c r="AO54" s="9"/>
      <c r="AP54" s="9"/>
      <c r="AQ54" s="10"/>
      <c r="AR54" s="10"/>
      <c r="AS54" s="10"/>
      <c r="AT54" s="10"/>
    </row>
    <row r="5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9"/>
      <c r="AN55" s="9"/>
      <c r="AO55" s="9"/>
      <c r="AP55" s="9"/>
      <c r="AQ55" s="10"/>
      <c r="AR55" s="10"/>
      <c r="AS55" s="10"/>
      <c r="AT55" s="10"/>
    </row>
    <row r="56">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9"/>
      <c r="AN56" s="9"/>
      <c r="AO56" s="9"/>
      <c r="AP56" s="9"/>
      <c r="AQ56" s="10"/>
      <c r="AR56" s="10"/>
      <c r="AS56" s="10"/>
      <c r="AT56" s="10"/>
    </row>
    <row r="57">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9"/>
      <c r="AN57" s="9"/>
      <c r="AO57" s="9"/>
      <c r="AP57" s="9"/>
      <c r="AQ57" s="10"/>
      <c r="AR57" s="10"/>
      <c r="AS57" s="10"/>
      <c r="AT57" s="10"/>
    </row>
    <row r="58">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9"/>
      <c r="AN58" s="9"/>
      <c r="AO58" s="9"/>
      <c r="AP58" s="9"/>
      <c r="AQ58" s="10"/>
      <c r="AR58" s="10"/>
      <c r="AS58" s="10"/>
      <c r="AT58" s="10"/>
    </row>
    <row r="59">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9"/>
      <c r="AN59" s="9"/>
      <c r="AO59" s="9"/>
      <c r="AP59" s="9"/>
      <c r="AQ59" s="10"/>
      <c r="AR59" s="10"/>
      <c r="AS59" s="10"/>
      <c r="AT59" s="10"/>
    </row>
    <row r="60">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9"/>
      <c r="AN60" s="9"/>
      <c r="AO60" s="9"/>
      <c r="AP60" s="9"/>
      <c r="AQ60" s="10"/>
      <c r="AR60" s="10"/>
      <c r="AS60" s="10"/>
      <c r="AT60" s="10"/>
    </row>
    <row r="6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9"/>
      <c r="AN61" s="9"/>
      <c r="AO61" s="9"/>
      <c r="AP61" s="9"/>
      <c r="AQ61" s="10"/>
      <c r="AR61" s="10"/>
      <c r="AS61" s="10"/>
      <c r="AT61" s="10"/>
    </row>
    <row r="62">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9"/>
      <c r="AN62" s="9"/>
      <c r="AO62" s="9"/>
      <c r="AP62" s="9"/>
      <c r="AQ62" s="10"/>
      <c r="AR62" s="10"/>
      <c r="AS62" s="10"/>
      <c r="AT62" s="10"/>
    </row>
    <row r="6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9"/>
      <c r="AN63" s="9"/>
      <c r="AO63" s="9"/>
      <c r="AP63" s="9"/>
      <c r="AQ63" s="10"/>
      <c r="AR63" s="10"/>
      <c r="AS63" s="10"/>
      <c r="AT63" s="10"/>
    </row>
    <row r="64">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9"/>
      <c r="AN64" s="9"/>
      <c r="AO64" s="9"/>
      <c r="AP64" s="9"/>
      <c r="AQ64" s="10"/>
      <c r="AR64" s="10"/>
      <c r="AS64" s="10"/>
      <c r="AT64" s="10"/>
    </row>
    <row r="6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9"/>
      <c r="AN65" s="9"/>
      <c r="AO65" s="9"/>
      <c r="AP65" s="9"/>
      <c r="AQ65" s="10"/>
      <c r="AR65" s="10"/>
      <c r="AS65" s="10"/>
      <c r="AT65" s="10"/>
    </row>
    <row r="66">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9"/>
      <c r="AN66" s="9"/>
      <c r="AO66" s="9"/>
      <c r="AP66" s="9"/>
      <c r="AQ66" s="10"/>
      <c r="AR66" s="10"/>
      <c r="AS66" s="10"/>
      <c r="AT66" s="10"/>
    </row>
    <row r="67">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9"/>
      <c r="AN67" s="9"/>
      <c r="AO67" s="9"/>
      <c r="AP67" s="9"/>
      <c r="AQ67" s="10"/>
      <c r="AR67" s="10"/>
      <c r="AS67" s="10"/>
      <c r="AT67" s="10"/>
    </row>
    <row r="68">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9"/>
      <c r="AN68" s="9"/>
      <c r="AO68" s="9"/>
      <c r="AP68" s="9"/>
      <c r="AQ68" s="10"/>
      <c r="AR68" s="10"/>
      <c r="AS68" s="10"/>
      <c r="AT68" s="10"/>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9"/>
      <c r="AN69" s="9"/>
      <c r="AO69" s="9"/>
      <c r="AP69" s="9"/>
      <c r="AQ69" s="10"/>
      <c r="AR69" s="10"/>
      <c r="AS69" s="10"/>
      <c r="AT69" s="10"/>
    </row>
    <row r="70">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9"/>
      <c r="AN70" s="9"/>
      <c r="AO70" s="9"/>
      <c r="AP70" s="9"/>
      <c r="AQ70" s="10"/>
      <c r="AR70" s="10"/>
      <c r="AS70" s="10"/>
      <c r="AT70" s="10"/>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9"/>
      <c r="AN71" s="9"/>
      <c r="AO71" s="9"/>
      <c r="AP71" s="9"/>
      <c r="AQ71" s="10"/>
      <c r="AR71" s="10"/>
      <c r="AS71" s="10"/>
      <c r="AT71" s="10"/>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9"/>
      <c r="AN72" s="9"/>
      <c r="AO72" s="9"/>
      <c r="AP72" s="9"/>
      <c r="AQ72" s="10"/>
      <c r="AR72" s="10"/>
      <c r="AS72" s="10"/>
      <c r="AT72" s="10"/>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9"/>
      <c r="AN73" s="9"/>
      <c r="AO73" s="9"/>
      <c r="AP73" s="9"/>
      <c r="AQ73" s="10"/>
      <c r="AR73" s="10"/>
      <c r="AS73" s="10"/>
      <c r="AT73" s="10"/>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9"/>
      <c r="AN74" s="9"/>
      <c r="AO74" s="9"/>
      <c r="AP74" s="9"/>
      <c r="AQ74" s="10"/>
      <c r="AR74" s="10"/>
      <c r="AS74" s="10"/>
      <c r="AT74" s="10"/>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9"/>
      <c r="AN75" s="9"/>
      <c r="AO75" s="9"/>
      <c r="AP75" s="9"/>
      <c r="AQ75" s="10"/>
      <c r="AR75" s="10"/>
      <c r="AS75" s="10"/>
      <c r="AT75" s="10"/>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9"/>
      <c r="AN76" s="9"/>
      <c r="AO76" s="9"/>
      <c r="AP76" s="9"/>
      <c r="AQ76" s="10"/>
      <c r="AR76" s="10"/>
      <c r="AS76" s="10"/>
      <c r="AT76" s="10"/>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9"/>
      <c r="AN77" s="9"/>
      <c r="AO77" s="9"/>
      <c r="AP77" s="9"/>
      <c r="AQ77" s="10"/>
      <c r="AR77" s="10"/>
      <c r="AS77" s="10"/>
      <c r="AT77" s="10"/>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9"/>
      <c r="AN78" s="9"/>
      <c r="AO78" s="9"/>
      <c r="AP78" s="9"/>
      <c r="AQ78" s="10"/>
      <c r="AR78" s="10"/>
      <c r="AS78" s="10"/>
      <c r="AT78" s="10"/>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9"/>
      <c r="AN79" s="9"/>
      <c r="AO79" s="9"/>
      <c r="AP79" s="9"/>
      <c r="AQ79" s="10"/>
      <c r="AR79" s="10"/>
      <c r="AS79" s="10"/>
      <c r="AT79" s="10"/>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9"/>
      <c r="AN80" s="9"/>
      <c r="AO80" s="9"/>
      <c r="AP80" s="9"/>
      <c r="AQ80" s="10"/>
      <c r="AR80" s="10"/>
      <c r="AS80" s="10"/>
      <c r="AT80" s="10"/>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9"/>
      <c r="AN81" s="9"/>
      <c r="AO81" s="9"/>
      <c r="AP81" s="9"/>
      <c r="AQ81" s="10"/>
      <c r="AR81" s="10"/>
      <c r="AS81" s="10"/>
      <c r="AT81" s="10"/>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9"/>
      <c r="AN82" s="9"/>
      <c r="AO82" s="9"/>
      <c r="AP82" s="9"/>
      <c r="AQ82" s="10"/>
      <c r="AR82" s="10"/>
      <c r="AS82" s="10"/>
      <c r="AT82" s="10"/>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9"/>
      <c r="AN83" s="9"/>
      <c r="AO83" s="9"/>
      <c r="AP83" s="9"/>
      <c r="AQ83" s="10"/>
      <c r="AR83" s="10"/>
      <c r="AS83" s="10"/>
      <c r="AT83" s="10"/>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9"/>
      <c r="AN84" s="9"/>
      <c r="AO84" s="9"/>
      <c r="AP84" s="9"/>
      <c r="AQ84" s="10"/>
      <c r="AR84" s="10"/>
      <c r="AS84" s="10"/>
      <c r="AT84" s="10"/>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9"/>
      <c r="AN85" s="9"/>
      <c r="AO85" s="9"/>
      <c r="AP85" s="9"/>
      <c r="AQ85" s="10"/>
      <c r="AR85" s="10"/>
      <c r="AS85" s="10"/>
      <c r="AT85" s="10"/>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9"/>
      <c r="AN86" s="9"/>
      <c r="AO86" s="9"/>
      <c r="AP86" s="9"/>
      <c r="AQ86" s="10"/>
      <c r="AR86" s="10"/>
      <c r="AS86" s="10"/>
      <c r="AT86" s="10"/>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9"/>
      <c r="AN87" s="9"/>
      <c r="AO87" s="9"/>
      <c r="AP87" s="9"/>
      <c r="AQ87" s="10"/>
      <c r="AR87" s="10"/>
      <c r="AS87" s="10"/>
      <c r="AT87" s="10"/>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9"/>
      <c r="AN88" s="9"/>
      <c r="AO88" s="9"/>
      <c r="AP88" s="9"/>
      <c r="AQ88" s="10"/>
      <c r="AR88" s="10"/>
      <c r="AS88" s="10"/>
      <c r="AT88" s="10"/>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9"/>
      <c r="AN89" s="9"/>
      <c r="AO89" s="9"/>
      <c r="AP89" s="9"/>
      <c r="AQ89" s="10"/>
      <c r="AR89" s="10"/>
      <c r="AS89" s="10"/>
      <c r="AT89" s="10"/>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9"/>
      <c r="AN90" s="9"/>
      <c r="AO90" s="9"/>
      <c r="AP90" s="9"/>
      <c r="AQ90" s="10"/>
      <c r="AR90" s="10"/>
      <c r="AS90" s="10"/>
      <c r="AT90" s="10"/>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9"/>
      <c r="AN91" s="9"/>
      <c r="AO91" s="9"/>
      <c r="AP91" s="9"/>
      <c r="AQ91" s="10"/>
      <c r="AR91" s="10"/>
      <c r="AS91" s="10"/>
      <c r="AT91" s="10"/>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9"/>
      <c r="AN92" s="9"/>
      <c r="AO92" s="9"/>
      <c r="AP92" s="9"/>
      <c r="AQ92" s="10"/>
      <c r="AR92" s="10"/>
      <c r="AS92" s="10"/>
      <c r="AT92" s="10"/>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9"/>
      <c r="AN93" s="9"/>
      <c r="AO93" s="9"/>
      <c r="AP93" s="9"/>
      <c r="AQ93" s="10"/>
      <c r="AR93" s="10"/>
      <c r="AS93" s="10"/>
      <c r="AT93" s="10"/>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9"/>
      <c r="AN94" s="9"/>
      <c r="AO94" s="9"/>
      <c r="AP94" s="9"/>
      <c r="AQ94" s="10"/>
      <c r="AR94" s="10"/>
      <c r="AS94" s="10"/>
      <c r="AT94" s="10"/>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9"/>
      <c r="AN95" s="9"/>
      <c r="AO95" s="9"/>
      <c r="AP95" s="9"/>
      <c r="AQ95" s="10"/>
      <c r="AR95" s="10"/>
      <c r="AS95" s="10"/>
      <c r="AT95" s="10"/>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9"/>
      <c r="AN96" s="9"/>
      <c r="AO96" s="9"/>
      <c r="AP96" s="9"/>
      <c r="AQ96" s="10"/>
      <c r="AR96" s="10"/>
      <c r="AS96" s="10"/>
      <c r="AT96" s="10"/>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9"/>
      <c r="AN97" s="9"/>
      <c r="AO97" s="9"/>
      <c r="AP97" s="9"/>
      <c r="AQ97" s="10"/>
      <c r="AR97" s="10"/>
      <c r="AS97" s="10"/>
      <c r="AT97" s="10"/>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9"/>
      <c r="AN98" s="9"/>
      <c r="AO98" s="9"/>
      <c r="AP98" s="9"/>
      <c r="AQ98" s="10"/>
      <c r="AR98" s="10"/>
      <c r="AS98" s="10"/>
      <c r="AT98" s="10"/>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9"/>
      <c r="AN99" s="9"/>
      <c r="AO99" s="9"/>
      <c r="AP99" s="9"/>
      <c r="AQ99" s="10"/>
      <c r="AR99" s="10"/>
      <c r="AS99" s="10"/>
      <c r="AT99" s="10"/>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9"/>
      <c r="AN100" s="9"/>
      <c r="AO100" s="9"/>
      <c r="AP100" s="9"/>
      <c r="AQ100" s="10"/>
      <c r="AR100" s="10"/>
      <c r="AS100" s="10"/>
      <c r="AT100" s="10"/>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9"/>
      <c r="AN101" s="9"/>
      <c r="AO101" s="9"/>
      <c r="AP101" s="9"/>
      <c r="AQ101" s="10"/>
      <c r="AR101" s="10"/>
      <c r="AS101" s="10"/>
      <c r="AT101" s="10"/>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9"/>
      <c r="AN102" s="9"/>
      <c r="AO102" s="9"/>
      <c r="AP102" s="9"/>
      <c r="AQ102" s="10"/>
      <c r="AR102" s="10"/>
      <c r="AS102" s="10"/>
      <c r="AT102" s="10"/>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9"/>
      <c r="AN103" s="9"/>
      <c r="AO103" s="9"/>
      <c r="AP103" s="9"/>
      <c r="AQ103" s="10"/>
      <c r="AR103" s="10"/>
      <c r="AS103" s="10"/>
      <c r="AT103" s="10"/>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9"/>
      <c r="AN104" s="9"/>
      <c r="AO104" s="9"/>
      <c r="AP104" s="9"/>
      <c r="AQ104" s="10"/>
      <c r="AR104" s="10"/>
      <c r="AS104" s="10"/>
      <c r="AT104" s="10"/>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9"/>
      <c r="AN105" s="9"/>
      <c r="AO105" s="9"/>
      <c r="AP105" s="9"/>
      <c r="AQ105" s="10"/>
      <c r="AR105" s="10"/>
      <c r="AS105" s="10"/>
      <c r="AT105" s="10"/>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9"/>
      <c r="AN106" s="9"/>
      <c r="AO106" s="9"/>
      <c r="AP106" s="9"/>
      <c r="AQ106" s="10"/>
      <c r="AR106" s="10"/>
      <c r="AS106" s="10"/>
      <c r="AT106" s="10"/>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9"/>
      <c r="AN107" s="9"/>
      <c r="AO107" s="9"/>
      <c r="AP107" s="9"/>
      <c r="AQ107" s="10"/>
      <c r="AR107" s="10"/>
      <c r="AS107" s="10"/>
      <c r="AT107" s="10"/>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9"/>
      <c r="AN108" s="9"/>
      <c r="AO108" s="9"/>
      <c r="AP108" s="9"/>
      <c r="AQ108" s="10"/>
      <c r="AR108" s="10"/>
      <c r="AS108" s="10"/>
      <c r="AT108" s="10"/>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9"/>
      <c r="AN109" s="9"/>
      <c r="AO109" s="9"/>
      <c r="AP109" s="9"/>
      <c r="AQ109" s="10"/>
      <c r="AR109" s="10"/>
      <c r="AS109" s="10"/>
      <c r="AT109" s="10"/>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9"/>
      <c r="AN110" s="9"/>
      <c r="AO110" s="9"/>
      <c r="AP110" s="9"/>
      <c r="AQ110" s="10"/>
      <c r="AR110" s="10"/>
      <c r="AS110" s="10"/>
      <c r="AT110" s="10"/>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9"/>
      <c r="AN111" s="9"/>
      <c r="AO111" s="9"/>
      <c r="AP111" s="9"/>
      <c r="AQ111" s="10"/>
      <c r="AR111" s="10"/>
      <c r="AS111" s="10"/>
      <c r="AT111" s="10"/>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9"/>
      <c r="AN112" s="9"/>
      <c r="AO112" s="9"/>
      <c r="AP112" s="9"/>
      <c r="AQ112" s="10"/>
      <c r="AR112" s="10"/>
      <c r="AS112" s="10"/>
      <c r="AT112" s="10"/>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9"/>
      <c r="AN113" s="9"/>
      <c r="AO113" s="9"/>
      <c r="AP113" s="9"/>
      <c r="AQ113" s="10"/>
      <c r="AR113" s="10"/>
      <c r="AS113" s="10"/>
      <c r="AT113" s="10"/>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9"/>
      <c r="AN114" s="9"/>
      <c r="AO114" s="9"/>
      <c r="AP114" s="9"/>
      <c r="AQ114" s="10"/>
      <c r="AR114" s="10"/>
      <c r="AS114" s="10"/>
      <c r="AT114" s="10"/>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9"/>
      <c r="AN115" s="9"/>
      <c r="AO115" s="9"/>
      <c r="AP115" s="9"/>
      <c r="AQ115" s="10"/>
      <c r="AR115" s="10"/>
      <c r="AS115" s="10"/>
      <c r="AT115" s="10"/>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9"/>
      <c r="AN116" s="9"/>
      <c r="AO116" s="9"/>
      <c r="AP116" s="9"/>
      <c r="AQ116" s="10"/>
      <c r="AR116" s="10"/>
      <c r="AS116" s="10"/>
      <c r="AT116" s="10"/>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9"/>
      <c r="AN117" s="9"/>
      <c r="AO117" s="9"/>
      <c r="AP117" s="9"/>
      <c r="AQ117" s="10"/>
      <c r="AR117" s="10"/>
      <c r="AS117" s="10"/>
      <c r="AT117" s="10"/>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9"/>
      <c r="AN118" s="9"/>
      <c r="AO118" s="9"/>
      <c r="AP118" s="9"/>
      <c r="AQ118" s="10"/>
      <c r="AR118" s="10"/>
      <c r="AS118" s="10"/>
      <c r="AT118" s="10"/>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9"/>
      <c r="AN119" s="9"/>
      <c r="AO119" s="9"/>
      <c r="AP119" s="9"/>
      <c r="AQ119" s="10"/>
      <c r="AR119" s="10"/>
      <c r="AS119" s="10"/>
      <c r="AT119" s="10"/>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9"/>
      <c r="AN120" s="9"/>
      <c r="AO120" s="9"/>
      <c r="AP120" s="9"/>
      <c r="AQ120" s="10"/>
      <c r="AR120" s="10"/>
      <c r="AS120" s="10"/>
      <c r="AT120" s="10"/>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9"/>
      <c r="AN121" s="9"/>
      <c r="AO121" s="9"/>
      <c r="AP121" s="9"/>
      <c r="AQ121" s="10"/>
      <c r="AR121" s="10"/>
      <c r="AS121" s="10"/>
      <c r="AT121" s="10"/>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9"/>
      <c r="AN122" s="9"/>
      <c r="AO122" s="9"/>
      <c r="AP122" s="9"/>
      <c r="AQ122" s="10"/>
      <c r="AR122" s="10"/>
      <c r="AS122" s="10"/>
      <c r="AT122" s="10"/>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9"/>
      <c r="AN123" s="9"/>
      <c r="AO123" s="9"/>
      <c r="AP123" s="9"/>
      <c r="AQ123" s="10"/>
      <c r="AR123" s="10"/>
      <c r="AS123" s="10"/>
      <c r="AT123" s="10"/>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9"/>
      <c r="AN124" s="9"/>
      <c r="AO124" s="9"/>
      <c r="AP124" s="9"/>
      <c r="AQ124" s="10"/>
      <c r="AR124" s="10"/>
      <c r="AS124" s="10"/>
      <c r="AT124" s="10"/>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9"/>
      <c r="AN125" s="9"/>
      <c r="AO125" s="9"/>
      <c r="AP125" s="9"/>
      <c r="AQ125" s="10"/>
      <c r="AR125" s="10"/>
      <c r="AS125" s="10"/>
      <c r="AT125" s="10"/>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9"/>
      <c r="AN126" s="9"/>
      <c r="AO126" s="9"/>
      <c r="AP126" s="9"/>
      <c r="AQ126" s="10"/>
      <c r="AR126" s="10"/>
      <c r="AS126" s="10"/>
      <c r="AT126" s="10"/>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9"/>
      <c r="AN127" s="9"/>
      <c r="AO127" s="9"/>
      <c r="AP127" s="9"/>
      <c r="AQ127" s="10"/>
      <c r="AR127" s="10"/>
      <c r="AS127" s="10"/>
      <c r="AT127" s="10"/>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9"/>
      <c r="AN128" s="9"/>
      <c r="AO128" s="9"/>
      <c r="AP128" s="9"/>
      <c r="AQ128" s="10"/>
      <c r="AR128" s="10"/>
      <c r="AS128" s="10"/>
      <c r="AT128" s="10"/>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9"/>
      <c r="AN129" s="9"/>
      <c r="AO129" s="9"/>
      <c r="AP129" s="9"/>
      <c r="AQ129" s="10"/>
      <c r="AR129" s="10"/>
      <c r="AS129" s="10"/>
      <c r="AT129" s="10"/>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9"/>
      <c r="AN130" s="9"/>
      <c r="AO130" s="9"/>
      <c r="AP130" s="9"/>
      <c r="AQ130" s="10"/>
      <c r="AR130" s="10"/>
      <c r="AS130" s="10"/>
      <c r="AT130" s="10"/>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9"/>
      <c r="AN131" s="9"/>
      <c r="AO131" s="9"/>
      <c r="AP131" s="9"/>
      <c r="AQ131" s="10"/>
      <c r="AR131" s="10"/>
      <c r="AS131" s="10"/>
      <c r="AT131" s="10"/>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9"/>
      <c r="AN132" s="9"/>
      <c r="AO132" s="9"/>
      <c r="AP132" s="9"/>
      <c r="AQ132" s="10"/>
      <c r="AR132" s="10"/>
      <c r="AS132" s="10"/>
      <c r="AT132" s="10"/>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9"/>
      <c r="AN133" s="9"/>
      <c r="AO133" s="9"/>
      <c r="AP133" s="9"/>
      <c r="AQ133" s="10"/>
      <c r="AR133" s="10"/>
      <c r="AS133" s="10"/>
      <c r="AT133" s="10"/>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9"/>
      <c r="AN134" s="9"/>
      <c r="AO134" s="9"/>
      <c r="AP134" s="9"/>
      <c r="AQ134" s="10"/>
      <c r="AR134" s="10"/>
      <c r="AS134" s="10"/>
      <c r="AT134" s="10"/>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9"/>
      <c r="AN135" s="9"/>
      <c r="AO135" s="9"/>
      <c r="AP135" s="9"/>
      <c r="AQ135" s="10"/>
      <c r="AR135" s="10"/>
      <c r="AS135" s="10"/>
      <c r="AT135" s="10"/>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9"/>
      <c r="AN136" s="9"/>
      <c r="AO136" s="9"/>
      <c r="AP136" s="9"/>
      <c r="AQ136" s="10"/>
      <c r="AR136" s="10"/>
      <c r="AS136" s="10"/>
      <c r="AT136" s="10"/>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9"/>
      <c r="AN137" s="9"/>
      <c r="AO137" s="9"/>
      <c r="AP137" s="9"/>
      <c r="AQ137" s="10"/>
      <c r="AR137" s="10"/>
      <c r="AS137" s="10"/>
      <c r="AT137" s="10"/>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9"/>
      <c r="AN138" s="9"/>
      <c r="AO138" s="9"/>
      <c r="AP138" s="9"/>
      <c r="AQ138" s="10"/>
      <c r="AR138" s="10"/>
      <c r="AS138" s="10"/>
      <c r="AT138" s="10"/>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9"/>
      <c r="AN139" s="9"/>
      <c r="AO139" s="9"/>
      <c r="AP139" s="9"/>
      <c r="AQ139" s="10"/>
      <c r="AR139" s="10"/>
      <c r="AS139" s="10"/>
      <c r="AT139" s="10"/>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9"/>
      <c r="AN140" s="9"/>
      <c r="AO140" s="9"/>
      <c r="AP140" s="9"/>
      <c r="AQ140" s="10"/>
      <c r="AR140" s="10"/>
      <c r="AS140" s="10"/>
      <c r="AT140" s="10"/>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9"/>
      <c r="AN141" s="9"/>
      <c r="AO141" s="9"/>
      <c r="AP141" s="9"/>
      <c r="AQ141" s="10"/>
      <c r="AR141" s="10"/>
      <c r="AS141" s="10"/>
      <c r="AT141" s="10"/>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9"/>
      <c r="AN142" s="9"/>
      <c r="AO142" s="9"/>
      <c r="AP142" s="9"/>
      <c r="AQ142" s="10"/>
      <c r="AR142" s="10"/>
      <c r="AS142" s="10"/>
      <c r="AT142" s="10"/>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9"/>
      <c r="AN143" s="9"/>
      <c r="AO143" s="9"/>
      <c r="AP143" s="9"/>
      <c r="AQ143" s="10"/>
      <c r="AR143" s="10"/>
      <c r="AS143" s="10"/>
      <c r="AT143" s="10"/>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9"/>
      <c r="AN144" s="9"/>
      <c r="AO144" s="9"/>
      <c r="AP144" s="9"/>
      <c r="AQ144" s="10"/>
      <c r="AR144" s="10"/>
      <c r="AS144" s="10"/>
      <c r="AT144" s="10"/>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9"/>
      <c r="AN145" s="9"/>
      <c r="AO145" s="9"/>
      <c r="AP145" s="9"/>
      <c r="AQ145" s="10"/>
      <c r="AR145" s="10"/>
      <c r="AS145" s="10"/>
      <c r="AT145" s="10"/>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9"/>
      <c r="AN146" s="9"/>
      <c r="AO146" s="9"/>
      <c r="AP146" s="9"/>
      <c r="AQ146" s="10"/>
      <c r="AR146" s="10"/>
      <c r="AS146" s="10"/>
      <c r="AT146" s="10"/>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9"/>
      <c r="AN147" s="9"/>
      <c r="AO147" s="9"/>
      <c r="AP147" s="9"/>
      <c r="AQ147" s="10"/>
      <c r="AR147" s="10"/>
      <c r="AS147" s="10"/>
      <c r="AT147" s="10"/>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9"/>
      <c r="AN148" s="9"/>
      <c r="AO148" s="9"/>
      <c r="AP148" s="9"/>
      <c r="AQ148" s="10"/>
      <c r="AR148" s="10"/>
      <c r="AS148" s="10"/>
      <c r="AT148" s="10"/>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9"/>
      <c r="AN149" s="9"/>
      <c r="AO149" s="9"/>
      <c r="AP149" s="9"/>
      <c r="AQ149" s="10"/>
      <c r="AR149" s="10"/>
      <c r="AS149" s="10"/>
      <c r="AT149" s="10"/>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9"/>
      <c r="AN150" s="9"/>
      <c r="AO150" s="9"/>
      <c r="AP150" s="9"/>
      <c r="AQ150" s="10"/>
      <c r="AR150" s="10"/>
      <c r="AS150" s="10"/>
      <c r="AT150" s="10"/>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9"/>
      <c r="AN151" s="9"/>
      <c r="AO151" s="9"/>
      <c r="AP151" s="9"/>
      <c r="AQ151" s="10"/>
      <c r="AR151" s="10"/>
      <c r="AS151" s="10"/>
      <c r="AT151" s="10"/>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9"/>
      <c r="AN152" s="9"/>
      <c r="AO152" s="9"/>
      <c r="AP152" s="9"/>
      <c r="AQ152" s="10"/>
      <c r="AR152" s="10"/>
      <c r="AS152" s="10"/>
      <c r="AT152" s="10"/>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9"/>
      <c r="AN153" s="9"/>
      <c r="AO153" s="9"/>
      <c r="AP153" s="9"/>
      <c r="AQ153" s="10"/>
      <c r="AR153" s="10"/>
      <c r="AS153" s="10"/>
      <c r="AT153" s="10"/>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9"/>
      <c r="AN154" s="9"/>
      <c r="AO154" s="9"/>
      <c r="AP154" s="9"/>
      <c r="AQ154" s="10"/>
      <c r="AR154" s="10"/>
      <c r="AS154" s="10"/>
      <c r="AT154" s="10"/>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9"/>
      <c r="AN155" s="9"/>
      <c r="AO155" s="9"/>
      <c r="AP155" s="9"/>
      <c r="AQ155" s="10"/>
      <c r="AR155" s="10"/>
      <c r="AS155" s="10"/>
      <c r="AT155" s="10"/>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9"/>
      <c r="AN156" s="9"/>
      <c r="AO156" s="9"/>
      <c r="AP156" s="9"/>
      <c r="AQ156" s="10"/>
      <c r="AR156" s="10"/>
      <c r="AS156" s="10"/>
      <c r="AT156" s="10"/>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9"/>
      <c r="AN157" s="9"/>
      <c r="AO157" s="9"/>
      <c r="AP157" s="9"/>
      <c r="AQ157" s="10"/>
      <c r="AR157" s="10"/>
      <c r="AS157" s="10"/>
      <c r="AT157" s="10"/>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9"/>
      <c r="AN158" s="9"/>
      <c r="AO158" s="9"/>
      <c r="AP158" s="9"/>
      <c r="AQ158" s="10"/>
      <c r="AR158" s="10"/>
      <c r="AS158" s="10"/>
      <c r="AT158" s="10"/>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9"/>
      <c r="AN159" s="9"/>
      <c r="AO159" s="9"/>
      <c r="AP159" s="9"/>
      <c r="AQ159" s="10"/>
      <c r="AR159" s="10"/>
      <c r="AS159" s="10"/>
      <c r="AT159" s="10"/>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9"/>
      <c r="AN160" s="9"/>
      <c r="AO160" s="9"/>
      <c r="AP160" s="9"/>
      <c r="AQ160" s="10"/>
      <c r="AR160" s="10"/>
      <c r="AS160" s="10"/>
      <c r="AT160" s="10"/>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9"/>
      <c r="AN161" s="9"/>
      <c r="AO161" s="9"/>
      <c r="AP161" s="9"/>
      <c r="AQ161" s="10"/>
      <c r="AR161" s="10"/>
      <c r="AS161" s="10"/>
      <c r="AT161" s="10"/>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9"/>
      <c r="AN162" s="9"/>
      <c r="AO162" s="9"/>
      <c r="AP162" s="9"/>
      <c r="AQ162" s="10"/>
      <c r="AR162" s="10"/>
      <c r="AS162" s="10"/>
      <c r="AT162" s="10"/>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9"/>
      <c r="AN163" s="9"/>
      <c r="AO163" s="9"/>
      <c r="AP163" s="9"/>
      <c r="AQ163" s="10"/>
      <c r="AR163" s="10"/>
      <c r="AS163" s="10"/>
      <c r="AT163" s="10"/>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9"/>
      <c r="AN164" s="9"/>
      <c r="AO164" s="9"/>
      <c r="AP164" s="9"/>
      <c r="AQ164" s="10"/>
      <c r="AR164" s="10"/>
      <c r="AS164" s="10"/>
      <c r="AT164" s="10"/>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9"/>
      <c r="AN165" s="9"/>
      <c r="AO165" s="9"/>
      <c r="AP165" s="9"/>
      <c r="AQ165" s="10"/>
      <c r="AR165" s="10"/>
      <c r="AS165" s="10"/>
      <c r="AT165" s="10"/>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9"/>
      <c r="AN166" s="9"/>
      <c r="AO166" s="9"/>
      <c r="AP166" s="9"/>
      <c r="AQ166" s="10"/>
      <c r="AR166" s="10"/>
      <c r="AS166" s="10"/>
      <c r="AT166" s="10"/>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9"/>
      <c r="AN167" s="9"/>
      <c r="AO167" s="9"/>
      <c r="AP167" s="9"/>
      <c r="AQ167" s="10"/>
      <c r="AR167" s="10"/>
      <c r="AS167" s="10"/>
      <c r="AT167" s="10"/>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9"/>
      <c r="AN168" s="9"/>
      <c r="AO168" s="9"/>
      <c r="AP168" s="9"/>
      <c r="AQ168" s="10"/>
      <c r="AR168" s="10"/>
      <c r="AS168" s="10"/>
      <c r="AT168" s="10"/>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9"/>
      <c r="AN169" s="9"/>
      <c r="AO169" s="9"/>
      <c r="AP169" s="9"/>
      <c r="AQ169" s="10"/>
      <c r="AR169" s="10"/>
      <c r="AS169" s="10"/>
      <c r="AT169" s="10"/>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9"/>
      <c r="AN170" s="9"/>
      <c r="AO170" s="9"/>
      <c r="AP170" s="9"/>
      <c r="AQ170" s="10"/>
      <c r="AR170" s="10"/>
      <c r="AS170" s="10"/>
      <c r="AT170" s="10"/>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9"/>
      <c r="AN171" s="9"/>
      <c r="AO171" s="9"/>
      <c r="AP171" s="9"/>
      <c r="AQ171" s="10"/>
      <c r="AR171" s="10"/>
      <c r="AS171" s="10"/>
      <c r="AT171" s="10"/>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9"/>
      <c r="AN172" s="9"/>
      <c r="AO172" s="9"/>
      <c r="AP172" s="9"/>
      <c r="AQ172" s="10"/>
      <c r="AR172" s="10"/>
      <c r="AS172" s="10"/>
      <c r="AT172" s="10"/>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9"/>
      <c r="AN173" s="9"/>
      <c r="AO173" s="9"/>
      <c r="AP173" s="9"/>
      <c r="AQ173" s="10"/>
      <c r="AR173" s="10"/>
      <c r="AS173" s="10"/>
      <c r="AT173" s="10"/>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9"/>
      <c r="AN174" s="9"/>
      <c r="AO174" s="9"/>
      <c r="AP174" s="9"/>
      <c r="AQ174" s="10"/>
      <c r="AR174" s="10"/>
      <c r="AS174" s="10"/>
      <c r="AT174" s="10"/>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9"/>
      <c r="AN175" s="9"/>
      <c r="AO175" s="9"/>
      <c r="AP175" s="9"/>
      <c r="AQ175" s="10"/>
      <c r="AR175" s="10"/>
      <c r="AS175" s="10"/>
      <c r="AT175" s="10"/>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9"/>
      <c r="AN176" s="9"/>
      <c r="AO176" s="9"/>
      <c r="AP176" s="9"/>
      <c r="AQ176" s="10"/>
      <c r="AR176" s="10"/>
      <c r="AS176" s="10"/>
      <c r="AT176" s="10"/>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9"/>
      <c r="AN177" s="9"/>
      <c r="AO177" s="9"/>
      <c r="AP177" s="9"/>
      <c r="AQ177" s="10"/>
      <c r="AR177" s="10"/>
      <c r="AS177" s="10"/>
      <c r="AT177" s="10"/>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9"/>
      <c r="AN178" s="9"/>
      <c r="AO178" s="9"/>
      <c r="AP178" s="9"/>
      <c r="AQ178" s="10"/>
      <c r="AR178" s="10"/>
      <c r="AS178" s="10"/>
      <c r="AT178" s="10"/>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9"/>
      <c r="AN179" s="9"/>
      <c r="AO179" s="9"/>
      <c r="AP179" s="9"/>
      <c r="AQ179" s="10"/>
      <c r="AR179" s="10"/>
      <c r="AS179" s="10"/>
      <c r="AT179" s="10"/>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9"/>
      <c r="AN180" s="9"/>
      <c r="AO180" s="9"/>
      <c r="AP180" s="9"/>
      <c r="AQ180" s="10"/>
      <c r="AR180" s="10"/>
      <c r="AS180" s="10"/>
      <c r="AT180" s="10"/>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9"/>
      <c r="AN181" s="9"/>
      <c r="AO181" s="9"/>
      <c r="AP181" s="9"/>
      <c r="AQ181" s="10"/>
      <c r="AR181" s="10"/>
      <c r="AS181" s="10"/>
      <c r="AT181" s="10"/>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9"/>
      <c r="AN182" s="9"/>
      <c r="AO182" s="9"/>
      <c r="AP182" s="9"/>
      <c r="AQ182" s="10"/>
      <c r="AR182" s="10"/>
      <c r="AS182" s="10"/>
      <c r="AT182" s="10"/>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9"/>
      <c r="AN183" s="9"/>
      <c r="AO183" s="9"/>
      <c r="AP183" s="9"/>
      <c r="AQ183" s="10"/>
      <c r="AR183" s="10"/>
      <c r="AS183" s="10"/>
      <c r="AT183" s="10"/>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9"/>
      <c r="AN184" s="9"/>
      <c r="AO184" s="9"/>
      <c r="AP184" s="9"/>
      <c r="AQ184" s="10"/>
      <c r="AR184" s="10"/>
      <c r="AS184" s="10"/>
      <c r="AT184" s="10"/>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9"/>
      <c r="AN185" s="9"/>
      <c r="AO185" s="9"/>
      <c r="AP185" s="9"/>
      <c r="AQ185" s="10"/>
      <c r="AR185" s="10"/>
      <c r="AS185" s="10"/>
      <c r="AT185" s="10"/>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9"/>
      <c r="AN186" s="9"/>
      <c r="AO186" s="9"/>
      <c r="AP186" s="9"/>
      <c r="AQ186" s="10"/>
      <c r="AR186" s="10"/>
      <c r="AS186" s="10"/>
      <c r="AT186" s="10"/>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9"/>
      <c r="AN187" s="9"/>
      <c r="AO187" s="9"/>
      <c r="AP187" s="9"/>
      <c r="AQ187" s="10"/>
      <c r="AR187" s="10"/>
      <c r="AS187" s="10"/>
      <c r="AT187" s="10"/>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9"/>
      <c r="AN188" s="9"/>
      <c r="AO188" s="9"/>
      <c r="AP188" s="9"/>
      <c r="AQ188" s="10"/>
      <c r="AR188" s="10"/>
      <c r="AS188" s="10"/>
      <c r="AT188" s="10"/>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9"/>
      <c r="AN189" s="9"/>
      <c r="AO189" s="9"/>
      <c r="AP189" s="9"/>
      <c r="AQ189" s="10"/>
      <c r="AR189" s="10"/>
      <c r="AS189" s="10"/>
      <c r="AT189" s="10"/>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9"/>
      <c r="AN190" s="9"/>
      <c r="AO190" s="9"/>
      <c r="AP190" s="9"/>
      <c r="AQ190" s="10"/>
      <c r="AR190" s="10"/>
      <c r="AS190" s="10"/>
      <c r="AT190" s="10"/>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9"/>
      <c r="AN191" s="9"/>
      <c r="AO191" s="9"/>
      <c r="AP191" s="9"/>
      <c r="AQ191" s="10"/>
      <c r="AR191" s="10"/>
      <c r="AS191" s="10"/>
      <c r="AT191" s="10"/>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9"/>
      <c r="AN192" s="9"/>
      <c r="AO192" s="9"/>
      <c r="AP192" s="9"/>
      <c r="AQ192" s="10"/>
      <c r="AR192" s="10"/>
      <c r="AS192" s="10"/>
      <c r="AT192" s="10"/>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9"/>
      <c r="AN193" s="9"/>
      <c r="AO193" s="9"/>
      <c r="AP193" s="9"/>
      <c r="AQ193" s="10"/>
      <c r="AR193" s="10"/>
      <c r="AS193" s="10"/>
      <c r="AT193" s="10"/>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9"/>
      <c r="AN194" s="9"/>
      <c r="AO194" s="9"/>
      <c r="AP194" s="9"/>
      <c r="AQ194" s="10"/>
      <c r="AR194" s="10"/>
      <c r="AS194" s="10"/>
      <c r="AT194" s="10"/>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9"/>
      <c r="AN195" s="9"/>
      <c r="AO195" s="9"/>
      <c r="AP195" s="9"/>
      <c r="AQ195" s="10"/>
      <c r="AR195" s="10"/>
      <c r="AS195" s="10"/>
      <c r="AT195" s="10"/>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9"/>
      <c r="AN196" s="9"/>
      <c r="AO196" s="9"/>
      <c r="AP196" s="9"/>
      <c r="AQ196" s="10"/>
      <c r="AR196" s="10"/>
      <c r="AS196" s="10"/>
      <c r="AT196" s="10"/>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9"/>
      <c r="AN197" s="9"/>
      <c r="AO197" s="9"/>
      <c r="AP197" s="9"/>
      <c r="AQ197" s="10"/>
      <c r="AR197" s="10"/>
      <c r="AS197" s="10"/>
      <c r="AT197" s="10"/>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9"/>
      <c r="AN198" s="9"/>
      <c r="AO198" s="9"/>
      <c r="AP198" s="9"/>
      <c r="AQ198" s="10"/>
      <c r="AR198" s="10"/>
      <c r="AS198" s="10"/>
      <c r="AT198" s="10"/>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9"/>
      <c r="AN199" s="9"/>
      <c r="AO199" s="9"/>
      <c r="AP199" s="9"/>
      <c r="AQ199" s="10"/>
      <c r="AR199" s="10"/>
      <c r="AS199" s="10"/>
      <c r="AT199" s="10"/>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9"/>
      <c r="AN200" s="9"/>
      <c r="AO200" s="9"/>
      <c r="AP200" s="9"/>
      <c r="AQ200" s="10"/>
      <c r="AR200" s="10"/>
      <c r="AS200" s="10"/>
      <c r="AT200" s="10"/>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9"/>
      <c r="AN201" s="9"/>
      <c r="AO201" s="9"/>
      <c r="AP201" s="9"/>
      <c r="AQ201" s="10"/>
      <c r="AR201" s="10"/>
      <c r="AS201" s="10"/>
      <c r="AT201" s="10"/>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9"/>
      <c r="AN202" s="9"/>
      <c r="AO202" s="9"/>
      <c r="AP202" s="9"/>
      <c r="AQ202" s="10"/>
      <c r="AR202" s="10"/>
      <c r="AS202" s="10"/>
      <c r="AT202" s="10"/>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9"/>
      <c r="AN203" s="9"/>
      <c r="AO203" s="9"/>
      <c r="AP203" s="9"/>
      <c r="AQ203" s="10"/>
      <c r="AR203" s="10"/>
      <c r="AS203" s="10"/>
      <c r="AT203" s="10"/>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9"/>
      <c r="AN204" s="9"/>
      <c r="AO204" s="9"/>
      <c r="AP204" s="9"/>
      <c r="AQ204" s="10"/>
      <c r="AR204" s="10"/>
      <c r="AS204" s="10"/>
      <c r="AT204" s="10"/>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9"/>
      <c r="AN205" s="9"/>
      <c r="AO205" s="9"/>
      <c r="AP205" s="9"/>
      <c r="AQ205" s="10"/>
      <c r="AR205" s="10"/>
      <c r="AS205" s="10"/>
      <c r="AT205" s="10"/>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9"/>
      <c r="AN206" s="9"/>
      <c r="AO206" s="9"/>
      <c r="AP206" s="9"/>
      <c r="AQ206" s="10"/>
      <c r="AR206" s="10"/>
      <c r="AS206" s="10"/>
      <c r="AT206" s="10"/>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9"/>
      <c r="AN207" s="9"/>
      <c r="AO207" s="9"/>
      <c r="AP207" s="9"/>
      <c r="AQ207" s="10"/>
      <c r="AR207" s="10"/>
      <c r="AS207" s="10"/>
      <c r="AT207" s="10"/>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9"/>
      <c r="AN208" s="9"/>
      <c r="AO208" s="9"/>
      <c r="AP208" s="9"/>
      <c r="AQ208" s="10"/>
      <c r="AR208" s="10"/>
      <c r="AS208" s="10"/>
      <c r="AT208" s="10"/>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9"/>
      <c r="AN209" s="9"/>
      <c r="AO209" s="9"/>
      <c r="AP209" s="9"/>
      <c r="AQ209" s="10"/>
      <c r="AR209" s="10"/>
      <c r="AS209" s="10"/>
      <c r="AT209" s="10"/>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9"/>
      <c r="AN210" s="9"/>
      <c r="AO210" s="9"/>
      <c r="AP210" s="9"/>
      <c r="AQ210" s="10"/>
      <c r="AR210" s="10"/>
      <c r="AS210" s="10"/>
      <c r="AT210" s="10"/>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9"/>
      <c r="AN211" s="9"/>
      <c r="AO211" s="9"/>
      <c r="AP211" s="9"/>
      <c r="AQ211" s="10"/>
      <c r="AR211" s="10"/>
      <c r="AS211" s="10"/>
      <c r="AT211" s="10"/>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9"/>
      <c r="AN212" s="9"/>
      <c r="AO212" s="9"/>
      <c r="AP212" s="9"/>
      <c r="AQ212" s="10"/>
      <c r="AR212" s="10"/>
      <c r="AS212" s="10"/>
      <c r="AT212" s="10"/>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9"/>
      <c r="AN213" s="9"/>
      <c r="AO213" s="9"/>
      <c r="AP213" s="9"/>
      <c r="AQ213" s="10"/>
      <c r="AR213" s="10"/>
      <c r="AS213" s="10"/>
      <c r="AT213" s="10"/>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9"/>
      <c r="AN214" s="9"/>
      <c r="AO214" s="9"/>
      <c r="AP214" s="9"/>
      <c r="AQ214" s="10"/>
      <c r="AR214" s="10"/>
      <c r="AS214" s="10"/>
      <c r="AT214" s="10"/>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9"/>
      <c r="AN215" s="9"/>
      <c r="AO215" s="9"/>
      <c r="AP215" s="9"/>
      <c r="AQ215" s="10"/>
      <c r="AR215" s="10"/>
      <c r="AS215" s="10"/>
      <c r="AT215" s="10"/>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9"/>
      <c r="AN216" s="9"/>
      <c r="AO216" s="9"/>
      <c r="AP216" s="9"/>
      <c r="AQ216" s="10"/>
      <c r="AR216" s="10"/>
      <c r="AS216" s="10"/>
      <c r="AT216" s="10"/>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9"/>
      <c r="AN217" s="9"/>
      <c r="AO217" s="9"/>
      <c r="AP217" s="9"/>
      <c r="AQ217" s="10"/>
      <c r="AR217" s="10"/>
      <c r="AS217" s="10"/>
      <c r="AT217" s="10"/>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9"/>
      <c r="AN218" s="9"/>
      <c r="AO218" s="9"/>
      <c r="AP218" s="9"/>
      <c r="AQ218" s="10"/>
      <c r="AR218" s="10"/>
      <c r="AS218" s="10"/>
      <c r="AT218" s="10"/>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9"/>
      <c r="AN219" s="9"/>
      <c r="AO219" s="9"/>
      <c r="AP219" s="9"/>
      <c r="AQ219" s="10"/>
      <c r="AR219" s="10"/>
      <c r="AS219" s="10"/>
      <c r="AT219" s="10"/>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9"/>
      <c r="AN220" s="9"/>
      <c r="AO220" s="9"/>
      <c r="AP220" s="9"/>
      <c r="AQ220" s="10"/>
      <c r="AR220" s="10"/>
      <c r="AS220" s="10"/>
      <c r="AT220" s="10"/>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9"/>
      <c r="AN221" s="9"/>
      <c r="AO221" s="9"/>
      <c r="AP221" s="9"/>
      <c r="AQ221" s="10"/>
      <c r="AR221" s="10"/>
      <c r="AS221" s="10"/>
      <c r="AT221" s="10"/>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9"/>
      <c r="AN222" s="9"/>
      <c r="AO222" s="9"/>
      <c r="AP222" s="9"/>
      <c r="AQ222" s="10"/>
      <c r="AR222" s="10"/>
      <c r="AS222" s="10"/>
      <c r="AT222" s="10"/>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9"/>
      <c r="AN223" s="9"/>
      <c r="AO223" s="9"/>
      <c r="AP223" s="9"/>
      <c r="AQ223" s="10"/>
      <c r="AR223" s="10"/>
      <c r="AS223" s="10"/>
      <c r="AT223" s="10"/>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9"/>
      <c r="AN224" s="9"/>
      <c r="AO224" s="9"/>
      <c r="AP224" s="9"/>
      <c r="AQ224" s="10"/>
      <c r="AR224" s="10"/>
      <c r="AS224" s="10"/>
      <c r="AT224" s="10"/>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9"/>
      <c r="AN225" s="9"/>
      <c r="AO225" s="9"/>
      <c r="AP225" s="9"/>
      <c r="AQ225" s="10"/>
      <c r="AR225" s="10"/>
      <c r="AS225" s="10"/>
      <c r="AT225" s="10"/>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9"/>
      <c r="AN226" s="9"/>
      <c r="AO226" s="9"/>
      <c r="AP226" s="9"/>
      <c r="AQ226" s="10"/>
      <c r="AR226" s="10"/>
      <c r="AS226" s="10"/>
      <c r="AT226" s="10"/>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9"/>
      <c r="AN227" s="9"/>
      <c r="AO227" s="9"/>
      <c r="AP227" s="9"/>
      <c r="AQ227" s="10"/>
      <c r="AR227" s="10"/>
      <c r="AS227" s="10"/>
      <c r="AT227" s="10"/>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9"/>
      <c r="AN228" s="9"/>
      <c r="AO228" s="9"/>
      <c r="AP228" s="9"/>
      <c r="AQ228" s="10"/>
      <c r="AR228" s="10"/>
      <c r="AS228" s="10"/>
      <c r="AT228" s="10"/>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9"/>
      <c r="AN229" s="9"/>
      <c r="AO229" s="9"/>
      <c r="AP229" s="9"/>
      <c r="AQ229" s="10"/>
      <c r="AR229" s="10"/>
      <c r="AS229" s="10"/>
      <c r="AT229" s="10"/>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9"/>
      <c r="AN230" s="9"/>
      <c r="AO230" s="9"/>
      <c r="AP230" s="9"/>
      <c r="AQ230" s="10"/>
      <c r="AR230" s="10"/>
      <c r="AS230" s="10"/>
      <c r="AT230" s="10"/>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9"/>
      <c r="AN231" s="9"/>
      <c r="AO231" s="9"/>
      <c r="AP231" s="9"/>
      <c r="AQ231" s="10"/>
      <c r="AR231" s="10"/>
      <c r="AS231" s="10"/>
      <c r="AT231" s="10"/>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9"/>
      <c r="AN232" s="9"/>
      <c r="AO232" s="9"/>
      <c r="AP232" s="9"/>
      <c r="AQ232" s="10"/>
      <c r="AR232" s="10"/>
      <c r="AS232" s="10"/>
      <c r="AT232" s="10"/>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9"/>
      <c r="AN233" s="9"/>
      <c r="AO233" s="9"/>
      <c r="AP233" s="9"/>
      <c r="AQ233" s="10"/>
      <c r="AR233" s="10"/>
      <c r="AS233" s="10"/>
      <c r="AT233" s="10"/>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9"/>
      <c r="AN234" s="9"/>
      <c r="AO234" s="9"/>
      <c r="AP234" s="9"/>
      <c r="AQ234" s="10"/>
      <c r="AR234" s="10"/>
      <c r="AS234" s="10"/>
      <c r="AT234" s="10"/>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9"/>
      <c r="AN235" s="9"/>
      <c r="AO235" s="9"/>
      <c r="AP235" s="9"/>
      <c r="AQ235" s="10"/>
      <c r="AR235" s="10"/>
      <c r="AS235" s="10"/>
      <c r="AT235" s="10"/>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9"/>
      <c r="AN236" s="9"/>
      <c r="AO236" s="9"/>
      <c r="AP236" s="9"/>
      <c r="AQ236" s="10"/>
      <c r="AR236" s="10"/>
      <c r="AS236" s="10"/>
      <c r="AT236" s="10"/>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9"/>
      <c r="AN237" s="9"/>
      <c r="AO237" s="9"/>
      <c r="AP237" s="9"/>
      <c r="AQ237" s="10"/>
      <c r="AR237" s="10"/>
      <c r="AS237" s="10"/>
      <c r="AT237" s="10"/>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9"/>
      <c r="AN238" s="9"/>
      <c r="AO238" s="9"/>
      <c r="AP238" s="9"/>
      <c r="AQ238" s="10"/>
      <c r="AR238" s="10"/>
      <c r="AS238" s="10"/>
      <c r="AT238" s="10"/>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9"/>
      <c r="AN239" s="9"/>
      <c r="AO239" s="9"/>
      <c r="AP239" s="9"/>
      <c r="AQ239" s="10"/>
      <c r="AR239" s="10"/>
      <c r="AS239" s="10"/>
      <c r="AT239" s="10"/>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9"/>
      <c r="AN240" s="9"/>
      <c r="AO240" s="9"/>
      <c r="AP240" s="9"/>
      <c r="AQ240" s="10"/>
      <c r="AR240" s="10"/>
      <c r="AS240" s="10"/>
      <c r="AT240" s="10"/>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9"/>
      <c r="AN241" s="9"/>
      <c r="AO241" s="9"/>
      <c r="AP241" s="9"/>
      <c r="AQ241" s="10"/>
      <c r="AR241" s="10"/>
      <c r="AS241" s="10"/>
      <c r="AT241" s="10"/>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9"/>
      <c r="AN242" s="9"/>
      <c r="AO242" s="9"/>
      <c r="AP242" s="9"/>
      <c r="AQ242" s="10"/>
      <c r="AR242" s="10"/>
      <c r="AS242" s="10"/>
      <c r="AT242" s="10"/>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9"/>
      <c r="AN243" s="9"/>
      <c r="AO243" s="9"/>
      <c r="AP243" s="9"/>
      <c r="AQ243" s="10"/>
      <c r="AR243" s="10"/>
      <c r="AS243" s="10"/>
      <c r="AT243" s="10"/>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9"/>
      <c r="AN244" s="9"/>
      <c r="AO244" s="9"/>
      <c r="AP244" s="9"/>
      <c r="AQ244" s="10"/>
      <c r="AR244" s="10"/>
      <c r="AS244" s="10"/>
      <c r="AT244" s="10"/>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9"/>
      <c r="AN245" s="9"/>
      <c r="AO245" s="9"/>
      <c r="AP245" s="9"/>
      <c r="AQ245" s="10"/>
      <c r="AR245" s="10"/>
      <c r="AS245" s="10"/>
      <c r="AT245" s="10"/>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9"/>
      <c r="AN246" s="9"/>
      <c r="AO246" s="9"/>
      <c r="AP246" s="9"/>
      <c r="AQ246" s="10"/>
      <c r="AR246" s="10"/>
      <c r="AS246" s="10"/>
      <c r="AT246" s="10"/>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9"/>
      <c r="AN247" s="9"/>
      <c r="AO247" s="9"/>
      <c r="AP247" s="9"/>
      <c r="AQ247" s="10"/>
      <c r="AR247" s="10"/>
      <c r="AS247" s="10"/>
      <c r="AT247" s="10"/>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9"/>
      <c r="AN248" s="9"/>
      <c r="AO248" s="9"/>
      <c r="AP248" s="9"/>
      <c r="AQ248" s="10"/>
      <c r="AR248" s="10"/>
      <c r="AS248" s="10"/>
      <c r="AT248" s="10"/>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9"/>
      <c r="AN249" s="9"/>
      <c r="AO249" s="9"/>
      <c r="AP249" s="9"/>
      <c r="AQ249" s="10"/>
      <c r="AR249" s="10"/>
      <c r="AS249" s="10"/>
      <c r="AT249" s="10"/>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9"/>
      <c r="AN250" s="9"/>
      <c r="AO250" s="9"/>
      <c r="AP250" s="9"/>
      <c r="AQ250" s="10"/>
      <c r="AR250" s="10"/>
      <c r="AS250" s="10"/>
      <c r="AT250" s="10"/>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9"/>
      <c r="AN251" s="9"/>
      <c r="AO251" s="9"/>
      <c r="AP251" s="9"/>
      <c r="AQ251" s="10"/>
      <c r="AR251" s="10"/>
      <c r="AS251" s="10"/>
      <c r="AT251" s="10"/>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9"/>
      <c r="AN252" s="9"/>
      <c r="AO252" s="9"/>
      <c r="AP252" s="9"/>
      <c r="AQ252" s="10"/>
      <c r="AR252" s="10"/>
      <c r="AS252" s="10"/>
      <c r="AT252" s="10"/>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9"/>
      <c r="AN253" s="9"/>
      <c r="AO253" s="9"/>
      <c r="AP253" s="9"/>
      <c r="AQ253" s="10"/>
      <c r="AR253" s="10"/>
      <c r="AS253" s="10"/>
      <c r="AT253" s="10"/>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9"/>
      <c r="AN254" s="9"/>
      <c r="AO254" s="9"/>
      <c r="AP254" s="9"/>
      <c r="AQ254" s="10"/>
      <c r="AR254" s="10"/>
      <c r="AS254" s="10"/>
      <c r="AT254" s="10"/>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9"/>
      <c r="AN255" s="9"/>
      <c r="AO255" s="9"/>
      <c r="AP255" s="9"/>
      <c r="AQ255" s="10"/>
      <c r="AR255" s="10"/>
      <c r="AS255" s="10"/>
      <c r="AT255" s="10"/>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9"/>
      <c r="AN256" s="9"/>
      <c r="AO256" s="9"/>
      <c r="AP256" s="9"/>
      <c r="AQ256" s="10"/>
      <c r="AR256" s="10"/>
      <c r="AS256" s="10"/>
      <c r="AT256" s="10"/>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9"/>
      <c r="AN257" s="9"/>
      <c r="AO257" s="9"/>
      <c r="AP257" s="9"/>
      <c r="AQ257" s="10"/>
      <c r="AR257" s="10"/>
      <c r="AS257" s="10"/>
      <c r="AT257" s="10"/>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9"/>
      <c r="AN258" s="9"/>
      <c r="AO258" s="9"/>
      <c r="AP258" s="9"/>
      <c r="AQ258" s="10"/>
      <c r="AR258" s="10"/>
      <c r="AS258" s="10"/>
      <c r="AT258" s="10"/>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9"/>
      <c r="AN259" s="9"/>
      <c r="AO259" s="9"/>
      <c r="AP259" s="9"/>
      <c r="AQ259" s="10"/>
      <c r="AR259" s="10"/>
      <c r="AS259" s="10"/>
      <c r="AT259" s="10"/>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9"/>
      <c r="AN260" s="9"/>
      <c r="AO260" s="9"/>
      <c r="AP260" s="9"/>
      <c r="AQ260" s="10"/>
      <c r="AR260" s="10"/>
      <c r="AS260" s="10"/>
      <c r="AT260" s="10"/>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9"/>
      <c r="AN261" s="9"/>
      <c r="AO261" s="9"/>
      <c r="AP261" s="9"/>
      <c r="AQ261" s="10"/>
      <c r="AR261" s="10"/>
      <c r="AS261" s="10"/>
      <c r="AT261" s="10"/>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9"/>
      <c r="AN262" s="9"/>
      <c r="AO262" s="9"/>
      <c r="AP262" s="9"/>
      <c r="AQ262" s="10"/>
      <c r="AR262" s="10"/>
      <c r="AS262" s="10"/>
      <c r="AT262" s="10"/>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9"/>
      <c r="AN263" s="9"/>
      <c r="AO263" s="9"/>
      <c r="AP263" s="9"/>
      <c r="AQ263" s="10"/>
      <c r="AR263" s="10"/>
      <c r="AS263" s="10"/>
      <c r="AT263" s="10"/>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9"/>
      <c r="AN264" s="9"/>
      <c r="AO264" s="9"/>
      <c r="AP264" s="9"/>
      <c r="AQ264" s="10"/>
      <c r="AR264" s="10"/>
      <c r="AS264" s="10"/>
      <c r="AT264" s="10"/>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9"/>
      <c r="AN265" s="9"/>
      <c r="AO265" s="9"/>
      <c r="AP265" s="9"/>
      <c r="AQ265" s="10"/>
      <c r="AR265" s="10"/>
      <c r="AS265" s="10"/>
      <c r="AT265" s="10"/>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9"/>
      <c r="AN266" s="9"/>
      <c r="AO266" s="9"/>
      <c r="AP266" s="9"/>
      <c r="AQ266" s="10"/>
      <c r="AR266" s="10"/>
      <c r="AS266" s="10"/>
      <c r="AT266" s="10"/>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9"/>
      <c r="AN267" s="9"/>
      <c r="AO267" s="9"/>
      <c r="AP267" s="9"/>
      <c r="AQ267" s="10"/>
      <c r="AR267" s="10"/>
      <c r="AS267" s="10"/>
      <c r="AT267" s="10"/>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9"/>
      <c r="AN268" s="9"/>
      <c r="AO268" s="9"/>
      <c r="AP268" s="9"/>
      <c r="AQ268" s="10"/>
      <c r="AR268" s="10"/>
      <c r="AS268" s="10"/>
      <c r="AT268" s="10"/>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9"/>
      <c r="AN269" s="9"/>
      <c r="AO269" s="9"/>
      <c r="AP269" s="9"/>
      <c r="AQ269" s="10"/>
      <c r="AR269" s="10"/>
      <c r="AS269" s="10"/>
      <c r="AT269" s="10"/>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9"/>
      <c r="AN270" s="9"/>
      <c r="AO270" s="9"/>
      <c r="AP270" s="9"/>
      <c r="AQ270" s="10"/>
      <c r="AR270" s="10"/>
      <c r="AS270" s="10"/>
      <c r="AT270" s="10"/>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9"/>
      <c r="AN271" s="9"/>
      <c r="AO271" s="9"/>
      <c r="AP271" s="9"/>
      <c r="AQ271" s="10"/>
      <c r="AR271" s="10"/>
      <c r="AS271" s="10"/>
      <c r="AT271" s="10"/>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9"/>
      <c r="AN272" s="9"/>
      <c r="AO272" s="9"/>
      <c r="AP272" s="9"/>
      <c r="AQ272" s="10"/>
      <c r="AR272" s="10"/>
      <c r="AS272" s="10"/>
      <c r="AT272" s="10"/>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9"/>
      <c r="AN273" s="9"/>
      <c r="AO273" s="9"/>
      <c r="AP273" s="9"/>
      <c r="AQ273" s="10"/>
      <c r="AR273" s="10"/>
      <c r="AS273" s="10"/>
      <c r="AT273" s="10"/>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9"/>
      <c r="AN274" s="9"/>
      <c r="AO274" s="9"/>
      <c r="AP274" s="9"/>
      <c r="AQ274" s="10"/>
      <c r="AR274" s="10"/>
      <c r="AS274" s="10"/>
      <c r="AT274" s="10"/>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9"/>
      <c r="AN275" s="9"/>
      <c r="AO275" s="9"/>
      <c r="AP275" s="9"/>
      <c r="AQ275" s="10"/>
      <c r="AR275" s="10"/>
      <c r="AS275" s="10"/>
      <c r="AT275" s="10"/>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9"/>
      <c r="AN276" s="9"/>
      <c r="AO276" s="9"/>
      <c r="AP276" s="9"/>
      <c r="AQ276" s="10"/>
      <c r="AR276" s="10"/>
      <c r="AS276" s="10"/>
      <c r="AT276" s="10"/>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9"/>
      <c r="AN277" s="9"/>
      <c r="AO277" s="9"/>
      <c r="AP277" s="9"/>
      <c r="AQ277" s="10"/>
      <c r="AR277" s="10"/>
      <c r="AS277" s="10"/>
      <c r="AT277" s="10"/>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9"/>
      <c r="AN278" s="9"/>
      <c r="AO278" s="9"/>
      <c r="AP278" s="9"/>
      <c r="AQ278" s="10"/>
      <c r="AR278" s="10"/>
      <c r="AS278" s="10"/>
      <c r="AT278" s="10"/>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9"/>
      <c r="AN279" s="9"/>
      <c r="AO279" s="9"/>
      <c r="AP279" s="9"/>
      <c r="AQ279" s="10"/>
      <c r="AR279" s="10"/>
      <c r="AS279" s="10"/>
      <c r="AT279" s="10"/>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9"/>
      <c r="AN280" s="9"/>
      <c r="AO280" s="9"/>
      <c r="AP280" s="9"/>
      <c r="AQ280" s="10"/>
      <c r="AR280" s="10"/>
      <c r="AS280" s="10"/>
      <c r="AT280" s="10"/>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9"/>
      <c r="AN281" s="9"/>
      <c r="AO281" s="9"/>
      <c r="AP281" s="9"/>
      <c r="AQ281" s="10"/>
      <c r="AR281" s="10"/>
      <c r="AS281" s="10"/>
      <c r="AT281" s="10"/>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9"/>
      <c r="AN282" s="9"/>
      <c r="AO282" s="9"/>
      <c r="AP282" s="9"/>
      <c r="AQ282" s="10"/>
      <c r="AR282" s="10"/>
      <c r="AS282" s="10"/>
      <c r="AT282" s="10"/>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9"/>
      <c r="AN283" s="9"/>
      <c r="AO283" s="9"/>
      <c r="AP283" s="9"/>
      <c r="AQ283" s="10"/>
      <c r="AR283" s="10"/>
      <c r="AS283" s="10"/>
      <c r="AT283" s="10"/>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9"/>
      <c r="AN284" s="9"/>
      <c r="AO284" s="9"/>
      <c r="AP284" s="9"/>
      <c r="AQ284" s="10"/>
      <c r="AR284" s="10"/>
      <c r="AS284" s="10"/>
      <c r="AT284" s="10"/>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9"/>
      <c r="AN285" s="9"/>
      <c r="AO285" s="9"/>
      <c r="AP285" s="9"/>
      <c r="AQ285" s="10"/>
      <c r="AR285" s="10"/>
      <c r="AS285" s="10"/>
      <c r="AT285" s="10"/>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9"/>
      <c r="AN286" s="9"/>
      <c r="AO286" s="9"/>
      <c r="AP286" s="9"/>
      <c r="AQ286" s="10"/>
      <c r="AR286" s="10"/>
      <c r="AS286" s="10"/>
      <c r="AT286" s="10"/>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9"/>
      <c r="AN287" s="9"/>
      <c r="AO287" s="9"/>
      <c r="AP287" s="9"/>
      <c r="AQ287" s="10"/>
      <c r="AR287" s="10"/>
      <c r="AS287" s="10"/>
      <c r="AT287" s="10"/>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9"/>
      <c r="AN288" s="9"/>
      <c r="AO288" s="9"/>
      <c r="AP288" s="9"/>
      <c r="AQ288" s="10"/>
      <c r="AR288" s="10"/>
      <c r="AS288" s="10"/>
      <c r="AT288" s="10"/>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9"/>
      <c r="AN289" s="9"/>
      <c r="AO289" s="9"/>
      <c r="AP289" s="9"/>
      <c r="AQ289" s="10"/>
      <c r="AR289" s="10"/>
      <c r="AS289" s="10"/>
      <c r="AT289" s="10"/>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9"/>
      <c r="AN290" s="9"/>
      <c r="AO290" s="9"/>
      <c r="AP290" s="9"/>
      <c r="AQ290" s="10"/>
      <c r="AR290" s="10"/>
      <c r="AS290" s="10"/>
      <c r="AT290" s="10"/>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9"/>
      <c r="AN291" s="9"/>
      <c r="AO291" s="9"/>
      <c r="AP291" s="9"/>
      <c r="AQ291" s="10"/>
      <c r="AR291" s="10"/>
      <c r="AS291" s="10"/>
      <c r="AT291" s="10"/>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9"/>
      <c r="AN292" s="9"/>
      <c r="AO292" s="9"/>
      <c r="AP292" s="9"/>
      <c r="AQ292" s="10"/>
      <c r="AR292" s="10"/>
      <c r="AS292" s="10"/>
      <c r="AT292" s="10"/>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9"/>
      <c r="AN293" s="9"/>
      <c r="AO293" s="9"/>
      <c r="AP293" s="9"/>
      <c r="AQ293" s="10"/>
      <c r="AR293" s="10"/>
      <c r="AS293" s="10"/>
      <c r="AT293" s="10"/>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9"/>
      <c r="AN294" s="9"/>
      <c r="AO294" s="9"/>
      <c r="AP294" s="9"/>
      <c r="AQ294" s="10"/>
      <c r="AR294" s="10"/>
      <c r="AS294" s="10"/>
      <c r="AT294" s="10"/>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9"/>
      <c r="AN295" s="9"/>
      <c r="AO295" s="9"/>
      <c r="AP295" s="9"/>
      <c r="AQ295" s="10"/>
      <c r="AR295" s="10"/>
      <c r="AS295" s="10"/>
      <c r="AT295" s="10"/>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9"/>
      <c r="AN296" s="9"/>
      <c r="AO296" s="9"/>
      <c r="AP296" s="9"/>
      <c r="AQ296" s="10"/>
      <c r="AR296" s="10"/>
      <c r="AS296" s="10"/>
      <c r="AT296" s="10"/>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9"/>
      <c r="AN297" s="9"/>
      <c r="AO297" s="9"/>
      <c r="AP297" s="9"/>
      <c r="AQ297" s="10"/>
      <c r="AR297" s="10"/>
      <c r="AS297" s="10"/>
      <c r="AT297" s="10"/>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9"/>
      <c r="AN298" s="9"/>
      <c r="AO298" s="9"/>
      <c r="AP298" s="9"/>
      <c r="AQ298" s="10"/>
      <c r="AR298" s="10"/>
      <c r="AS298" s="10"/>
      <c r="AT298" s="10"/>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9"/>
      <c r="AN299" s="9"/>
      <c r="AO299" s="9"/>
      <c r="AP299" s="9"/>
      <c r="AQ299" s="10"/>
      <c r="AR299" s="10"/>
      <c r="AS299" s="10"/>
      <c r="AT299" s="10"/>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9"/>
      <c r="AN300" s="9"/>
      <c r="AO300" s="9"/>
      <c r="AP300" s="9"/>
      <c r="AQ300" s="10"/>
      <c r="AR300" s="10"/>
      <c r="AS300" s="10"/>
      <c r="AT300" s="10"/>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9"/>
      <c r="AN301" s="9"/>
      <c r="AO301" s="9"/>
      <c r="AP301" s="9"/>
      <c r="AQ301" s="10"/>
      <c r="AR301" s="10"/>
      <c r="AS301" s="10"/>
      <c r="AT301" s="10"/>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9"/>
      <c r="AN302" s="9"/>
      <c r="AO302" s="9"/>
      <c r="AP302" s="9"/>
      <c r="AQ302" s="10"/>
      <c r="AR302" s="10"/>
      <c r="AS302" s="10"/>
      <c r="AT302" s="10"/>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9"/>
      <c r="AN303" s="9"/>
      <c r="AO303" s="9"/>
      <c r="AP303" s="9"/>
      <c r="AQ303" s="10"/>
      <c r="AR303" s="10"/>
      <c r="AS303" s="10"/>
      <c r="AT303" s="10"/>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9"/>
      <c r="AN304" s="9"/>
      <c r="AO304" s="9"/>
      <c r="AP304" s="9"/>
      <c r="AQ304" s="10"/>
      <c r="AR304" s="10"/>
      <c r="AS304" s="10"/>
      <c r="AT304" s="10"/>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9"/>
      <c r="AN305" s="9"/>
      <c r="AO305" s="9"/>
      <c r="AP305" s="9"/>
      <c r="AQ305" s="10"/>
      <c r="AR305" s="10"/>
      <c r="AS305" s="10"/>
      <c r="AT305" s="10"/>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9"/>
      <c r="AN306" s="9"/>
      <c r="AO306" s="9"/>
      <c r="AP306" s="9"/>
      <c r="AQ306" s="10"/>
      <c r="AR306" s="10"/>
      <c r="AS306" s="10"/>
      <c r="AT306" s="10"/>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9"/>
      <c r="AN307" s="9"/>
      <c r="AO307" s="9"/>
      <c r="AP307" s="9"/>
      <c r="AQ307" s="10"/>
      <c r="AR307" s="10"/>
      <c r="AS307" s="10"/>
      <c r="AT307" s="10"/>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9"/>
      <c r="AN308" s="9"/>
      <c r="AO308" s="9"/>
      <c r="AP308" s="9"/>
      <c r="AQ308" s="10"/>
      <c r="AR308" s="10"/>
      <c r="AS308" s="10"/>
      <c r="AT308" s="10"/>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9"/>
      <c r="AN309" s="9"/>
      <c r="AO309" s="9"/>
      <c r="AP309" s="9"/>
      <c r="AQ309" s="10"/>
      <c r="AR309" s="10"/>
      <c r="AS309" s="10"/>
      <c r="AT309" s="10"/>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9"/>
      <c r="AN310" s="9"/>
      <c r="AO310" s="9"/>
      <c r="AP310" s="9"/>
      <c r="AQ310" s="10"/>
      <c r="AR310" s="10"/>
      <c r="AS310" s="10"/>
      <c r="AT310" s="10"/>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9"/>
      <c r="AN311" s="9"/>
      <c r="AO311" s="9"/>
      <c r="AP311" s="9"/>
      <c r="AQ311" s="10"/>
      <c r="AR311" s="10"/>
      <c r="AS311" s="10"/>
      <c r="AT311" s="10"/>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9"/>
      <c r="AN312" s="9"/>
      <c r="AO312" s="9"/>
      <c r="AP312" s="9"/>
      <c r="AQ312" s="10"/>
      <c r="AR312" s="10"/>
      <c r="AS312" s="10"/>
      <c r="AT312" s="10"/>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9"/>
      <c r="AN313" s="9"/>
      <c r="AO313" s="9"/>
      <c r="AP313" s="9"/>
      <c r="AQ313" s="10"/>
      <c r="AR313" s="10"/>
      <c r="AS313" s="10"/>
      <c r="AT313" s="10"/>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9"/>
      <c r="AN314" s="9"/>
      <c r="AO314" s="9"/>
      <c r="AP314" s="9"/>
      <c r="AQ314" s="10"/>
      <c r="AR314" s="10"/>
      <c r="AS314" s="10"/>
      <c r="AT314" s="10"/>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9"/>
      <c r="AN315" s="9"/>
      <c r="AO315" s="9"/>
      <c r="AP315" s="9"/>
      <c r="AQ315" s="10"/>
      <c r="AR315" s="10"/>
      <c r="AS315" s="10"/>
      <c r="AT315" s="10"/>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9"/>
      <c r="AN316" s="9"/>
      <c r="AO316" s="9"/>
      <c r="AP316" s="9"/>
      <c r="AQ316" s="10"/>
      <c r="AR316" s="10"/>
      <c r="AS316" s="10"/>
      <c r="AT316" s="10"/>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9"/>
      <c r="AN317" s="9"/>
      <c r="AO317" s="9"/>
      <c r="AP317" s="9"/>
      <c r="AQ317" s="10"/>
      <c r="AR317" s="10"/>
      <c r="AS317" s="10"/>
      <c r="AT317" s="10"/>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9"/>
      <c r="AN318" s="9"/>
      <c r="AO318" s="9"/>
      <c r="AP318" s="9"/>
      <c r="AQ318" s="10"/>
      <c r="AR318" s="10"/>
      <c r="AS318" s="10"/>
      <c r="AT318" s="10"/>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9"/>
      <c r="AN319" s="9"/>
      <c r="AO319" s="9"/>
      <c r="AP319" s="9"/>
      <c r="AQ319" s="10"/>
      <c r="AR319" s="10"/>
      <c r="AS319" s="10"/>
      <c r="AT319" s="10"/>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9"/>
      <c r="AN320" s="9"/>
      <c r="AO320" s="9"/>
      <c r="AP320" s="9"/>
      <c r="AQ320" s="10"/>
      <c r="AR320" s="10"/>
      <c r="AS320" s="10"/>
      <c r="AT320" s="10"/>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9"/>
      <c r="AN321" s="9"/>
      <c r="AO321" s="9"/>
      <c r="AP321" s="9"/>
      <c r="AQ321" s="10"/>
      <c r="AR321" s="10"/>
      <c r="AS321" s="10"/>
      <c r="AT321" s="10"/>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9"/>
      <c r="AN322" s="9"/>
      <c r="AO322" s="9"/>
      <c r="AP322" s="9"/>
      <c r="AQ322" s="10"/>
      <c r="AR322" s="10"/>
      <c r="AS322" s="10"/>
      <c r="AT322" s="10"/>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9"/>
      <c r="AN323" s="9"/>
      <c r="AO323" s="9"/>
      <c r="AP323" s="9"/>
      <c r="AQ323" s="10"/>
      <c r="AR323" s="10"/>
      <c r="AS323" s="10"/>
      <c r="AT323" s="10"/>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9"/>
      <c r="AN324" s="9"/>
      <c r="AO324" s="9"/>
      <c r="AP324" s="9"/>
      <c r="AQ324" s="10"/>
      <c r="AR324" s="10"/>
      <c r="AS324" s="10"/>
      <c r="AT324" s="10"/>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9"/>
      <c r="AN325" s="9"/>
      <c r="AO325" s="9"/>
      <c r="AP325" s="9"/>
      <c r="AQ325" s="10"/>
      <c r="AR325" s="10"/>
      <c r="AS325" s="10"/>
      <c r="AT325" s="10"/>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9"/>
      <c r="AN326" s="9"/>
      <c r="AO326" s="9"/>
      <c r="AP326" s="9"/>
      <c r="AQ326" s="10"/>
      <c r="AR326" s="10"/>
      <c r="AS326" s="10"/>
      <c r="AT326" s="10"/>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9"/>
      <c r="AN327" s="9"/>
      <c r="AO327" s="9"/>
      <c r="AP327" s="9"/>
      <c r="AQ327" s="10"/>
      <c r="AR327" s="10"/>
      <c r="AS327" s="10"/>
      <c r="AT327" s="10"/>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9"/>
      <c r="AN328" s="9"/>
      <c r="AO328" s="9"/>
      <c r="AP328" s="9"/>
      <c r="AQ328" s="10"/>
      <c r="AR328" s="10"/>
      <c r="AS328" s="10"/>
      <c r="AT328" s="10"/>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9"/>
      <c r="AN329" s="9"/>
      <c r="AO329" s="9"/>
      <c r="AP329" s="9"/>
      <c r="AQ329" s="10"/>
      <c r="AR329" s="10"/>
      <c r="AS329" s="10"/>
      <c r="AT329" s="10"/>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9"/>
      <c r="AN330" s="9"/>
      <c r="AO330" s="9"/>
      <c r="AP330" s="9"/>
      <c r="AQ330" s="10"/>
      <c r="AR330" s="10"/>
      <c r="AS330" s="10"/>
      <c r="AT330" s="10"/>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9"/>
      <c r="AN331" s="9"/>
      <c r="AO331" s="9"/>
      <c r="AP331" s="9"/>
      <c r="AQ331" s="10"/>
      <c r="AR331" s="10"/>
      <c r="AS331" s="10"/>
      <c r="AT331" s="10"/>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9"/>
      <c r="AN332" s="9"/>
      <c r="AO332" s="9"/>
      <c r="AP332" s="9"/>
      <c r="AQ332" s="10"/>
      <c r="AR332" s="10"/>
      <c r="AS332" s="10"/>
      <c r="AT332" s="10"/>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9"/>
      <c r="AN333" s="9"/>
      <c r="AO333" s="9"/>
      <c r="AP333" s="9"/>
      <c r="AQ333" s="10"/>
      <c r="AR333" s="10"/>
      <c r="AS333" s="10"/>
      <c r="AT333" s="10"/>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9"/>
      <c r="AN334" s="9"/>
      <c r="AO334" s="9"/>
      <c r="AP334" s="9"/>
      <c r="AQ334" s="10"/>
      <c r="AR334" s="10"/>
      <c r="AS334" s="10"/>
      <c r="AT334" s="10"/>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9"/>
      <c r="AN335" s="9"/>
      <c r="AO335" s="9"/>
      <c r="AP335" s="9"/>
      <c r="AQ335" s="10"/>
      <c r="AR335" s="10"/>
      <c r="AS335" s="10"/>
      <c r="AT335" s="10"/>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9"/>
      <c r="AN336" s="9"/>
      <c r="AO336" s="9"/>
      <c r="AP336" s="9"/>
      <c r="AQ336" s="10"/>
      <c r="AR336" s="10"/>
      <c r="AS336" s="10"/>
      <c r="AT336" s="10"/>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9"/>
      <c r="AN337" s="9"/>
      <c r="AO337" s="9"/>
      <c r="AP337" s="9"/>
      <c r="AQ337" s="10"/>
      <c r="AR337" s="10"/>
      <c r="AS337" s="10"/>
      <c r="AT337" s="10"/>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9"/>
      <c r="AN338" s="9"/>
      <c r="AO338" s="9"/>
      <c r="AP338" s="9"/>
      <c r="AQ338" s="10"/>
      <c r="AR338" s="10"/>
      <c r="AS338" s="10"/>
      <c r="AT338" s="10"/>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9"/>
      <c r="AN339" s="9"/>
      <c r="AO339" s="9"/>
      <c r="AP339" s="9"/>
      <c r="AQ339" s="10"/>
      <c r="AR339" s="10"/>
      <c r="AS339" s="10"/>
      <c r="AT339" s="10"/>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9"/>
      <c r="AN340" s="9"/>
      <c r="AO340" s="9"/>
      <c r="AP340" s="9"/>
      <c r="AQ340" s="10"/>
      <c r="AR340" s="10"/>
      <c r="AS340" s="10"/>
      <c r="AT340" s="10"/>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9"/>
      <c r="AN341" s="9"/>
      <c r="AO341" s="9"/>
      <c r="AP341" s="9"/>
      <c r="AQ341" s="10"/>
      <c r="AR341" s="10"/>
      <c r="AS341" s="10"/>
      <c r="AT341" s="10"/>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9"/>
      <c r="AN342" s="9"/>
      <c r="AO342" s="9"/>
      <c r="AP342" s="9"/>
      <c r="AQ342" s="10"/>
      <c r="AR342" s="10"/>
      <c r="AS342" s="10"/>
      <c r="AT342" s="10"/>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9"/>
      <c r="AN343" s="9"/>
      <c r="AO343" s="9"/>
      <c r="AP343" s="9"/>
      <c r="AQ343" s="10"/>
      <c r="AR343" s="10"/>
      <c r="AS343" s="10"/>
      <c r="AT343" s="10"/>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9"/>
      <c r="AN344" s="9"/>
      <c r="AO344" s="9"/>
      <c r="AP344" s="9"/>
      <c r="AQ344" s="10"/>
      <c r="AR344" s="10"/>
      <c r="AS344" s="10"/>
      <c r="AT344" s="10"/>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9"/>
      <c r="AN345" s="9"/>
      <c r="AO345" s="9"/>
      <c r="AP345" s="9"/>
      <c r="AQ345" s="10"/>
      <c r="AR345" s="10"/>
      <c r="AS345" s="10"/>
      <c r="AT345" s="10"/>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9"/>
      <c r="AN346" s="9"/>
      <c r="AO346" s="9"/>
      <c r="AP346" s="9"/>
      <c r="AQ346" s="10"/>
      <c r="AR346" s="10"/>
      <c r="AS346" s="10"/>
      <c r="AT346" s="10"/>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9"/>
      <c r="AN347" s="9"/>
      <c r="AO347" s="9"/>
      <c r="AP347" s="9"/>
      <c r="AQ347" s="10"/>
      <c r="AR347" s="10"/>
      <c r="AS347" s="10"/>
      <c r="AT347" s="10"/>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9"/>
      <c r="AN348" s="9"/>
      <c r="AO348" s="9"/>
      <c r="AP348" s="9"/>
      <c r="AQ348" s="10"/>
      <c r="AR348" s="10"/>
      <c r="AS348" s="10"/>
      <c r="AT348" s="10"/>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9"/>
      <c r="AN349" s="9"/>
      <c r="AO349" s="9"/>
      <c r="AP349" s="9"/>
      <c r="AQ349" s="10"/>
      <c r="AR349" s="10"/>
      <c r="AS349" s="10"/>
      <c r="AT349" s="10"/>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9"/>
      <c r="AN350" s="9"/>
      <c r="AO350" s="9"/>
      <c r="AP350" s="9"/>
      <c r="AQ350" s="10"/>
      <c r="AR350" s="10"/>
      <c r="AS350" s="10"/>
      <c r="AT350" s="10"/>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9"/>
      <c r="AN351" s="9"/>
      <c r="AO351" s="9"/>
      <c r="AP351" s="9"/>
      <c r="AQ351" s="10"/>
      <c r="AR351" s="10"/>
      <c r="AS351" s="10"/>
      <c r="AT351" s="10"/>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9"/>
      <c r="AN352" s="9"/>
      <c r="AO352" s="9"/>
      <c r="AP352" s="9"/>
      <c r="AQ352" s="10"/>
      <c r="AR352" s="10"/>
      <c r="AS352" s="10"/>
      <c r="AT352" s="10"/>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9"/>
      <c r="AN353" s="9"/>
      <c r="AO353" s="9"/>
      <c r="AP353" s="9"/>
      <c r="AQ353" s="10"/>
      <c r="AR353" s="10"/>
      <c r="AS353" s="10"/>
      <c r="AT353" s="10"/>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9"/>
      <c r="AN354" s="9"/>
      <c r="AO354" s="9"/>
      <c r="AP354" s="9"/>
      <c r="AQ354" s="10"/>
      <c r="AR354" s="10"/>
      <c r="AS354" s="10"/>
      <c r="AT354" s="10"/>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9"/>
      <c r="AN355" s="9"/>
      <c r="AO355" s="9"/>
      <c r="AP355" s="9"/>
      <c r="AQ355" s="10"/>
      <c r="AR355" s="10"/>
      <c r="AS355" s="10"/>
      <c r="AT355" s="10"/>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9"/>
      <c r="AN356" s="9"/>
      <c r="AO356" s="9"/>
      <c r="AP356" s="9"/>
      <c r="AQ356" s="10"/>
      <c r="AR356" s="10"/>
      <c r="AS356" s="10"/>
      <c r="AT356" s="10"/>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9"/>
      <c r="AN357" s="9"/>
      <c r="AO357" s="9"/>
      <c r="AP357" s="9"/>
      <c r="AQ357" s="10"/>
      <c r="AR357" s="10"/>
      <c r="AS357" s="10"/>
      <c r="AT357" s="10"/>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9"/>
      <c r="AN358" s="9"/>
      <c r="AO358" s="9"/>
      <c r="AP358" s="9"/>
      <c r="AQ358" s="10"/>
      <c r="AR358" s="10"/>
      <c r="AS358" s="10"/>
      <c r="AT358" s="10"/>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9"/>
      <c r="AN359" s="9"/>
      <c r="AO359" s="9"/>
      <c r="AP359" s="9"/>
      <c r="AQ359" s="10"/>
      <c r="AR359" s="10"/>
      <c r="AS359" s="10"/>
      <c r="AT359" s="10"/>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9"/>
      <c r="AN360" s="9"/>
      <c r="AO360" s="9"/>
      <c r="AP360" s="9"/>
      <c r="AQ360" s="10"/>
      <c r="AR360" s="10"/>
      <c r="AS360" s="10"/>
      <c r="AT360" s="10"/>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9"/>
      <c r="AN361" s="9"/>
      <c r="AO361" s="9"/>
      <c r="AP361" s="9"/>
      <c r="AQ361" s="10"/>
      <c r="AR361" s="10"/>
      <c r="AS361" s="10"/>
      <c r="AT361" s="10"/>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9"/>
      <c r="AN362" s="9"/>
      <c r="AO362" s="9"/>
      <c r="AP362" s="9"/>
      <c r="AQ362" s="10"/>
      <c r="AR362" s="10"/>
      <c r="AS362" s="10"/>
      <c r="AT362" s="10"/>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9"/>
      <c r="AN363" s="9"/>
      <c r="AO363" s="9"/>
      <c r="AP363" s="9"/>
      <c r="AQ363" s="10"/>
      <c r="AR363" s="10"/>
      <c r="AS363" s="10"/>
      <c r="AT363" s="10"/>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9"/>
      <c r="AN364" s="9"/>
      <c r="AO364" s="9"/>
      <c r="AP364" s="9"/>
      <c r="AQ364" s="10"/>
      <c r="AR364" s="10"/>
      <c r="AS364" s="10"/>
      <c r="AT364" s="10"/>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9"/>
      <c r="AN365" s="9"/>
      <c r="AO365" s="9"/>
      <c r="AP365" s="9"/>
      <c r="AQ365" s="10"/>
      <c r="AR365" s="10"/>
      <c r="AS365" s="10"/>
      <c r="AT365" s="10"/>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9"/>
      <c r="AN366" s="9"/>
      <c r="AO366" s="9"/>
      <c r="AP366" s="9"/>
      <c r="AQ366" s="10"/>
      <c r="AR366" s="10"/>
      <c r="AS366" s="10"/>
      <c r="AT366" s="10"/>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9"/>
      <c r="AN367" s="9"/>
      <c r="AO367" s="9"/>
      <c r="AP367" s="9"/>
      <c r="AQ367" s="10"/>
      <c r="AR367" s="10"/>
      <c r="AS367" s="10"/>
      <c r="AT367" s="10"/>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9"/>
      <c r="AN368" s="9"/>
      <c r="AO368" s="9"/>
      <c r="AP368" s="9"/>
      <c r="AQ368" s="10"/>
      <c r="AR368" s="10"/>
      <c r="AS368" s="10"/>
      <c r="AT368" s="10"/>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9"/>
      <c r="AN369" s="9"/>
      <c r="AO369" s="9"/>
      <c r="AP369" s="9"/>
      <c r="AQ369" s="10"/>
      <c r="AR369" s="10"/>
      <c r="AS369" s="10"/>
      <c r="AT369" s="10"/>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9"/>
      <c r="AN370" s="9"/>
      <c r="AO370" s="9"/>
      <c r="AP370" s="9"/>
      <c r="AQ370" s="10"/>
      <c r="AR370" s="10"/>
      <c r="AS370" s="10"/>
      <c r="AT370" s="10"/>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9"/>
      <c r="AN371" s="9"/>
      <c r="AO371" s="9"/>
      <c r="AP371" s="9"/>
      <c r="AQ371" s="10"/>
      <c r="AR371" s="10"/>
      <c r="AS371" s="10"/>
      <c r="AT371" s="10"/>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9"/>
      <c r="AN372" s="9"/>
      <c r="AO372" s="9"/>
      <c r="AP372" s="9"/>
      <c r="AQ372" s="10"/>
      <c r="AR372" s="10"/>
      <c r="AS372" s="10"/>
      <c r="AT372" s="10"/>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9"/>
      <c r="AN373" s="9"/>
      <c r="AO373" s="9"/>
      <c r="AP373" s="9"/>
      <c r="AQ373" s="10"/>
      <c r="AR373" s="10"/>
      <c r="AS373" s="10"/>
      <c r="AT373" s="10"/>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9"/>
      <c r="AN374" s="9"/>
      <c r="AO374" s="9"/>
      <c r="AP374" s="9"/>
      <c r="AQ374" s="10"/>
      <c r="AR374" s="10"/>
      <c r="AS374" s="10"/>
      <c r="AT374" s="10"/>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9"/>
      <c r="AN375" s="9"/>
      <c r="AO375" s="9"/>
      <c r="AP375" s="9"/>
      <c r="AQ375" s="10"/>
      <c r="AR375" s="10"/>
      <c r="AS375" s="10"/>
      <c r="AT375" s="10"/>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9"/>
      <c r="AN376" s="9"/>
      <c r="AO376" s="9"/>
      <c r="AP376" s="9"/>
      <c r="AQ376" s="10"/>
      <c r="AR376" s="10"/>
      <c r="AS376" s="10"/>
      <c r="AT376" s="10"/>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9"/>
      <c r="AN377" s="9"/>
      <c r="AO377" s="9"/>
      <c r="AP377" s="9"/>
      <c r="AQ377" s="10"/>
      <c r="AR377" s="10"/>
      <c r="AS377" s="10"/>
      <c r="AT377" s="10"/>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9"/>
      <c r="AN378" s="9"/>
      <c r="AO378" s="9"/>
      <c r="AP378" s="9"/>
      <c r="AQ378" s="10"/>
      <c r="AR378" s="10"/>
      <c r="AS378" s="10"/>
      <c r="AT378" s="10"/>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9"/>
      <c r="AN379" s="9"/>
      <c r="AO379" s="9"/>
      <c r="AP379" s="9"/>
      <c r="AQ379" s="10"/>
      <c r="AR379" s="10"/>
      <c r="AS379" s="10"/>
      <c r="AT379" s="10"/>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9"/>
      <c r="AN380" s="9"/>
      <c r="AO380" s="9"/>
      <c r="AP380" s="9"/>
      <c r="AQ380" s="10"/>
      <c r="AR380" s="10"/>
      <c r="AS380" s="10"/>
      <c r="AT380" s="10"/>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9"/>
      <c r="AN381" s="9"/>
      <c r="AO381" s="9"/>
      <c r="AP381" s="9"/>
      <c r="AQ381" s="10"/>
      <c r="AR381" s="10"/>
      <c r="AS381" s="10"/>
      <c r="AT381" s="10"/>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9"/>
      <c r="AN382" s="9"/>
      <c r="AO382" s="9"/>
      <c r="AP382" s="9"/>
      <c r="AQ382" s="10"/>
      <c r="AR382" s="10"/>
      <c r="AS382" s="10"/>
      <c r="AT382" s="10"/>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9"/>
      <c r="AN383" s="9"/>
      <c r="AO383" s="9"/>
      <c r="AP383" s="9"/>
      <c r="AQ383" s="10"/>
      <c r="AR383" s="10"/>
      <c r="AS383" s="10"/>
      <c r="AT383" s="10"/>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9"/>
      <c r="AN384" s="9"/>
      <c r="AO384" s="9"/>
      <c r="AP384" s="9"/>
      <c r="AQ384" s="10"/>
      <c r="AR384" s="10"/>
      <c r="AS384" s="10"/>
      <c r="AT384" s="10"/>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9"/>
      <c r="AN385" s="9"/>
      <c r="AO385" s="9"/>
      <c r="AP385" s="9"/>
      <c r="AQ385" s="10"/>
      <c r="AR385" s="10"/>
      <c r="AS385" s="10"/>
      <c r="AT385" s="10"/>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9"/>
      <c r="AN386" s="9"/>
      <c r="AO386" s="9"/>
      <c r="AP386" s="9"/>
      <c r="AQ386" s="10"/>
      <c r="AR386" s="10"/>
      <c r="AS386" s="10"/>
      <c r="AT386" s="10"/>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9"/>
      <c r="AN387" s="9"/>
      <c r="AO387" s="9"/>
      <c r="AP387" s="9"/>
      <c r="AQ387" s="10"/>
      <c r="AR387" s="10"/>
      <c r="AS387" s="10"/>
      <c r="AT387" s="10"/>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9"/>
      <c r="AN388" s="9"/>
      <c r="AO388" s="9"/>
      <c r="AP388" s="9"/>
      <c r="AQ388" s="10"/>
      <c r="AR388" s="10"/>
      <c r="AS388" s="10"/>
      <c r="AT388" s="10"/>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9"/>
      <c r="AN389" s="9"/>
      <c r="AO389" s="9"/>
      <c r="AP389" s="9"/>
      <c r="AQ389" s="10"/>
      <c r="AR389" s="10"/>
      <c r="AS389" s="10"/>
      <c r="AT389" s="10"/>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9"/>
      <c r="AN390" s="9"/>
      <c r="AO390" s="9"/>
      <c r="AP390" s="9"/>
      <c r="AQ390" s="10"/>
      <c r="AR390" s="10"/>
      <c r="AS390" s="10"/>
      <c r="AT390" s="10"/>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9"/>
      <c r="AN391" s="9"/>
      <c r="AO391" s="9"/>
      <c r="AP391" s="9"/>
      <c r="AQ391" s="10"/>
      <c r="AR391" s="10"/>
      <c r="AS391" s="10"/>
      <c r="AT391" s="10"/>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9"/>
      <c r="AN392" s="9"/>
      <c r="AO392" s="9"/>
      <c r="AP392" s="9"/>
      <c r="AQ392" s="10"/>
      <c r="AR392" s="10"/>
      <c r="AS392" s="10"/>
      <c r="AT392" s="10"/>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9"/>
      <c r="AN393" s="9"/>
      <c r="AO393" s="9"/>
      <c r="AP393" s="9"/>
      <c r="AQ393" s="10"/>
      <c r="AR393" s="10"/>
      <c r="AS393" s="10"/>
      <c r="AT393" s="10"/>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9"/>
      <c r="AN394" s="9"/>
      <c r="AO394" s="9"/>
      <c r="AP394" s="9"/>
      <c r="AQ394" s="10"/>
      <c r="AR394" s="10"/>
      <c r="AS394" s="10"/>
      <c r="AT394" s="10"/>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9"/>
      <c r="AN395" s="9"/>
      <c r="AO395" s="9"/>
      <c r="AP395" s="9"/>
      <c r="AQ395" s="10"/>
      <c r="AR395" s="10"/>
      <c r="AS395" s="10"/>
      <c r="AT395" s="10"/>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9"/>
      <c r="AN396" s="9"/>
      <c r="AO396" s="9"/>
      <c r="AP396" s="9"/>
      <c r="AQ396" s="10"/>
      <c r="AR396" s="10"/>
      <c r="AS396" s="10"/>
      <c r="AT396" s="10"/>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9"/>
      <c r="AN397" s="9"/>
      <c r="AO397" s="9"/>
      <c r="AP397" s="9"/>
      <c r="AQ397" s="10"/>
      <c r="AR397" s="10"/>
      <c r="AS397" s="10"/>
      <c r="AT397" s="10"/>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9"/>
      <c r="AN398" s="9"/>
      <c r="AO398" s="9"/>
      <c r="AP398" s="9"/>
      <c r="AQ398" s="10"/>
      <c r="AR398" s="10"/>
      <c r="AS398" s="10"/>
      <c r="AT398" s="10"/>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9"/>
      <c r="AN399" s="9"/>
      <c r="AO399" s="9"/>
      <c r="AP399" s="9"/>
      <c r="AQ399" s="10"/>
      <c r="AR399" s="10"/>
      <c r="AS399" s="10"/>
      <c r="AT399" s="10"/>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9"/>
      <c r="AN400" s="9"/>
      <c r="AO400" s="9"/>
      <c r="AP400" s="9"/>
      <c r="AQ400" s="10"/>
      <c r="AR400" s="10"/>
      <c r="AS400" s="10"/>
      <c r="AT400" s="10"/>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9"/>
      <c r="AN401" s="9"/>
      <c r="AO401" s="9"/>
      <c r="AP401" s="9"/>
      <c r="AQ401" s="10"/>
      <c r="AR401" s="10"/>
      <c r="AS401" s="10"/>
      <c r="AT401" s="10"/>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9"/>
      <c r="AN402" s="9"/>
      <c r="AO402" s="9"/>
      <c r="AP402" s="9"/>
      <c r="AQ402" s="10"/>
      <c r="AR402" s="10"/>
      <c r="AS402" s="10"/>
      <c r="AT402" s="10"/>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9"/>
      <c r="AN403" s="9"/>
      <c r="AO403" s="9"/>
      <c r="AP403" s="9"/>
      <c r="AQ403" s="10"/>
      <c r="AR403" s="10"/>
      <c r="AS403" s="10"/>
      <c r="AT403" s="10"/>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9"/>
      <c r="AN404" s="9"/>
      <c r="AO404" s="9"/>
      <c r="AP404" s="9"/>
      <c r="AQ404" s="10"/>
      <c r="AR404" s="10"/>
      <c r="AS404" s="10"/>
      <c r="AT404" s="10"/>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9"/>
      <c r="AN405" s="9"/>
      <c r="AO405" s="9"/>
      <c r="AP405" s="9"/>
      <c r="AQ405" s="10"/>
      <c r="AR405" s="10"/>
      <c r="AS405" s="10"/>
      <c r="AT405" s="10"/>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9"/>
      <c r="AN406" s="9"/>
      <c r="AO406" s="9"/>
      <c r="AP406" s="9"/>
      <c r="AQ406" s="10"/>
      <c r="AR406" s="10"/>
      <c r="AS406" s="10"/>
      <c r="AT406" s="10"/>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9"/>
      <c r="AN407" s="9"/>
      <c r="AO407" s="9"/>
      <c r="AP407" s="9"/>
      <c r="AQ407" s="10"/>
      <c r="AR407" s="10"/>
      <c r="AS407" s="10"/>
      <c r="AT407" s="10"/>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9"/>
      <c r="AN408" s="9"/>
      <c r="AO408" s="9"/>
      <c r="AP408" s="9"/>
      <c r="AQ408" s="10"/>
      <c r="AR408" s="10"/>
      <c r="AS408" s="10"/>
      <c r="AT408" s="10"/>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9"/>
      <c r="AN409" s="9"/>
      <c r="AO409" s="9"/>
      <c r="AP409" s="9"/>
      <c r="AQ409" s="10"/>
      <c r="AR409" s="10"/>
      <c r="AS409" s="10"/>
      <c r="AT409" s="10"/>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9"/>
      <c r="AN410" s="9"/>
      <c r="AO410" s="9"/>
      <c r="AP410" s="9"/>
      <c r="AQ410" s="10"/>
      <c r="AR410" s="10"/>
      <c r="AS410" s="10"/>
      <c r="AT410" s="10"/>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9"/>
      <c r="AN411" s="9"/>
      <c r="AO411" s="9"/>
      <c r="AP411" s="9"/>
      <c r="AQ411" s="10"/>
      <c r="AR411" s="10"/>
      <c r="AS411" s="10"/>
      <c r="AT411" s="10"/>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9"/>
      <c r="AN412" s="9"/>
      <c r="AO412" s="9"/>
      <c r="AP412" s="9"/>
      <c r="AQ412" s="10"/>
      <c r="AR412" s="10"/>
      <c r="AS412" s="10"/>
      <c r="AT412" s="10"/>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9"/>
      <c r="AN413" s="9"/>
      <c r="AO413" s="9"/>
      <c r="AP413" s="9"/>
      <c r="AQ413" s="10"/>
      <c r="AR413" s="10"/>
      <c r="AS413" s="10"/>
      <c r="AT413" s="10"/>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9"/>
      <c r="AN414" s="9"/>
      <c r="AO414" s="9"/>
      <c r="AP414" s="9"/>
      <c r="AQ414" s="10"/>
      <c r="AR414" s="10"/>
      <c r="AS414" s="10"/>
      <c r="AT414" s="10"/>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9"/>
      <c r="AN415" s="9"/>
      <c r="AO415" s="9"/>
      <c r="AP415" s="9"/>
      <c r="AQ415" s="10"/>
      <c r="AR415" s="10"/>
      <c r="AS415" s="10"/>
      <c r="AT415" s="10"/>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9"/>
      <c r="AN416" s="9"/>
      <c r="AO416" s="9"/>
      <c r="AP416" s="9"/>
      <c r="AQ416" s="10"/>
      <c r="AR416" s="10"/>
      <c r="AS416" s="10"/>
      <c r="AT416" s="10"/>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9"/>
      <c r="AN417" s="9"/>
      <c r="AO417" s="9"/>
      <c r="AP417" s="9"/>
      <c r="AQ417" s="10"/>
      <c r="AR417" s="10"/>
      <c r="AS417" s="10"/>
      <c r="AT417" s="10"/>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9"/>
      <c r="AN418" s="9"/>
      <c r="AO418" s="9"/>
      <c r="AP418" s="9"/>
      <c r="AQ418" s="10"/>
      <c r="AR418" s="10"/>
      <c r="AS418" s="10"/>
      <c r="AT418" s="10"/>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9"/>
      <c r="AN419" s="9"/>
      <c r="AO419" s="9"/>
      <c r="AP419" s="9"/>
      <c r="AQ419" s="10"/>
      <c r="AR419" s="10"/>
      <c r="AS419" s="10"/>
      <c r="AT419" s="10"/>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9"/>
      <c r="AN420" s="9"/>
      <c r="AO420" s="9"/>
      <c r="AP420" s="9"/>
      <c r="AQ420" s="10"/>
      <c r="AR420" s="10"/>
      <c r="AS420" s="10"/>
      <c r="AT420" s="10"/>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9"/>
      <c r="AN421" s="9"/>
      <c r="AO421" s="9"/>
      <c r="AP421" s="9"/>
      <c r="AQ421" s="10"/>
      <c r="AR421" s="10"/>
      <c r="AS421" s="10"/>
      <c r="AT421" s="10"/>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9"/>
      <c r="AN422" s="9"/>
      <c r="AO422" s="9"/>
      <c r="AP422" s="9"/>
      <c r="AQ422" s="10"/>
      <c r="AR422" s="10"/>
      <c r="AS422" s="10"/>
      <c r="AT422" s="10"/>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9"/>
      <c r="AN423" s="9"/>
      <c r="AO423" s="9"/>
      <c r="AP423" s="9"/>
      <c r="AQ423" s="10"/>
      <c r="AR423" s="10"/>
      <c r="AS423" s="10"/>
      <c r="AT423" s="10"/>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9"/>
      <c r="AN424" s="9"/>
      <c r="AO424" s="9"/>
      <c r="AP424" s="9"/>
      <c r="AQ424" s="10"/>
      <c r="AR424" s="10"/>
      <c r="AS424" s="10"/>
      <c r="AT424" s="10"/>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9"/>
      <c r="AN425" s="9"/>
      <c r="AO425" s="9"/>
      <c r="AP425" s="9"/>
      <c r="AQ425" s="10"/>
      <c r="AR425" s="10"/>
      <c r="AS425" s="10"/>
      <c r="AT425" s="10"/>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9"/>
      <c r="AN426" s="9"/>
      <c r="AO426" s="9"/>
      <c r="AP426" s="9"/>
      <c r="AQ426" s="10"/>
      <c r="AR426" s="10"/>
      <c r="AS426" s="10"/>
      <c r="AT426" s="10"/>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9"/>
      <c r="AN427" s="9"/>
      <c r="AO427" s="9"/>
      <c r="AP427" s="9"/>
      <c r="AQ427" s="10"/>
      <c r="AR427" s="10"/>
      <c r="AS427" s="10"/>
      <c r="AT427" s="10"/>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9"/>
      <c r="AN428" s="9"/>
      <c r="AO428" s="9"/>
      <c r="AP428" s="9"/>
      <c r="AQ428" s="10"/>
      <c r="AR428" s="10"/>
      <c r="AS428" s="10"/>
      <c r="AT428" s="10"/>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9"/>
      <c r="AN429" s="9"/>
      <c r="AO429" s="9"/>
      <c r="AP429" s="9"/>
      <c r="AQ429" s="10"/>
      <c r="AR429" s="10"/>
      <c r="AS429" s="10"/>
      <c r="AT429" s="10"/>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9"/>
      <c r="AN430" s="9"/>
      <c r="AO430" s="9"/>
      <c r="AP430" s="9"/>
      <c r="AQ430" s="10"/>
      <c r="AR430" s="10"/>
      <c r="AS430" s="10"/>
      <c r="AT430" s="10"/>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9"/>
      <c r="AN431" s="9"/>
      <c r="AO431" s="9"/>
      <c r="AP431" s="9"/>
      <c r="AQ431" s="10"/>
      <c r="AR431" s="10"/>
      <c r="AS431" s="10"/>
      <c r="AT431" s="10"/>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9"/>
      <c r="AN432" s="9"/>
      <c r="AO432" s="9"/>
      <c r="AP432" s="9"/>
      <c r="AQ432" s="10"/>
      <c r="AR432" s="10"/>
      <c r="AS432" s="10"/>
      <c r="AT432" s="10"/>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9"/>
      <c r="AN433" s="9"/>
      <c r="AO433" s="9"/>
      <c r="AP433" s="9"/>
      <c r="AQ433" s="10"/>
      <c r="AR433" s="10"/>
      <c r="AS433" s="10"/>
      <c r="AT433" s="10"/>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9"/>
      <c r="AN434" s="9"/>
      <c r="AO434" s="9"/>
      <c r="AP434" s="9"/>
      <c r="AQ434" s="10"/>
      <c r="AR434" s="10"/>
      <c r="AS434" s="10"/>
      <c r="AT434" s="10"/>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9"/>
      <c r="AN435" s="9"/>
      <c r="AO435" s="9"/>
      <c r="AP435" s="9"/>
      <c r="AQ435" s="10"/>
      <c r="AR435" s="10"/>
      <c r="AS435" s="10"/>
      <c r="AT435" s="10"/>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9"/>
      <c r="AN436" s="9"/>
      <c r="AO436" s="9"/>
      <c r="AP436" s="9"/>
      <c r="AQ436" s="10"/>
      <c r="AR436" s="10"/>
      <c r="AS436" s="10"/>
      <c r="AT436" s="10"/>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9"/>
      <c r="AN437" s="9"/>
      <c r="AO437" s="9"/>
      <c r="AP437" s="9"/>
      <c r="AQ437" s="10"/>
      <c r="AR437" s="10"/>
      <c r="AS437" s="10"/>
      <c r="AT437" s="10"/>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9"/>
      <c r="AN438" s="9"/>
      <c r="AO438" s="9"/>
      <c r="AP438" s="9"/>
      <c r="AQ438" s="10"/>
      <c r="AR438" s="10"/>
      <c r="AS438" s="10"/>
      <c r="AT438" s="10"/>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9"/>
      <c r="AN439" s="9"/>
      <c r="AO439" s="9"/>
      <c r="AP439" s="9"/>
      <c r="AQ439" s="10"/>
      <c r="AR439" s="10"/>
      <c r="AS439" s="10"/>
      <c r="AT439" s="10"/>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9"/>
      <c r="AN440" s="9"/>
      <c r="AO440" s="9"/>
      <c r="AP440" s="9"/>
      <c r="AQ440" s="10"/>
      <c r="AR440" s="10"/>
      <c r="AS440" s="10"/>
      <c r="AT440" s="10"/>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9"/>
      <c r="AN441" s="9"/>
      <c r="AO441" s="9"/>
      <c r="AP441" s="9"/>
      <c r="AQ441" s="10"/>
      <c r="AR441" s="10"/>
      <c r="AS441" s="10"/>
      <c r="AT441" s="10"/>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9"/>
      <c r="AN442" s="9"/>
      <c r="AO442" s="9"/>
      <c r="AP442" s="9"/>
      <c r="AQ442" s="10"/>
      <c r="AR442" s="10"/>
      <c r="AS442" s="10"/>
      <c r="AT442" s="10"/>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9"/>
      <c r="AN443" s="9"/>
      <c r="AO443" s="9"/>
      <c r="AP443" s="9"/>
      <c r="AQ443" s="10"/>
      <c r="AR443" s="10"/>
      <c r="AS443" s="10"/>
      <c r="AT443" s="10"/>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9"/>
      <c r="AN444" s="9"/>
      <c r="AO444" s="9"/>
      <c r="AP444" s="9"/>
      <c r="AQ444" s="10"/>
      <c r="AR444" s="10"/>
      <c r="AS444" s="10"/>
      <c r="AT444" s="10"/>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9"/>
      <c r="AN445" s="9"/>
      <c r="AO445" s="9"/>
      <c r="AP445" s="9"/>
      <c r="AQ445" s="10"/>
      <c r="AR445" s="10"/>
      <c r="AS445" s="10"/>
      <c r="AT445" s="10"/>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9"/>
      <c r="AN446" s="9"/>
      <c r="AO446" s="9"/>
      <c r="AP446" s="9"/>
      <c r="AQ446" s="10"/>
      <c r="AR446" s="10"/>
      <c r="AS446" s="10"/>
      <c r="AT446" s="10"/>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9"/>
      <c r="AN447" s="9"/>
      <c r="AO447" s="9"/>
      <c r="AP447" s="9"/>
      <c r="AQ447" s="10"/>
      <c r="AR447" s="10"/>
      <c r="AS447" s="10"/>
      <c r="AT447" s="10"/>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9"/>
      <c r="AN448" s="9"/>
      <c r="AO448" s="9"/>
      <c r="AP448" s="9"/>
      <c r="AQ448" s="10"/>
      <c r="AR448" s="10"/>
      <c r="AS448" s="10"/>
      <c r="AT448" s="10"/>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9"/>
      <c r="AN449" s="9"/>
      <c r="AO449" s="9"/>
      <c r="AP449" s="9"/>
      <c r="AQ449" s="10"/>
      <c r="AR449" s="10"/>
      <c r="AS449" s="10"/>
      <c r="AT449" s="10"/>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9"/>
      <c r="AN450" s="9"/>
      <c r="AO450" s="9"/>
      <c r="AP450" s="9"/>
      <c r="AQ450" s="10"/>
      <c r="AR450" s="10"/>
      <c r="AS450" s="10"/>
      <c r="AT450" s="10"/>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9"/>
      <c r="AN451" s="9"/>
      <c r="AO451" s="9"/>
      <c r="AP451" s="9"/>
      <c r="AQ451" s="10"/>
      <c r="AR451" s="10"/>
      <c r="AS451" s="10"/>
      <c r="AT451" s="10"/>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9"/>
      <c r="AN452" s="9"/>
      <c r="AO452" s="9"/>
      <c r="AP452" s="9"/>
      <c r="AQ452" s="10"/>
      <c r="AR452" s="10"/>
      <c r="AS452" s="10"/>
      <c r="AT452" s="10"/>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9"/>
      <c r="AN453" s="9"/>
      <c r="AO453" s="9"/>
      <c r="AP453" s="9"/>
      <c r="AQ453" s="10"/>
      <c r="AR453" s="10"/>
      <c r="AS453" s="10"/>
      <c r="AT453" s="10"/>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9"/>
      <c r="AN454" s="9"/>
      <c r="AO454" s="9"/>
      <c r="AP454" s="9"/>
      <c r="AQ454" s="10"/>
      <c r="AR454" s="10"/>
      <c r="AS454" s="10"/>
      <c r="AT454" s="10"/>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9"/>
      <c r="AN455" s="9"/>
      <c r="AO455" s="9"/>
      <c r="AP455" s="9"/>
      <c r="AQ455" s="10"/>
      <c r="AR455" s="10"/>
      <c r="AS455" s="10"/>
      <c r="AT455" s="10"/>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9"/>
      <c r="AN456" s="9"/>
      <c r="AO456" s="9"/>
      <c r="AP456" s="9"/>
      <c r="AQ456" s="10"/>
      <c r="AR456" s="10"/>
      <c r="AS456" s="10"/>
      <c r="AT456" s="10"/>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9"/>
      <c r="AN457" s="9"/>
      <c r="AO457" s="9"/>
      <c r="AP457" s="9"/>
      <c r="AQ457" s="10"/>
      <c r="AR457" s="10"/>
      <c r="AS457" s="10"/>
      <c r="AT457" s="10"/>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9"/>
      <c r="AN458" s="9"/>
      <c r="AO458" s="9"/>
      <c r="AP458" s="9"/>
      <c r="AQ458" s="10"/>
      <c r="AR458" s="10"/>
      <c r="AS458" s="10"/>
      <c r="AT458" s="10"/>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9"/>
      <c r="AN459" s="9"/>
      <c r="AO459" s="9"/>
      <c r="AP459" s="9"/>
      <c r="AQ459" s="10"/>
      <c r="AR459" s="10"/>
      <c r="AS459" s="10"/>
      <c r="AT459" s="10"/>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9"/>
      <c r="AN460" s="9"/>
      <c r="AO460" s="9"/>
      <c r="AP460" s="9"/>
      <c r="AQ460" s="10"/>
      <c r="AR460" s="10"/>
      <c r="AS460" s="10"/>
      <c r="AT460" s="10"/>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9"/>
      <c r="AN461" s="9"/>
      <c r="AO461" s="9"/>
      <c r="AP461" s="9"/>
      <c r="AQ461" s="10"/>
      <c r="AR461" s="10"/>
      <c r="AS461" s="10"/>
      <c r="AT461" s="10"/>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9"/>
      <c r="AN462" s="9"/>
      <c r="AO462" s="9"/>
      <c r="AP462" s="9"/>
      <c r="AQ462" s="10"/>
      <c r="AR462" s="10"/>
      <c r="AS462" s="10"/>
      <c r="AT462" s="10"/>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9"/>
      <c r="AN463" s="9"/>
      <c r="AO463" s="9"/>
      <c r="AP463" s="9"/>
      <c r="AQ463" s="10"/>
      <c r="AR463" s="10"/>
      <c r="AS463" s="10"/>
      <c r="AT463" s="10"/>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9"/>
      <c r="AN464" s="9"/>
      <c r="AO464" s="9"/>
      <c r="AP464" s="9"/>
      <c r="AQ464" s="10"/>
      <c r="AR464" s="10"/>
      <c r="AS464" s="10"/>
      <c r="AT464" s="10"/>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9"/>
      <c r="AN465" s="9"/>
      <c r="AO465" s="9"/>
      <c r="AP465" s="9"/>
      <c r="AQ465" s="10"/>
      <c r="AR465" s="10"/>
      <c r="AS465" s="10"/>
      <c r="AT465" s="10"/>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9"/>
      <c r="AN466" s="9"/>
      <c r="AO466" s="9"/>
      <c r="AP466" s="9"/>
      <c r="AQ466" s="10"/>
      <c r="AR466" s="10"/>
      <c r="AS466" s="10"/>
      <c r="AT466" s="10"/>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9"/>
      <c r="AN467" s="9"/>
      <c r="AO467" s="9"/>
      <c r="AP467" s="9"/>
      <c r="AQ467" s="10"/>
      <c r="AR467" s="10"/>
      <c r="AS467" s="10"/>
      <c r="AT467" s="10"/>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9"/>
      <c r="AN468" s="9"/>
      <c r="AO468" s="9"/>
      <c r="AP468" s="9"/>
      <c r="AQ468" s="10"/>
      <c r="AR468" s="10"/>
      <c r="AS468" s="10"/>
      <c r="AT468" s="10"/>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9"/>
      <c r="AN469" s="9"/>
      <c r="AO469" s="9"/>
      <c r="AP469" s="9"/>
      <c r="AQ469" s="10"/>
      <c r="AR469" s="10"/>
      <c r="AS469" s="10"/>
      <c r="AT469" s="10"/>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9"/>
      <c r="AN470" s="9"/>
      <c r="AO470" s="9"/>
      <c r="AP470" s="9"/>
      <c r="AQ470" s="10"/>
      <c r="AR470" s="10"/>
      <c r="AS470" s="10"/>
      <c r="AT470" s="10"/>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9"/>
      <c r="AN471" s="9"/>
      <c r="AO471" s="9"/>
      <c r="AP471" s="9"/>
      <c r="AQ471" s="10"/>
      <c r="AR471" s="10"/>
      <c r="AS471" s="10"/>
      <c r="AT471" s="10"/>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9"/>
      <c r="AN472" s="9"/>
      <c r="AO472" s="9"/>
      <c r="AP472" s="9"/>
      <c r="AQ472" s="10"/>
      <c r="AR472" s="10"/>
      <c r="AS472" s="10"/>
      <c r="AT472" s="10"/>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9"/>
      <c r="AN473" s="9"/>
      <c r="AO473" s="9"/>
      <c r="AP473" s="9"/>
      <c r="AQ473" s="10"/>
      <c r="AR473" s="10"/>
      <c r="AS473" s="10"/>
      <c r="AT473" s="10"/>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9"/>
      <c r="AN474" s="9"/>
      <c r="AO474" s="9"/>
      <c r="AP474" s="9"/>
      <c r="AQ474" s="10"/>
      <c r="AR474" s="10"/>
      <c r="AS474" s="10"/>
      <c r="AT474" s="10"/>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9"/>
      <c r="AN475" s="9"/>
      <c r="AO475" s="9"/>
      <c r="AP475" s="9"/>
      <c r="AQ475" s="10"/>
      <c r="AR475" s="10"/>
      <c r="AS475" s="10"/>
      <c r="AT475" s="10"/>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9"/>
      <c r="AN476" s="9"/>
      <c r="AO476" s="9"/>
      <c r="AP476" s="9"/>
      <c r="AQ476" s="10"/>
      <c r="AR476" s="10"/>
      <c r="AS476" s="10"/>
      <c r="AT476" s="10"/>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9"/>
      <c r="AN477" s="9"/>
      <c r="AO477" s="9"/>
      <c r="AP477" s="9"/>
      <c r="AQ477" s="10"/>
      <c r="AR477" s="10"/>
      <c r="AS477" s="10"/>
      <c r="AT477" s="10"/>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9"/>
      <c r="AN478" s="9"/>
      <c r="AO478" s="9"/>
      <c r="AP478" s="9"/>
      <c r="AQ478" s="10"/>
      <c r="AR478" s="10"/>
      <c r="AS478" s="10"/>
      <c r="AT478" s="10"/>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9"/>
      <c r="AN479" s="9"/>
      <c r="AO479" s="9"/>
      <c r="AP479" s="9"/>
      <c r="AQ479" s="10"/>
      <c r="AR479" s="10"/>
      <c r="AS479" s="10"/>
      <c r="AT479" s="10"/>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9"/>
      <c r="AN480" s="9"/>
      <c r="AO480" s="9"/>
      <c r="AP480" s="9"/>
      <c r="AQ480" s="10"/>
      <c r="AR480" s="10"/>
      <c r="AS480" s="10"/>
      <c r="AT480" s="10"/>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9"/>
      <c r="AN481" s="9"/>
      <c r="AO481" s="9"/>
      <c r="AP481" s="9"/>
      <c r="AQ481" s="10"/>
      <c r="AR481" s="10"/>
      <c r="AS481" s="10"/>
      <c r="AT481" s="10"/>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9"/>
      <c r="AN482" s="9"/>
      <c r="AO482" s="9"/>
      <c r="AP482" s="9"/>
      <c r="AQ482" s="10"/>
      <c r="AR482" s="10"/>
      <c r="AS482" s="10"/>
      <c r="AT482" s="10"/>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9"/>
      <c r="AN483" s="9"/>
      <c r="AO483" s="9"/>
      <c r="AP483" s="9"/>
      <c r="AQ483" s="10"/>
      <c r="AR483" s="10"/>
      <c r="AS483" s="10"/>
      <c r="AT483" s="10"/>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9"/>
      <c r="AN484" s="9"/>
      <c r="AO484" s="9"/>
      <c r="AP484" s="9"/>
      <c r="AQ484" s="10"/>
      <c r="AR484" s="10"/>
      <c r="AS484" s="10"/>
      <c r="AT484" s="10"/>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9"/>
      <c r="AN485" s="9"/>
      <c r="AO485" s="9"/>
      <c r="AP485" s="9"/>
      <c r="AQ485" s="10"/>
      <c r="AR485" s="10"/>
      <c r="AS485" s="10"/>
      <c r="AT485" s="10"/>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9"/>
      <c r="AN486" s="9"/>
      <c r="AO486" s="9"/>
      <c r="AP486" s="9"/>
      <c r="AQ486" s="10"/>
      <c r="AR486" s="10"/>
      <c r="AS486" s="10"/>
      <c r="AT486" s="10"/>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9"/>
      <c r="AN487" s="9"/>
      <c r="AO487" s="9"/>
      <c r="AP487" s="9"/>
      <c r="AQ487" s="10"/>
      <c r="AR487" s="10"/>
      <c r="AS487" s="10"/>
      <c r="AT487" s="10"/>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9"/>
      <c r="AN488" s="9"/>
      <c r="AO488" s="9"/>
      <c r="AP488" s="9"/>
      <c r="AQ488" s="10"/>
      <c r="AR488" s="10"/>
      <c r="AS488" s="10"/>
      <c r="AT488" s="10"/>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9"/>
      <c r="AN489" s="9"/>
      <c r="AO489" s="9"/>
      <c r="AP489" s="9"/>
      <c r="AQ489" s="10"/>
      <c r="AR489" s="10"/>
      <c r="AS489" s="10"/>
      <c r="AT489" s="10"/>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9"/>
      <c r="AN490" s="9"/>
      <c r="AO490" s="9"/>
      <c r="AP490" s="9"/>
      <c r="AQ490" s="10"/>
      <c r="AR490" s="10"/>
      <c r="AS490" s="10"/>
      <c r="AT490" s="10"/>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9"/>
      <c r="AN491" s="9"/>
      <c r="AO491" s="9"/>
      <c r="AP491" s="9"/>
      <c r="AQ491" s="10"/>
      <c r="AR491" s="10"/>
      <c r="AS491" s="10"/>
      <c r="AT491" s="10"/>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9"/>
      <c r="AN492" s="9"/>
      <c r="AO492" s="9"/>
      <c r="AP492" s="9"/>
      <c r="AQ492" s="10"/>
      <c r="AR492" s="10"/>
      <c r="AS492" s="10"/>
      <c r="AT492" s="10"/>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9"/>
      <c r="AN493" s="9"/>
      <c r="AO493" s="9"/>
      <c r="AP493" s="9"/>
      <c r="AQ493" s="10"/>
      <c r="AR493" s="10"/>
      <c r="AS493" s="10"/>
      <c r="AT493" s="10"/>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9"/>
      <c r="AN494" s="9"/>
      <c r="AO494" s="9"/>
      <c r="AP494" s="9"/>
      <c r="AQ494" s="10"/>
      <c r="AR494" s="10"/>
      <c r="AS494" s="10"/>
      <c r="AT494" s="10"/>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9"/>
      <c r="AN495" s="9"/>
      <c r="AO495" s="9"/>
      <c r="AP495" s="9"/>
      <c r="AQ495" s="10"/>
      <c r="AR495" s="10"/>
      <c r="AS495" s="10"/>
      <c r="AT495" s="10"/>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9"/>
      <c r="AN496" s="9"/>
      <c r="AO496" s="9"/>
      <c r="AP496" s="9"/>
      <c r="AQ496" s="10"/>
      <c r="AR496" s="10"/>
      <c r="AS496" s="10"/>
      <c r="AT496" s="10"/>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9"/>
      <c r="AN497" s="9"/>
      <c r="AO497" s="9"/>
      <c r="AP497" s="9"/>
      <c r="AQ497" s="10"/>
      <c r="AR497" s="10"/>
      <c r="AS497" s="10"/>
      <c r="AT497" s="10"/>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9"/>
      <c r="AN498" s="9"/>
      <c r="AO498" s="9"/>
      <c r="AP498" s="9"/>
      <c r="AQ498" s="10"/>
      <c r="AR498" s="10"/>
      <c r="AS498" s="10"/>
      <c r="AT498" s="10"/>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9"/>
      <c r="AN499" s="9"/>
      <c r="AO499" s="9"/>
      <c r="AP499" s="9"/>
      <c r="AQ499" s="10"/>
      <c r="AR499" s="10"/>
      <c r="AS499" s="10"/>
      <c r="AT499" s="10"/>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9"/>
      <c r="AN500" s="9"/>
      <c r="AO500" s="9"/>
      <c r="AP500" s="9"/>
      <c r="AQ500" s="10"/>
      <c r="AR500" s="10"/>
      <c r="AS500" s="10"/>
      <c r="AT500" s="10"/>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9"/>
      <c r="AN501" s="9"/>
      <c r="AO501" s="9"/>
      <c r="AP501" s="9"/>
      <c r="AQ501" s="10"/>
      <c r="AR501" s="10"/>
      <c r="AS501" s="10"/>
      <c r="AT501" s="10"/>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9"/>
      <c r="AN502" s="9"/>
      <c r="AO502" s="9"/>
      <c r="AP502" s="9"/>
      <c r="AQ502" s="10"/>
      <c r="AR502" s="10"/>
      <c r="AS502" s="10"/>
      <c r="AT502" s="10"/>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9"/>
      <c r="AN503" s="9"/>
      <c r="AO503" s="9"/>
      <c r="AP503" s="9"/>
      <c r="AQ503" s="10"/>
      <c r="AR503" s="10"/>
      <c r="AS503" s="10"/>
      <c r="AT503" s="10"/>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9"/>
      <c r="AN504" s="9"/>
      <c r="AO504" s="9"/>
      <c r="AP504" s="9"/>
      <c r="AQ504" s="10"/>
      <c r="AR504" s="10"/>
      <c r="AS504" s="10"/>
      <c r="AT504" s="10"/>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9"/>
      <c r="AN505" s="9"/>
      <c r="AO505" s="9"/>
      <c r="AP505" s="9"/>
      <c r="AQ505" s="10"/>
      <c r="AR505" s="10"/>
      <c r="AS505" s="10"/>
      <c r="AT505" s="10"/>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9"/>
      <c r="AN506" s="9"/>
      <c r="AO506" s="9"/>
      <c r="AP506" s="9"/>
      <c r="AQ506" s="10"/>
      <c r="AR506" s="10"/>
      <c r="AS506" s="10"/>
      <c r="AT506" s="10"/>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9"/>
      <c r="AN507" s="9"/>
      <c r="AO507" s="9"/>
      <c r="AP507" s="9"/>
      <c r="AQ507" s="10"/>
      <c r="AR507" s="10"/>
      <c r="AS507" s="10"/>
      <c r="AT507" s="10"/>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9"/>
      <c r="AN508" s="9"/>
      <c r="AO508" s="9"/>
      <c r="AP508" s="9"/>
      <c r="AQ508" s="10"/>
      <c r="AR508" s="10"/>
      <c r="AS508" s="10"/>
      <c r="AT508" s="10"/>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9"/>
      <c r="AN509" s="9"/>
      <c r="AO509" s="9"/>
      <c r="AP509" s="9"/>
      <c r="AQ509" s="10"/>
      <c r="AR509" s="10"/>
      <c r="AS509" s="10"/>
      <c r="AT509" s="10"/>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9"/>
      <c r="AN510" s="9"/>
      <c r="AO510" s="9"/>
      <c r="AP510" s="9"/>
      <c r="AQ510" s="10"/>
      <c r="AR510" s="10"/>
      <c r="AS510" s="10"/>
      <c r="AT510" s="10"/>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9"/>
      <c r="AN511" s="9"/>
      <c r="AO511" s="9"/>
      <c r="AP511" s="9"/>
      <c r="AQ511" s="10"/>
      <c r="AR511" s="10"/>
      <c r="AS511" s="10"/>
      <c r="AT511" s="10"/>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9"/>
      <c r="AN512" s="9"/>
      <c r="AO512" s="9"/>
      <c r="AP512" s="9"/>
      <c r="AQ512" s="10"/>
      <c r="AR512" s="10"/>
      <c r="AS512" s="10"/>
      <c r="AT512" s="10"/>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9"/>
      <c r="AN513" s="9"/>
      <c r="AO513" s="9"/>
      <c r="AP513" s="9"/>
      <c r="AQ513" s="10"/>
      <c r="AR513" s="10"/>
      <c r="AS513" s="10"/>
      <c r="AT513" s="10"/>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9"/>
      <c r="AN514" s="9"/>
      <c r="AO514" s="9"/>
      <c r="AP514" s="9"/>
      <c r="AQ514" s="10"/>
      <c r="AR514" s="10"/>
      <c r="AS514" s="10"/>
      <c r="AT514" s="10"/>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9"/>
      <c r="AN515" s="9"/>
      <c r="AO515" s="9"/>
      <c r="AP515" s="9"/>
      <c r="AQ515" s="10"/>
      <c r="AR515" s="10"/>
      <c r="AS515" s="10"/>
      <c r="AT515" s="10"/>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9"/>
      <c r="AN516" s="9"/>
      <c r="AO516" s="9"/>
      <c r="AP516" s="9"/>
      <c r="AQ516" s="10"/>
      <c r="AR516" s="10"/>
      <c r="AS516" s="10"/>
      <c r="AT516" s="10"/>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9"/>
      <c r="AN517" s="9"/>
      <c r="AO517" s="9"/>
      <c r="AP517" s="9"/>
      <c r="AQ517" s="10"/>
      <c r="AR517" s="10"/>
      <c r="AS517" s="10"/>
      <c r="AT517" s="10"/>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9"/>
      <c r="AN518" s="9"/>
      <c r="AO518" s="9"/>
      <c r="AP518" s="9"/>
      <c r="AQ518" s="10"/>
      <c r="AR518" s="10"/>
      <c r="AS518" s="10"/>
      <c r="AT518" s="10"/>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9"/>
      <c r="AN519" s="9"/>
      <c r="AO519" s="9"/>
      <c r="AP519" s="9"/>
      <c r="AQ519" s="10"/>
      <c r="AR519" s="10"/>
      <c r="AS519" s="10"/>
      <c r="AT519" s="10"/>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9"/>
      <c r="AN520" s="9"/>
      <c r="AO520" s="9"/>
      <c r="AP520" s="9"/>
      <c r="AQ520" s="10"/>
      <c r="AR520" s="10"/>
      <c r="AS520" s="10"/>
      <c r="AT520" s="10"/>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9"/>
      <c r="AN521" s="9"/>
      <c r="AO521" s="9"/>
      <c r="AP521" s="9"/>
      <c r="AQ521" s="10"/>
      <c r="AR521" s="10"/>
      <c r="AS521" s="10"/>
      <c r="AT521" s="10"/>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9"/>
      <c r="AN522" s="9"/>
      <c r="AO522" s="9"/>
      <c r="AP522" s="9"/>
      <c r="AQ522" s="10"/>
      <c r="AR522" s="10"/>
      <c r="AS522" s="10"/>
      <c r="AT522" s="10"/>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9"/>
      <c r="AN523" s="9"/>
      <c r="AO523" s="9"/>
      <c r="AP523" s="9"/>
      <c r="AQ523" s="10"/>
      <c r="AR523" s="10"/>
      <c r="AS523" s="10"/>
      <c r="AT523" s="10"/>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9"/>
      <c r="AN524" s="9"/>
      <c r="AO524" s="9"/>
      <c r="AP524" s="9"/>
      <c r="AQ524" s="10"/>
      <c r="AR524" s="10"/>
      <c r="AS524" s="10"/>
      <c r="AT524" s="10"/>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9"/>
      <c r="AN525" s="9"/>
      <c r="AO525" s="9"/>
      <c r="AP525" s="9"/>
      <c r="AQ525" s="10"/>
      <c r="AR525" s="10"/>
      <c r="AS525" s="10"/>
      <c r="AT525" s="10"/>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9"/>
      <c r="AN526" s="9"/>
      <c r="AO526" s="9"/>
      <c r="AP526" s="9"/>
      <c r="AQ526" s="10"/>
      <c r="AR526" s="10"/>
      <c r="AS526" s="10"/>
      <c r="AT526" s="10"/>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9"/>
      <c r="AN527" s="9"/>
      <c r="AO527" s="9"/>
      <c r="AP527" s="9"/>
      <c r="AQ527" s="10"/>
      <c r="AR527" s="10"/>
      <c r="AS527" s="10"/>
      <c r="AT527" s="10"/>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9"/>
      <c r="AN528" s="9"/>
      <c r="AO528" s="9"/>
      <c r="AP528" s="9"/>
      <c r="AQ528" s="10"/>
      <c r="AR528" s="10"/>
      <c r="AS528" s="10"/>
      <c r="AT528" s="10"/>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9"/>
      <c r="AN529" s="9"/>
      <c r="AO529" s="9"/>
      <c r="AP529" s="9"/>
      <c r="AQ529" s="10"/>
      <c r="AR529" s="10"/>
      <c r="AS529" s="10"/>
      <c r="AT529" s="10"/>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9"/>
      <c r="AN530" s="9"/>
      <c r="AO530" s="9"/>
      <c r="AP530" s="9"/>
      <c r="AQ530" s="10"/>
      <c r="AR530" s="10"/>
      <c r="AS530" s="10"/>
      <c r="AT530" s="10"/>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9"/>
      <c r="AN531" s="9"/>
      <c r="AO531" s="9"/>
      <c r="AP531" s="9"/>
      <c r="AQ531" s="10"/>
      <c r="AR531" s="10"/>
      <c r="AS531" s="10"/>
      <c r="AT531" s="10"/>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9"/>
      <c r="AN532" s="9"/>
      <c r="AO532" s="9"/>
      <c r="AP532" s="9"/>
      <c r="AQ532" s="10"/>
      <c r="AR532" s="10"/>
      <c r="AS532" s="10"/>
      <c r="AT532" s="10"/>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9"/>
      <c r="AN533" s="9"/>
      <c r="AO533" s="9"/>
      <c r="AP533" s="9"/>
      <c r="AQ533" s="10"/>
      <c r="AR533" s="10"/>
      <c r="AS533" s="10"/>
      <c r="AT533" s="10"/>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9"/>
      <c r="AN534" s="9"/>
      <c r="AO534" s="9"/>
      <c r="AP534" s="9"/>
      <c r="AQ534" s="10"/>
      <c r="AR534" s="10"/>
      <c r="AS534" s="10"/>
      <c r="AT534" s="10"/>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9"/>
      <c r="AN535" s="9"/>
      <c r="AO535" s="9"/>
      <c r="AP535" s="9"/>
      <c r="AQ535" s="10"/>
      <c r="AR535" s="10"/>
      <c r="AS535" s="10"/>
      <c r="AT535" s="10"/>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9"/>
      <c r="AN536" s="9"/>
      <c r="AO536" s="9"/>
      <c r="AP536" s="9"/>
      <c r="AQ536" s="10"/>
      <c r="AR536" s="10"/>
      <c r="AS536" s="10"/>
      <c r="AT536" s="10"/>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9"/>
      <c r="AN537" s="9"/>
      <c r="AO537" s="9"/>
      <c r="AP537" s="9"/>
      <c r="AQ537" s="10"/>
      <c r="AR537" s="10"/>
      <c r="AS537" s="10"/>
      <c r="AT537" s="10"/>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9"/>
      <c r="AN538" s="9"/>
      <c r="AO538" s="9"/>
      <c r="AP538" s="9"/>
      <c r="AQ538" s="10"/>
      <c r="AR538" s="10"/>
      <c r="AS538" s="10"/>
      <c r="AT538" s="10"/>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9"/>
      <c r="AN539" s="9"/>
      <c r="AO539" s="9"/>
      <c r="AP539" s="9"/>
      <c r="AQ539" s="10"/>
      <c r="AR539" s="10"/>
      <c r="AS539" s="10"/>
      <c r="AT539" s="10"/>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9"/>
      <c r="AN540" s="9"/>
      <c r="AO540" s="9"/>
      <c r="AP540" s="9"/>
      <c r="AQ540" s="10"/>
      <c r="AR540" s="10"/>
      <c r="AS540" s="10"/>
      <c r="AT540" s="10"/>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9"/>
      <c r="AN541" s="9"/>
      <c r="AO541" s="9"/>
      <c r="AP541" s="9"/>
      <c r="AQ541" s="10"/>
      <c r="AR541" s="10"/>
      <c r="AS541" s="10"/>
      <c r="AT541" s="10"/>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9"/>
      <c r="AN542" s="9"/>
      <c r="AO542" s="9"/>
      <c r="AP542" s="9"/>
      <c r="AQ542" s="10"/>
      <c r="AR542" s="10"/>
      <c r="AS542" s="10"/>
      <c r="AT542" s="10"/>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9"/>
      <c r="AN543" s="9"/>
      <c r="AO543" s="9"/>
      <c r="AP543" s="9"/>
      <c r="AQ543" s="10"/>
      <c r="AR543" s="10"/>
      <c r="AS543" s="10"/>
      <c r="AT543" s="10"/>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9"/>
      <c r="AN544" s="9"/>
      <c r="AO544" s="9"/>
      <c r="AP544" s="9"/>
      <c r="AQ544" s="10"/>
      <c r="AR544" s="10"/>
      <c r="AS544" s="10"/>
      <c r="AT544" s="10"/>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9"/>
      <c r="AN545" s="9"/>
      <c r="AO545" s="9"/>
      <c r="AP545" s="9"/>
      <c r="AQ545" s="10"/>
      <c r="AR545" s="10"/>
      <c r="AS545" s="10"/>
      <c r="AT545" s="10"/>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9"/>
      <c r="AN546" s="9"/>
      <c r="AO546" s="9"/>
      <c r="AP546" s="9"/>
      <c r="AQ546" s="10"/>
      <c r="AR546" s="10"/>
      <c r="AS546" s="10"/>
      <c r="AT546" s="10"/>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9"/>
      <c r="AN547" s="9"/>
      <c r="AO547" s="9"/>
      <c r="AP547" s="9"/>
      <c r="AQ547" s="10"/>
      <c r="AR547" s="10"/>
      <c r="AS547" s="10"/>
      <c r="AT547" s="10"/>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9"/>
      <c r="AN548" s="9"/>
      <c r="AO548" s="9"/>
      <c r="AP548" s="9"/>
      <c r="AQ548" s="10"/>
      <c r="AR548" s="10"/>
      <c r="AS548" s="10"/>
      <c r="AT548" s="10"/>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9"/>
      <c r="AN549" s="9"/>
      <c r="AO549" s="9"/>
      <c r="AP549" s="9"/>
      <c r="AQ549" s="10"/>
      <c r="AR549" s="10"/>
      <c r="AS549" s="10"/>
      <c r="AT549" s="10"/>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9"/>
      <c r="AN550" s="9"/>
      <c r="AO550" s="9"/>
      <c r="AP550" s="9"/>
      <c r="AQ550" s="10"/>
      <c r="AR550" s="10"/>
      <c r="AS550" s="10"/>
      <c r="AT550" s="10"/>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9"/>
      <c r="AN551" s="9"/>
      <c r="AO551" s="9"/>
      <c r="AP551" s="9"/>
      <c r="AQ551" s="10"/>
      <c r="AR551" s="10"/>
      <c r="AS551" s="10"/>
      <c r="AT551" s="10"/>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9"/>
      <c r="AN552" s="9"/>
      <c r="AO552" s="9"/>
      <c r="AP552" s="9"/>
      <c r="AQ552" s="10"/>
      <c r="AR552" s="10"/>
      <c r="AS552" s="10"/>
      <c r="AT552" s="10"/>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9"/>
      <c r="AN553" s="9"/>
      <c r="AO553" s="9"/>
      <c r="AP553" s="9"/>
      <c r="AQ553" s="10"/>
      <c r="AR553" s="10"/>
      <c r="AS553" s="10"/>
      <c r="AT553" s="10"/>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9"/>
      <c r="AN554" s="9"/>
      <c r="AO554" s="9"/>
      <c r="AP554" s="9"/>
      <c r="AQ554" s="10"/>
      <c r="AR554" s="10"/>
      <c r="AS554" s="10"/>
      <c r="AT554" s="10"/>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9"/>
      <c r="AN555" s="9"/>
      <c r="AO555" s="9"/>
      <c r="AP555" s="9"/>
      <c r="AQ555" s="10"/>
      <c r="AR555" s="10"/>
      <c r="AS555" s="10"/>
      <c r="AT555" s="10"/>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9"/>
      <c r="AN556" s="9"/>
      <c r="AO556" s="9"/>
      <c r="AP556" s="9"/>
      <c r="AQ556" s="10"/>
      <c r="AR556" s="10"/>
      <c r="AS556" s="10"/>
      <c r="AT556" s="10"/>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9"/>
      <c r="AN557" s="9"/>
      <c r="AO557" s="9"/>
      <c r="AP557" s="9"/>
      <c r="AQ557" s="10"/>
      <c r="AR557" s="10"/>
      <c r="AS557" s="10"/>
      <c r="AT557" s="10"/>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9"/>
      <c r="AN558" s="9"/>
      <c r="AO558" s="9"/>
      <c r="AP558" s="9"/>
      <c r="AQ558" s="10"/>
      <c r="AR558" s="10"/>
      <c r="AS558" s="10"/>
      <c r="AT558" s="10"/>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9"/>
      <c r="AN559" s="9"/>
      <c r="AO559" s="9"/>
      <c r="AP559" s="9"/>
      <c r="AQ559" s="10"/>
      <c r="AR559" s="10"/>
      <c r="AS559" s="10"/>
      <c r="AT559" s="10"/>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9"/>
      <c r="AN560" s="9"/>
      <c r="AO560" s="9"/>
      <c r="AP560" s="9"/>
      <c r="AQ560" s="10"/>
      <c r="AR560" s="10"/>
      <c r="AS560" s="10"/>
      <c r="AT560" s="10"/>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9"/>
      <c r="AN561" s="9"/>
      <c r="AO561" s="9"/>
      <c r="AP561" s="9"/>
      <c r="AQ561" s="10"/>
      <c r="AR561" s="10"/>
      <c r="AS561" s="10"/>
      <c r="AT561" s="10"/>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9"/>
      <c r="AN562" s="9"/>
      <c r="AO562" s="9"/>
      <c r="AP562" s="9"/>
      <c r="AQ562" s="10"/>
      <c r="AR562" s="10"/>
      <c r="AS562" s="10"/>
      <c r="AT562" s="10"/>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9"/>
      <c r="AN563" s="9"/>
      <c r="AO563" s="9"/>
      <c r="AP563" s="9"/>
      <c r="AQ563" s="10"/>
      <c r="AR563" s="10"/>
      <c r="AS563" s="10"/>
      <c r="AT563" s="10"/>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9"/>
      <c r="AN564" s="9"/>
      <c r="AO564" s="9"/>
      <c r="AP564" s="9"/>
      <c r="AQ564" s="10"/>
      <c r="AR564" s="10"/>
      <c r="AS564" s="10"/>
      <c r="AT564" s="10"/>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9"/>
      <c r="AN565" s="9"/>
      <c r="AO565" s="9"/>
      <c r="AP565" s="9"/>
      <c r="AQ565" s="10"/>
      <c r="AR565" s="10"/>
      <c r="AS565" s="10"/>
      <c r="AT565" s="10"/>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9"/>
      <c r="AN566" s="9"/>
      <c r="AO566" s="9"/>
      <c r="AP566" s="9"/>
      <c r="AQ566" s="10"/>
      <c r="AR566" s="10"/>
      <c r="AS566" s="10"/>
      <c r="AT566" s="10"/>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9"/>
      <c r="AN567" s="9"/>
      <c r="AO567" s="9"/>
      <c r="AP567" s="9"/>
      <c r="AQ567" s="10"/>
      <c r="AR567" s="10"/>
      <c r="AS567" s="10"/>
      <c r="AT567" s="10"/>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9"/>
      <c r="AN568" s="9"/>
      <c r="AO568" s="9"/>
      <c r="AP568" s="9"/>
      <c r="AQ568" s="10"/>
      <c r="AR568" s="10"/>
      <c r="AS568" s="10"/>
      <c r="AT568" s="10"/>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9"/>
      <c r="AN569" s="9"/>
      <c r="AO569" s="9"/>
      <c r="AP569" s="9"/>
      <c r="AQ569" s="10"/>
      <c r="AR569" s="10"/>
      <c r="AS569" s="10"/>
      <c r="AT569" s="10"/>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9"/>
      <c r="AN570" s="9"/>
      <c r="AO570" s="9"/>
      <c r="AP570" s="9"/>
      <c r="AQ570" s="10"/>
      <c r="AR570" s="10"/>
      <c r="AS570" s="10"/>
      <c r="AT570" s="10"/>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9"/>
      <c r="AN571" s="9"/>
      <c r="AO571" s="9"/>
      <c r="AP571" s="9"/>
      <c r="AQ571" s="10"/>
      <c r="AR571" s="10"/>
      <c r="AS571" s="10"/>
      <c r="AT571" s="10"/>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9"/>
      <c r="AN572" s="9"/>
      <c r="AO572" s="9"/>
      <c r="AP572" s="9"/>
      <c r="AQ572" s="10"/>
      <c r="AR572" s="10"/>
      <c r="AS572" s="10"/>
      <c r="AT572" s="10"/>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9"/>
      <c r="AN573" s="9"/>
      <c r="AO573" s="9"/>
      <c r="AP573" s="9"/>
      <c r="AQ573" s="10"/>
      <c r="AR573" s="10"/>
      <c r="AS573" s="10"/>
      <c r="AT573" s="10"/>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9"/>
      <c r="AN574" s="9"/>
      <c r="AO574" s="9"/>
      <c r="AP574" s="9"/>
      <c r="AQ574" s="10"/>
      <c r="AR574" s="10"/>
      <c r="AS574" s="10"/>
      <c r="AT574" s="10"/>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9"/>
      <c r="AN575" s="9"/>
      <c r="AO575" s="9"/>
      <c r="AP575" s="9"/>
      <c r="AQ575" s="10"/>
      <c r="AR575" s="10"/>
      <c r="AS575" s="10"/>
      <c r="AT575" s="10"/>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9"/>
      <c r="AN576" s="9"/>
      <c r="AO576" s="9"/>
      <c r="AP576" s="9"/>
      <c r="AQ576" s="10"/>
      <c r="AR576" s="10"/>
      <c r="AS576" s="10"/>
      <c r="AT576" s="10"/>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9"/>
      <c r="AN577" s="9"/>
      <c r="AO577" s="9"/>
      <c r="AP577" s="9"/>
      <c r="AQ577" s="10"/>
      <c r="AR577" s="10"/>
      <c r="AS577" s="10"/>
      <c r="AT577" s="10"/>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9"/>
      <c r="AN578" s="9"/>
      <c r="AO578" s="9"/>
      <c r="AP578" s="9"/>
      <c r="AQ578" s="10"/>
      <c r="AR578" s="10"/>
      <c r="AS578" s="10"/>
      <c r="AT578" s="10"/>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9"/>
      <c r="AN579" s="9"/>
      <c r="AO579" s="9"/>
      <c r="AP579" s="9"/>
      <c r="AQ579" s="10"/>
      <c r="AR579" s="10"/>
      <c r="AS579" s="10"/>
      <c r="AT579" s="10"/>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9"/>
      <c r="AN580" s="9"/>
      <c r="AO580" s="9"/>
      <c r="AP580" s="9"/>
      <c r="AQ580" s="10"/>
      <c r="AR580" s="10"/>
      <c r="AS580" s="10"/>
      <c r="AT580" s="10"/>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9"/>
      <c r="AN581" s="9"/>
      <c r="AO581" s="9"/>
      <c r="AP581" s="9"/>
      <c r="AQ581" s="10"/>
      <c r="AR581" s="10"/>
      <c r="AS581" s="10"/>
      <c r="AT581" s="10"/>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9"/>
      <c r="AN582" s="9"/>
      <c r="AO582" s="9"/>
      <c r="AP582" s="9"/>
      <c r="AQ582" s="10"/>
      <c r="AR582" s="10"/>
      <c r="AS582" s="10"/>
      <c r="AT582" s="10"/>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9"/>
      <c r="AN583" s="9"/>
      <c r="AO583" s="9"/>
      <c r="AP583" s="9"/>
      <c r="AQ583" s="10"/>
      <c r="AR583" s="10"/>
      <c r="AS583" s="10"/>
      <c r="AT583" s="10"/>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9"/>
      <c r="AN584" s="9"/>
      <c r="AO584" s="9"/>
      <c r="AP584" s="9"/>
      <c r="AQ584" s="10"/>
      <c r="AR584" s="10"/>
      <c r="AS584" s="10"/>
      <c r="AT584" s="10"/>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9"/>
      <c r="AN585" s="9"/>
      <c r="AO585" s="9"/>
      <c r="AP585" s="9"/>
      <c r="AQ585" s="10"/>
      <c r="AR585" s="10"/>
      <c r="AS585" s="10"/>
      <c r="AT585" s="10"/>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9"/>
      <c r="AN586" s="9"/>
      <c r="AO586" s="9"/>
      <c r="AP586" s="9"/>
      <c r="AQ586" s="10"/>
      <c r="AR586" s="10"/>
      <c r="AS586" s="10"/>
      <c r="AT586" s="10"/>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9"/>
      <c r="AN587" s="9"/>
      <c r="AO587" s="9"/>
      <c r="AP587" s="9"/>
      <c r="AQ587" s="10"/>
      <c r="AR587" s="10"/>
      <c r="AS587" s="10"/>
      <c r="AT587" s="10"/>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9"/>
      <c r="AN588" s="9"/>
      <c r="AO588" s="9"/>
      <c r="AP588" s="9"/>
      <c r="AQ588" s="10"/>
      <c r="AR588" s="10"/>
      <c r="AS588" s="10"/>
      <c r="AT588" s="10"/>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9"/>
      <c r="AN589" s="9"/>
      <c r="AO589" s="9"/>
      <c r="AP589" s="9"/>
      <c r="AQ589" s="10"/>
      <c r="AR589" s="10"/>
      <c r="AS589" s="10"/>
      <c r="AT589" s="10"/>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9"/>
      <c r="AN590" s="9"/>
      <c r="AO590" s="9"/>
      <c r="AP590" s="9"/>
      <c r="AQ590" s="10"/>
      <c r="AR590" s="10"/>
      <c r="AS590" s="10"/>
      <c r="AT590" s="10"/>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9"/>
      <c r="AN591" s="9"/>
      <c r="AO591" s="9"/>
      <c r="AP591" s="9"/>
      <c r="AQ591" s="10"/>
      <c r="AR591" s="10"/>
      <c r="AS591" s="10"/>
      <c r="AT591" s="10"/>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9"/>
      <c r="AN592" s="9"/>
      <c r="AO592" s="9"/>
      <c r="AP592" s="9"/>
      <c r="AQ592" s="10"/>
      <c r="AR592" s="10"/>
      <c r="AS592" s="10"/>
      <c r="AT592" s="10"/>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9"/>
      <c r="AN593" s="9"/>
      <c r="AO593" s="9"/>
      <c r="AP593" s="9"/>
      <c r="AQ593" s="10"/>
      <c r="AR593" s="10"/>
      <c r="AS593" s="10"/>
      <c r="AT593" s="10"/>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9"/>
      <c r="AN594" s="9"/>
      <c r="AO594" s="9"/>
      <c r="AP594" s="9"/>
      <c r="AQ594" s="10"/>
      <c r="AR594" s="10"/>
      <c r="AS594" s="10"/>
      <c r="AT594" s="10"/>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9"/>
      <c r="AN595" s="9"/>
      <c r="AO595" s="9"/>
      <c r="AP595" s="9"/>
      <c r="AQ595" s="10"/>
      <c r="AR595" s="10"/>
      <c r="AS595" s="10"/>
      <c r="AT595" s="10"/>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9"/>
      <c r="AN596" s="9"/>
      <c r="AO596" s="9"/>
      <c r="AP596" s="9"/>
      <c r="AQ596" s="10"/>
      <c r="AR596" s="10"/>
      <c r="AS596" s="10"/>
      <c r="AT596" s="10"/>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9"/>
      <c r="AN597" s="9"/>
      <c r="AO597" s="9"/>
      <c r="AP597" s="9"/>
      <c r="AQ597" s="10"/>
      <c r="AR597" s="10"/>
      <c r="AS597" s="10"/>
      <c r="AT597" s="10"/>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9"/>
      <c r="AN598" s="9"/>
      <c r="AO598" s="9"/>
      <c r="AP598" s="9"/>
      <c r="AQ598" s="10"/>
      <c r="AR598" s="10"/>
      <c r="AS598" s="10"/>
      <c r="AT598" s="10"/>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9"/>
      <c r="AN599" s="9"/>
      <c r="AO599" s="9"/>
      <c r="AP599" s="9"/>
      <c r="AQ599" s="10"/>
      <c r="AR599" s="10"/>
      <c r="AS599" s="10"/>
      <c r="AT599" s="10"/>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9"/>
      <c r="AN600" s="9"/>
      <c r="AO600" s="9"/>
      <c r="AP600" s="9"/>
      <c r="AQ600" s="10"/>
      <c r="AR600" s="10"/>
      <c r="AS600" s="10"/>
      <c r="AT600" s="10"/>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9"/>
      <c r="AN601" s="9"/>
      <c r="AO601" s="9"/>
      <c r="AP601" s="9"/>
      <c r="AQ601" s="10"/>
      <c r="AR601" s="10"/>
      <c r="AS601" s="10"/>
      <c r="AT601" s="10"/>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9"/>
      <c r="AN602" s="9"/>
      <c r="AO602" s="9"/>
      <c r="AP602" s="9"/>
      <c r="AQ602" s="10"/>
      <c r="AR602" s="10"/>
      <c r="AS602" s="10"/>
      <c r="AT602" s="10"/>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9"/>
      <c r="AN603" s="9"/>
      <c r="AO603" s="9"/>
      <c r="AP603" s="9"/>
      <c r="AQ603" s="10"/>
      <c r="AR603" s="10"/>
      <c r="AS603" s="10"/>
      <c r="AT603" s="10"/>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9"/>
      <c r="AN604" s="9"/>
      <c r="AO604" s="9"/>
      <c r="AP604" s="9"/>
      <c r="AQ604" s="10"/>
      <c r="AR604" s="10"/>
      <c r="AS604" s="10"/>
      <c r="AT604" s="10"/>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9"/>
      <c r="AN605" s="9"/>
      <c r="AO605" s="9"/>
      <c r="AP605" s="9"/>
      <c r="AQ605" s="10"/>
      <c r="AR605" s="10"/>
      <c r="AS605" s="10"/>
      <c r="AT605" s="10"/>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9"/>
      <c r="AN606" s="9"/>
      <c r="AO606" s="9"/>
      <c r="AP606" s="9"/>
      <c r="AQ606" s="10"/>
      <c r="AR606" s="10"/>
      <c r="AS606" s="10"/>
      <c r="AT606" s="10"/>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9"/>
      <c r="AN607" s="9"/>
      <c r="AO607" s="9"/>
      <c r="AP607" s="9"/>
      <c r="AQ607" s="10"/>
      <c r="AR607" s="10"/>
      <c r="AS607" s="10"/>
      <c r="AT607" s="10"/>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9"/>
      <c r="AN608" s="9"/>
      <c r="AO608" s="9"/>
      <c r="AP608" s="9"/>
      <c r="AQ608" s="10"/>
      <c r="AR608" s="10"/>
      <c r="AS608" s="10"/>
      <c r="AT608" s="10"/>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9"/>
      <c r="AN609" s="9"/>
      <c r="AO609" s="9"/>
      <c r="AP609" s="9"/>
      <c r="AQ609" s="10"/>
      <c r="AR609" s="10"/>
      <c r="AS609" s="10"/>
      <c r="AT609" s="10"/>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9"/>
      <c r="AN610" s="9"/>
      <c r="AO610" s="9"/>
      <c r="AP610" s="9"/>
      <c r="AQ610" s="10"/>
      <c r="AR610" s="10"/>
      <c r="AS610" s="10"/>
      <c r="AT610" s="10"/>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9"/>
      <c r="AN611" s="9"/>
      <c r="AO611" s="9"/>
      <c r="AP611" s="9"/>
      <c r="AQ611" s="10"/>
      <c r="AR611" s="10"/>
      <c r="AS611" s="10"/>
      <c r="AT611" s="10"/>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9"/>
      <c r="AN612" s="9"/>
      <c r="AO612" s="9"/>
      <c r="AP612" s="9"/>
      <c r="AQ612" s="10"/>
      <c r="AR612" s="10"/>
      <c r="AS612" s="10"/>
      <c r="AT612" s="10"/>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9"/>
      <c r="AN613" s="9"/>
      <c r="AO613" s="9"/>
      <c r="AP613" s="9"/>
      <c r="AQ613" s="10"/>
      <c r="AR613" s="10"/>
      <c r="AS613" s="10"/>
      <c r="AT613" s="10"/>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9"/>
      <c r="AN614" s="9"/>
      <c r="AO614" s="9"/>
      <c r="AP614" s="9"/>
      <c r="AQ614" s="10"/>
      <c r="AR614" s="10"/>
      <c r="AS614" s="10"/>
      <c r="AT614" s="10"/>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9"/>
      <c r="AN615" s="9"/>
      <c r="AO615" s="9"/>
      <c r="AP615" s="9"/>
      <c r="AQ615" s="10"/>
      <c r="AR615" s="10"/>
      <c r="AS615" s="10"/>
      <c r="AT615" s="10"/>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9"/>
      <c r="AN616" s="9"/>
      <c r="AO616" s="9"/>
      <c r="AP616" s="9"/>
      <c r="AQ616" s="10"/>
      <c r="AR616" s="10"/>
      <c r="AS616" s="10"/>
      <c r="AT616" s="10"/>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9"/>
      <c r="AN617" s="9"/>
      <c r="AO617" s="9"/>
      <c r="AP617" s="9"/>
      <c r="AQ617" s="10"/>
      <c r="AR617" s="10"/>
      <c r="AS617" s="10"/>
      <c r="AT617" s="10"/>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9"/>
      <c r="AN618" s="9"/>
      <c r="AO618" s="9"/>
      <c r="AP618" s="9"/>
      <c r="AQ618" s="10"/>
      <c r="AR618" s="10"/>
      <c r="AS618" s="10"/>
      <c r="AT618" s="10"/>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9"/>
      <c r="AN619" s="9"/>
      <c r="AO619" s="9"/>
      <c r="AP619" s="9"/>
      <c r="AQ619" s="10"/>
      <c r="AR619" s="10"/>
      <c r="AS619" s="10"/>
      <c r="AT619" s="10"/>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9"/>
      <c r="AN620" s="9"/>
      <c r="AO620" s="9"/>
      <c r="AP620" s="9"/>
      <c r="AQ620" s="10"/>
      <c r="AR620" s="10"/>
      <c r="AS620" s="10"/>
      <c r="AT620" s="10"/>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9"/>
      <c r="AN621" s="9"/>
      <c r="AO621" s="9"/>
      <c r="AP621" s="9"/>
      <c r="AQ621" s="10"/>
      <c r="AR621" s="10"/>
      <c r="AS621" s="10"/>
      <c r="AT621" s="10"/>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9"/>
      <c r="AN622" s="9"/>
      <c r="AO622" s="9"/>
      <c r="AP622" s="9"/>
      <c r="AQ622" s="10"/>
      <c r="AR622" s="10"/>
      <c r="AS622" s="10"/>
      <c r="AT622" s="10"/>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9"/>
      <c r="AN623" s="9"/>
      <c r="AO623" s="9"/>
      <c r="AP623" s="9"/>
      <c r="AQ623" s="10"/>
      <c r="AR623" s="10"/>
      <c r="AS623" s="10"/>
      <c r="AT623" s="10"/>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9"/>
      <c r="AN624" s="9"/>
      <c r="AO624" s="9"/>
      <c r="AP624" s="9"/>
      <c r="AQ624" s="10"/>
      <c r="AR624" s="10"/>
      <c r="AS624" s="10"/>
      <c r="AT624" s="10"/>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9"/>
      <c r="AN625" s="9"/>
      <c r="AO625" s="9"/>
      <c r="AP625" s="9"/>
      <c r="AQ625" s="10"/>
      <c r="AR625" s="10"/>
      <c r="AS625" s="10"/>
      <c r="AT625" s="10"/>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9"/>
      <c r="AN626" s="9"/>
      <c r="AO626" s="9"/>
      <c r="AP626" s="9"/>
      <c r="AQ626" s="10"/>
      <c r="AR626" s="10"/>
      <c r="AS626" s="10"/>
      <c r="AT626" s="10"/>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9"/>
      <c r="AN627" s="9"/>
      <c r="AO627" s="9"/>
      <c r="AP627" s="9"/>
      <c r="AQ627" s="10"/>
      <c r="AR627" s="10"/>
      <c r="AS627" s="10"/>
      <c r="AT627" s="10"/>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9"/>
      <c r="AN628" s="9"/>
      <c r="AO628" s="9"/>
      <c r="AP628" s="9"/>
      <c r="AQ628" s="10"/>
      <c r="AR628" s="10"/>
      <c r="AS628" s="10"/>
      <c r="AT628" s="10"/>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9"/>
      <c r="AN629" s="9"/>
      <c r="AO629" s="9"/>
      <c r="AP629" s="9"/>
      <c r="AQ629" s="10"/>
      <c r="AR629" s="10"/>
      <c r="AS629" s="10"/>
      <c r="AT629" s="10"/>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9"/>
      <c r="AN630" s="9"/>
      <c r="AO630" s="9"/>
      <c r="AP630" s="9"/>
      <c r="AQ630" s="10"/>
      <c r="AR630" s="10"/>
      <c r="AS630" s="10"/>
      <c r="AT630" s="10"/>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9"/>
      <c r="AN631" s="9"/>
      <c r="AO631" s="9"/>
      <c r="AP631" s="9"/>
      <c r="AQ631" s="10"/>
      <c r="AR631" s="10"/>
      <c r="AS631" s="10"/>
      <c r="AT631" s="10"/>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9"/>
      <c r="AN632" s="9"/>
      <c r="AO632" s="9"/>
      <c r="AP632" s="9"/>
      <c r="AQ632" s="10"/>
      <c r="AR632" s="10"/>
      <c r="AS632" s="10"/>
      <c r="AT632" s="10"/>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9"/>
      <c r="AN633" s="9"/>
      <c r="AO633" s="9"/>
      <c r="AP633" s="9"/>
      <c r="AQ633" s="10"/>
      <c r="AR633" s="10"/>
      <c r="AS633" s="10"/>
      <c r="AT633" s="10"/>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9"/>
      <c r="AN634" s="9"/>
      <c r="AO634" s="9"/>
      <c r="AP634" s="9"/>
      <c r="AQ634" s="10"/>
      <c r="AR634" s="10"/>
      <c r="AS634" s="10"/>
      <c r="AT634" s="10"/>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9"/>
      <c r="AN635" s="9"/>
      <c r="AO635" s="9"/>
      <c r="AP635" s="9"/>
      <c r="AQ635" s="10"/>
      <c r="AR635" s="10"/>
      <c r="AS635" s="10"/>
      <c r="AT635" s="10"/>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9"/>
      <c r="AN636" s="9"/>
      <c r="AO636" s="9"/>
      <c r="AP636" s="9"/>
      <c r="AQ636" s="10"/>
      <c r="AR636" s="10"/>
      <c r="AS636" s="10"/>
      <c r="AT636" s="10"/>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9"/>
      <c r="AN637" s="9"/>
      <c r="AO637" s="9"/>
      <c r="AP637" s="9"/>
      <c r="AQ637" s="10"/>
      <c r="AR637" s="10"/>
      <c r="AS637" s="10"/>
      <c r="AT637" s="10"/>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9"/>
      <c r="AN638" s="9"/>
      <c r="AO638" s="9"/>
      <c r="AP638" s="9"/>
      <c r="AQ638" s="10"/>
      <c r="AR638" s="10"/>
      <c r="AS638" s="10"/>
      <c r="AT638" s="10"/>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9"/>
      <c r="AN639" s="9"/>
      <c r="AO639" s="9"/>
      <c r="AP639" s="9"/>
      <c r="AQ639" s="10"/>
      <c r="AR639" s="10"/>
      <c r="AS639" s="10"/>
      <c r="AT639" s="10"/>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9"/>
      <c r="AN640" s="9"/>
      <c r="AO640" s="9"/>
      <c r="AP640" s="9"/>
      <c r="AQ640" s="10"/>
      <c r="AR640" s="10"/>
      <c r="AS640" s="10"/>
      <c r="AT640" s="10"/>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9"/>
      <c r="AN641" s="9"/>
      <c r="AO641" s="9"/>
      <c r="AP641" s="9"/>
      <c r="AQ641" s="10"/>
      <c r="AR641" s="10"/>
      <c r="AS641" s="10"/>
      <c r="AT641" s="10"/>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9"/>
      <c r="AN642" s="9"/>
      <c r="AO642" s="9"/>
      <c r="AP642" s="9"/>
      <c r="AQ642" s="10"/>
      <c r="AR642" s="10"/>
      <c r="AS642" s="10"/>
      <c r="AT642" s="10"/>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9"/>
      <c r="AN643" s="9"/>
      <c r="AO643" s="9"/>
      <c r="AP643" s="9"/>
      <c r="AQ643" s="10"/>
      <c r="AR643" s="10"/>
      <c r="AS643" s="10"/>
      <c r="AT643" s="10"/>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9"/>
      <c r="AN644" s="9"/>
      <c r="AO644" s="9"/>
      <c r="AP644" s="9"/>
      <c r="AQ644" s="10"/>
      <c r="AR644" s="10"/>
      <c r="AS644" s="10"/>
      <c r="AT644" s="10"/>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9"/>
      <c r="AN645" s="9"/>
      <c r="AO645" s="9"/>
      <c r="AP645" s="9"/>
      <c r="AQ645" s="10"/>
      <c r="AR645" s="10"/>
      <c r="AS645" s="10"/>
      <c r="AT645" s="10"/>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9"/>
      <c r="AN646" s="9"/>
      <c r="AO646" s="9"/>
      <c r="AP646" s="9"/>
      <c r="AQ646" s="10"/>
      <c r="AR646" s="10"/>
      <c r="AS646" s="10"/>
      <c r="AT646" s="10"/>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9"/>
      <c r="AN647" s="9"/>
      <c r="AO647" s="9"/>
      <c r="AP647" s="9"/>
      <c r="AQ647" s="10"/>
      <c r="AR647" s="10"/>
      <c r="AS647" s="10"/>
      <c r="AT647" s="10"/>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9"/>
      <c r="AN648" s="9"/>
      <c r="AO648" s="9"/>
      <c r="AP648" s="9"/>
      <c r="AQ648" s="10"/>
      <c r="AR648" s="10"/>
      <c r="AS648" s="10"/>
      <c r="AT648" s="10"/>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9"/>
      <c r="AN649" s="9"/>
      <c r="AO649" s="9"/>
      <c r="AP649" s="9"/>
      <c r="AQ649" s="10"/>
      <c r="AR649" s="10"/>
      <c r="AS649" s="10"/>
      <c r="AT649" s="10"/>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9"/>
      <c r="AN650" s="9"/>
      <c r="AO650" s="9"/>
      <c r="AP650" s="9"/>
      <c r="AQ650" s="10"/>
      <c r="AR650" s="10"/>
      <c r="AS650" s="10"/>
      <c r="AT650" s="10"/>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9"/>
      <c r="AN651" s="9"/>
      <c r="AO651" s="9"/>
      <c r="AP651" s="9"/>
      <c r="AQ651" s="10"/>
      <c r="AR651" s="10"/>
      <c r="AS651" s="10"/>
      <c r="AT651" s="10"/>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9"/>
      <c r="AN652" s="9"/>
      <c r="AO652" s="9"/>
      <c r="AP652" s="9"/>
      <c r="AQ652" s="10"/>
      <c r="AR652" s="10"/>
      <c r="AS652" s="10"/>
      <c r="AT652" s="10"/>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9"/>
      <c r="AN653" s="9"/>
      <c r="AO653" s="9"/>
      <c r="AP653" s="9"/>
      <c r="AQ653" s="10"/>
      <c r="AR653" s="10"/>
      <c r="AS653" s="10"/>
      <c r="AT653" s="10"/>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9"/>
      <c r="AN654" s="9"/>
      <c r="AO654" s="9"/>
      <c r="AP654" s="9"/>
      <c r="AQ654" s="10"/>
      <c r="AR654" s="10"/>
      <c r="AS654" s="10"/>
      <c r="AT654" s="10"/>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9"/>
      <c r="AN655" s="9"/>
      <c r="AO655" s="9"/>
      <c r="AP655" s="9"/>
      <c r="AQ655" s="10"/>
      <c r="AR655" s="10"/>
      <c r="AS655" s="10"/>
      <c r="AT655" s="10"/>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9"/>
      <c r="AN656" s="9"/>
      <c r="AO656" s="9"/>
      <c r="AP656" s="9"/>
      <c r="AQ656" s="10"/>
      <c r="AR656" s="10"/>
      <c r="AS656" s="10"/>
      <c r="AT656" s="10"/>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9"/>
      <c r="AN657" s="9"/>
      <c r="AO657" s="9"/>
      <c r="AP657" s="9"/>
      <c r="AQ657" s="10"/>
      <c r="AR657" s="10"/>
      <c r="AS657" s="10"/>
      <c r="AT657" s="10"/>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9"/>
      <c r="AN658" s="9"/>
      <c r="AO658" s="9"/>
      <c r="AP658" s="9"/>
      <c r="AQ658" s="10"/>
      <c r="AR658" s="10"/>
      <c r="AS658" s="10"/>
      <c r="AT658" s="10"/>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9"/>
      <c r="AN659" s="9"/>
      <c r="AO659" s="9"/>
      <c r="AP659" s="9"/>
      <c r="AQ659" s="10"/>
      <c r="AR659" s="10"/>
      <c r="AS659" s="10"/>
      <c r="AT659" s="10"/>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9"/>
      <c r="AN660" s="9"/>
      <c r="AO660" s="9"/>
      <c r="AP660" s="9"/>
      <c r="AQ660" s="10"/>
      <c r="AR660" s="10"/>
      <c r="AS660" s="10"/>
      <c r="AT660" s="10"/>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9"/>
      <c r="AN661" s="9"/>
      <c r="AO661" s="9"/>
      <c r="AP661" s="9"/>
      <c r="AQ661" s="10"/>
      <c r="AR661" s="10"/>
      <c r="AS661" s="10"/>
      <c r="AT661" s="10"/>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9"/>
      <c r="AN662" s="9"/>
      <c r="AO662" s="9"/>
      <c r="AP662" s="9"/>
      <c r="AQ662" s="10"/>
      <c r="AR662" s="10"/>
      <c r="AS662" s="10"/>
      <c r="AT662" s="10"/>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9"/>
      <c r="AN663" s="9"/>
      <c r="AO663" s="9"/>
      <c r="AP663" s="9"/>
      <c r="AQ663" s="10"/>
      <c r="AR663" s="10"/>
      <c r="AS663" s="10"/>
      <c r="AT663" s="10"/>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9"/>
      <c r="AN664" s="9"/>
      <c r="AO664" s="9"/>
      <c r="AP664" s="9"/>
      <c r="AQ664" s="10"/>
      <c r="AR664" s="10"/>
      <c r="AS664" s="10"/>
      <c r="AT664" s="10"/>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9"/>
      <c r="AN665" s="9"/>
      <c r="AO665" s="9"/>
      <c r="AP665" s="9"/>
      <c r="AQ665" s="10"/>
      <c r="AR665" s="10"/>
      <c r="AS665" s="10"/>
      <c r="AT665" s="10"/>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9"/>
      <c r="AN666" s="9"/>
      <c r="AO666" s="9"/>
      <c r="AP666" s="9"/>
      <c r="AQ666" s="10"/>
      <c r="AR666" s="10"/>
      <c r="AS666" s="10"/>
      <c r="AT666" s="10"/>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9"/>
      <c r="AN667" s="9"/>
      <c r="AO667" s="9"/>
      <c r="AP667" s="9"/>
      <c r="AQ667" s="10"/>
      <c r="AR667" s="10"/>
      <c r="AS667" s="10"/>
      <c r="AT667" s="10"/>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9"/>
      <c r="AN668" s="9"/>
      <c r="AO668" s="9"/>
      <c r="AP668" s="9"/>
      <c r="AQ668" s="10"/>
      <c r="AR668" s="10"/>
      <c r="AS668" s="10"/>
      <c r="AT668" s="10"/>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9"/>
      <c r="AN669" s="9"/>
      <c r="AO669" s="9"/>
      <c r="AP669" s="9"/>
      <c r="AQ669" s="10"/>
      <c r="AR669" s="10"/>
      <c r="AS669" s="10"/>
      <c r="AT669" s="10"/>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9"/>
      <c r="AN670" s="9"/>
      <c r="AO670" s="9"/>
      <c r="AP670" s="9"/>
      <c r="AQ670" s="10"/>
      <c r="AR670" s="10"/>
      <c r="AS670" s="10"/>
      <c r="AT670" s="10"/>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9"/>
      <c r="AN671" s="9"/>
      <c r="AO671" s="9"/>
      <c r="AP671" s="9"/>
      <c r="AQ671" s="10"/>
      <c r="AR671" s="10"/>
      <c r="AS671" s="10"/>
      <c r="AT671" s="10"/>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9"/>
      <c r="AN672" s="9"/>
      <c r="AO672" s="9"/>
      <c r="AP672" s="9"/>
      <c r="AQ672" s="10"/>
      <c r="AR672" s="10"/>
      <c r="AS672" s="10"/>
      <c r="AT672" s="10"/>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9"/>
      <c r="AN673" s="9"/>
      <c r="AO673" s="9"/>
      <c r="AP673" s="9"/>
      <c r="AQ673" s="10"/>
      <c r="AR673" s="10"/>
      <c r="AS673" s="10"/>
      <c r="AT673" s="10"/>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9"/>
      <c r="AN674" s="9"/>
      <c r="AO674" s="9"/>
      <c r="AP674" s="9"/>
      <c r="AQ674" s="10"/>
      <c r="AR674" s="10"/>
      <c r="AS674" s="10"/>
      <c r="AT674" s="10"/>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9"/>
      <c r="AN675" s="9"/>
      <c r="AO675" s="9"/>
      <c r="AP675" s="9"/>
      <c r="AQ675" s="10"/>
      <c r="AR675" s="10"/>
      <c r="AS675" s="10"/>
      <c r="AT675" s="10"/>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9"/>
      <c r="AN676" s="9"/>
      <c r="AO676" s="9"/>
      <c r="AP676" s="9"/>
      <c r="AQ676" s="10"/>
      <c r="AR676" s="10"/>
      <c r="AS676" s="10"/>
      <c r="AT676" s="10"/>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9"/>
      <c r="AN677" s="9"/>
      <c r="AO677" s="9"/>
      <c r="AP677" s="9"/>
      <c r="AQ677" s="10"/>
      <c r="AR677" s="10"/>
      <c r="AS677" s="10"/>
      <c r="AT677" s="10"/>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9"/>
      <c r="AN678" s="9"/>
      <c r="AO678" s="9"/>
      <c r="AP678" s="9"/>
      <c r="AQ678" s="10"/>
      <c r="AR678" s="10"/>
      <c r="AS678" s="10"/>
      <c r="AT678" s="10"/>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9"/>
      <c r="AN679" s="9"/>
      <c r="AO679" s="9"/>
      <c r="AP679" s="9"/>
      <c r="AQ679" s="10"/>
      <c r="AR679" s="10"/>
      <c r="AS679" s="10"/>
      <c r="AT679" s="10"/>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9"/>
      <c r="AN680" s="9"/>
      <c r="AO680" s="9"/>
      <c r="AP680" s="9"/>
      <c r="AQ680" s="10"/>
      <c r="AR680" s="10"/>
      <c r="AS680" s="10"/>
      <c r="AT680" s="10"/>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9"/>
      <c r="AN681" s="9"/>
      <c r="AO681" s="9"/>
      <c r="AP681" s="9"/>
      <c r="AQ681" s="10"/>
      <c r="AR681" s="10"/>
      <c r="AS681" s="10"/>
      <c r="AT681" s="10"/>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9"/>
      <c r="AN682" s="9"/>
      <c r="AO682" s="9"/>
      <c r="AP682" s="9"/>
      <c r="AQ682" s="10"/>
      <c r="AR682" s="10"/>
      <c r="AS682" s="10"/>
      <c r="AT682" s="10"/>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9"/>
      <c r="AN683" s="9"/>
      <c r="AO683" s="9"/>
      <c r="AP683" s="9"/>
      <c r="AQ683" s="10"/>
      <c r="AR683" s="10"/>
      <c r="AS683" s="10"/>
      <c r="AT683" s="10"/>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9"/>
      <c r="AN684" s="9"/>
      <c r="AO684" s="9"/>
      <c r="AP684" s="9"/>
      <c r="AQ684" s="10"/>
      <c r="AR684" s="10"/>
      <c r="AS684" s="10"/>
      <c r="AT684" s="10"/>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9"/>
      <c r="AN685" s="9"/>
      <c r="AO685" s="9"/>
      <c r="AP685" s="9"/>
      <c r="AQ685" s="10"/>
      <c r="AR685" s="10"/>
      <c r="AS685" s="10"/>
      <c r="AT685" s="10"/>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9"/>
      <c r="AN686" s="9"/>
      <c r="AO686" s="9"/>
      <c r="AP686" s="9"/>
      <c r="AQ686" s="10"/>
      <c r="AR686" s="10"/>
      <c r="AS686" s="10"/>
      <c r="AT686" s="10"/>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9"/>
      <c r="AN687" s="9"/>
      <c r="AO687" s="9"/>
      <c r="AP687" s="9"/>
      <c r="AQ687" s="10"/>
      <c r="AR687" s="10"/>
      <c r="AS687" s="10"/>
      <c r="AT687" s="10"/>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9"/>
      <c r="AN688" s="9"/>
      <c r="AO688" s="9"/>
      <c r="AP688" s="9"/>
      <c r="AQ688" s="10"/>
      <c r="AR688" s="10"/>
      <c r="AS688" s="10"/>
      <c r="AT688" s="10"/>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9"/>
      <c r="AN689" s="9"/>
      <c r="AO689" s="9"/>
      <c r="AP689" s="9"/>
      <c r="AQ689" s="10"/>
      <c r="AR689" s="10"/>
      <c r="AS689" s="10"/>
      <c r="AT689" s="10"/>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9"/>
      <c r="AN690" s="9"/>
      <c r="AO690" s="9"/>
      <c r="AP690" s="9"/>
      <c r="AQ690" s="10"/>
      <c r="AR690" s="10"/>
      <c r="AS690" s="10"/>
      <c r="AT690" s="10"/>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9"/>
      <c r="AN691" s="9"/>
      <c r="AO691" s="9"/>
      <c r="AP691" s="9"/>
      <c r="AQ691" s="10"/>
      <c r="AR691" s="10"/>
      <c r="AS691" s="10"/>
      <c r="AT691" s="10"/>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9"/>
      <c r="AN692" s="9"/>
      <c r="AO692" s="9"/>
      <c r="AP692" s="9"/>
      <c r="AQ692" s="10"/>
      <c r="AR692" s="10"/>
      <c r="AS692" s="10"/>
      <c r="AT692" s="10"/>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9"/>
      <c r="AN693" s="9"/>
      <c r="AO693" s="9"/>
      <c r="AP693" s="9"/>
      <c r="AQ693" s="10"/>
      <c r="AR693" s="10"/>
      <c r="AS693" s="10"/>
      <c r="AT693" s="10"/>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9"/>
      <c r="AN694" s="9"/>
      <c r="AO694" s="9"/>
      <c r="AP694" s="9"/>
      <c r="AQ694" s="10"/>
      <c r="AR694" s="10"/>
      <c r="AS694" s="10"/>
      <c r="AT694" s="10"/>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9"/>
      <c r="AN695" s="9"/>
      <c r="AO695" s="9"/>
      <c r="AP695" s="9"/>
      <c r="AQ695" s="10"/>
      <c r="AR695" s="10"/>
      <c r="AS695" s="10"/>
      <c r="AT695" s="10"/>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9"/>
      <c r="AN696" s="9"/>
      <c r="AO696" s="9"/>
      <c r="AP696" s="9"/>
      <c r="AQ696" s="10"/>
      <c r="AR696" s="10"/>
      <c r="AS696" s="10"/>
      <c r="AT696" s="10"/>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9"/>
      <c r="AN697" s="9"/>
      <c r="AO697" s="9"/>
      <c r="AP697" s="9"/>
      <c r="AQ697" s="10"/>
      <c r="AR697" s="10"/>
      <c r="AS697" s="10"/>
      <c r="AT697" s="10"/>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9"/>
      <c r="AN698" s="9"/>
      <c r="AO698" s="9"/>
      <c r="AP698" s="9"/>
      <c r="AQ698" s="10"/>
      <c r="AR698" s="10"/>
      <c r="AS698" s="10"/>
      <c r="AT698" s="10"/>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c r="AM699" s="9"/>
      <c r="AN699" s="9"/>
      <c r="AO699" s="9"/>
      <c r="AP699" s="9"/>
      <c r="AQ699" s="10"/>
      <c r="AR699" s="10"/>
      <c r="AS699" s="10"/>
      <c r="AT699" s="10"/>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9"/>
      <c r="AN700" s="9"/>
      <c r="AO700" s="9"/>
      <c r="AP700" s="9"/>
      <c r="AQ700" s="10"/>
      <c r="AR700" s="10"/>
      <c r="AS700" s="10"/>
      <c r="AT700" s="10"/>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c r="AM701" s="9"/>
      <c r="AN701" s="9"/>
      <c r="AO701" s="9"/>
      <c r="AP701" s="9"/>
      <c r="AQ701" s="10"/>
      <c r="AR701" s="10"/>
      <c r="AS701" s="10"/>
      <c r="AT701" s="10"/>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9"/>
      <c r="AN702" s="9"/>
      <c r="AO702" s="9"/>
      <c r="AP702" s="9"/>
      <c r="AQ702" s="10"/>
      <c r="AR702" s="10"/>
      <c r="AS702" s="10"/>
      <c r="AT702" s="10"/>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c r="AM703" s="9"/>
      <c r="AN703" s="9"/>
      <c r="AO703" s="9"/>
      <c r="AP703" s="9"/>
      <c r="AQ703" s="10"/>
      <c r="AR703" s="10"/>
      <c r="AS703" s="10"/>
      <c r="AT703" s="10"/>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c r="AM704" s="9"/>
      <c r="AN704" s="9"/>
      <c r="AO704" s="9"/>
      <c r="AP704" s="9"/>
      <c r="AQ704" s="10"/>
      <c r="AR704" s="10"/>
      <c r="AS704" s="10"/>
      <c r="AT704" s="10"/>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c r="AM705" s="9"/>
      <c r="AN705" s="9"/>
      <c r="AO705" s="9"/>
      <c r="AP705" s="9"/>
      <c r="AQ705" s="10"/>
      <c r="AR705" s="10"/>
      <c r="AS705" s="10"/>
      <c r="AT705" s="10"/>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c r="AM706" s="9"/>
      <c r="AN706" s="9"/>
      <c r="AO706" s="9"/>
      <c r="AP706" s="9"/>
      <c r="AQ706" s="10"/>
      <c r="AR706" s="10"/>
      <c r="AS706" s="10"/>
      <c r="AT706" s="10"/>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c r="AM707" s="9"/>
      <c r="AN707" s="9"/>
      <c r="AO707" s="9"/>
      <c r="AP707" s="9"/>
      <c r="AQ707" s="10"/>
      <c r="AR707" s="10"/>
      <c r="AS707" s="10"/>
      <c r="AT707" s="10"/>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c r="AM708" s="9"/>
      <c r="AN708" s="9"/>
      <c r="AO708" s="9"/>
      <c r="AP708" s="9"/>
      <c r="AQ708" s="10"/>
      <c r="AR708" s="10"/>
      <c r="AS708" s="10"/>
      <c r="AT708" s="10"/>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c r="AM709" s="9"/>
      <c r="AN709" s="9"/>
      <c r="AO709" s="9"/>
      <c r="AP709" s="9"/>
      <c r="AQ709" s="10"/>
      <c r="AR709" s="10"/>
      <c r="AS709" s="10"/>
      <c r="AT709" s="10"/>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c r="AM710" s="9"/>
      <c r="AN710" s="9"/>
      <c r="AO710" s="9"/>
      <c r="AP710" s="9"/>
      <c r="AQ710" s="10"/>
      <c r="AR710" s="10"/>
      <c r="AS710" s="10"/>
      <c r="AT710" s="10"/>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c r="AM711" s="9"/>
      <c r="AN711" s="9"/>
      <c r="AO711" s="9"/>
      <c r="AP711" s="9"/>
      <c r="AQ711" s="10"/>
      <c r="AR711" s="10"/>
      <c r="AS711" s="10"/>
      <c r="AT711" s="10"/>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c r="AM712" s="9"/>
      <c r="AN712" s="9"/>
      <c r="AO712" s="9"/>
      <c r="AP712" s="9"/>
      <c r="AQ712" s="10"/>
      <c r="AR712" s="10"/>
      <c r="AS712" s="10"/>
      <c r="AT712" s="10"/>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c r="AM713" s="9"/>
      <c r="AN713" s="9"/>
      <c r="AO713" s="9"/>
      <c r="AP713" s="9"/>
      <c r="AQ713" s="10"/>
      <c r="AR713" s="10"/>
      <c r="AS713" s="10"/>
      <c r="AT713" s="10"/>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c r="AM714" s="9"/>
      <c r="AN714" s="9"/>
      <c r="AO714" s="9"/>
      <c r="AP714" s="9"/>
      <c r="AQ714" s="10"/>
      <c r="AR714" s="10"/>
      <c r="AS714" s="10"/>
      <c r="AT714" s="10"/>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c r="AM715" s="9"/>
      <c r="AN715" s="9"/>
      <c r="AO715" s="9"/>
      <c r="AP715" s="9"/>
      <c r="AQ715" s="10"/>
      <c r="AR715" s="10"/>
      <c r="AS715" s="10"/>
      <c r="AT715" s="10"/>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c r="AM716" s="9"/>
      <c r="AN716" s="9"/>
      <c r="AO716" s="9"/>
      <c r="AP716" s="9"/>
      <c r="AQ716" s="10"/>
      <c r="AR716" s="10"/>
      <c r="AS716" s="10"/>
      <c r="AT716" s="10"/>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c r="AM717" s="9"/>
      <c r="AN717" s="9"/>
      <c r="AO717" s="9"/>
      <c r="AP717" s="9"/>
      <c r="AQ717" s="10"/>
      <c r="AR717" s="10"/>
      <c r="AS717" s="10"/>
      <c r="AT717" s="10"/>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c r="AM718" s="9"/>
      <c r="AN718" s="9"/>
      <c r="AO718" s="9"/>
      <c r="AP718" s="9"/>
      <c r="AQ718" s="10"/>
      <c r="AR718" s="10"/>
      <c r="AS718" s="10"/>
      <c r="AT718" s="10"/>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c r="AM719" s="9"/>
      <c r="AN719" s="9"/>
      <c r="AO719" s="9"/>
      <c r="AP719" s="9"/>
      <c r="AQ719" s="10"/>
      <c r="AR719" s="10"/>
      <c r="AS719" s="10"/>
      <c r="AT719" s="10"/>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9"/>
      <c r="AN720" s="9"/>
      <c r="AO720" s="9"/>
      <c r="AP720" s="9"/>
      <c r="AQ720" s="10"/>
      <c r="AR720" s="10"/>
      <c r="AS720" s="10"/>
      <c r="AT720" s="10"/>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c r="AM721" s="9"/>
      <c r="AN721" s="9"/>
      <c r="AO721" s="9"/>
      <c r="AP721" s="9"/>
      <c r="AQ721" s="10"/>
      <c r="AR721" s="10"/>
      <c r="AS721" s="10"/>
      <c r="AT721" s="10"/>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9"/>
      <c r="AN722" s="9"/>
      <c r="AO722" s="9"/>
      <c r="AP722" s="9"/>
      <c r="AQ722" s="10"/>
      <c r="AR722" s="10"/>
      <c r="AS722" s="10"/>
      <c r="AT722" s="10"/>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c r="AM723" s="9"/>
      <c r="AN723" s="9"/>
      <c r="AO723" s="9"/>
      <c r="AP723" s="9"/>
      <c r="AQ723" s="10"/>
      <c r="AR723" s="10"/>
      <c r="AS723" s="10"/>
      <c r="AT723" s="10"/>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9"/>
      <c r="AN724" s="9"/>
      <c r="AO724" s="9"/>
      <c r="AP724" s="9"/>
      <c r="AQ724" s="10"/>
      <c r="AR724" s="10"/>
      <c r="AS724" s="10"/>
      <c r="AT724" s="10"/>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9"/>
      <c r="AN725" s="9"/>
      <c r="AO725" s="9"/>
      <c r="AP725" s="9"/>
      <c r="AQ725" s="10"/>
      <c r="AR725" s="10"/>
      <c r="AS725" s="10"/>
      <c r="AT725" s="10"/>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9"/>
      <c r="AN726" s="9"/>
      <c r="AO726" s="9"/>
      <c r="AP726" s="9"/>
      <c r="AQ726" s="10"/>
      <c r="AR726" s="10"/>
      <c r="AS726" s="10"/>
      <c r="AT726" s="10"/>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9"/>
      <c r="AN727" s="9"/>
      <c r="AO727" s="9"/>
      <c r="AP727" s="9"/>
      <c r="AQ727" s="10"/>
      <c r="AR727" s="10"/>
      <c r="AS727" s="10"/>
      <c r="AT727" s="10"/>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c r="AM728" s="9"/>
      <c r="AN728" s="9"/>
      <c r="AO728" s="9"/>
      <c r="AP728" s="9"/>
      <c r="AQ728" s="10"/>
      <c r="AR728" s="10"/>
      <c r="AS728" s="10"/>
      <c r="AT728" s="10"/>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c r="AM729" s="9"/>
      <c r="AN729" s="9"/>
      <c r="AO729" s="9"/>
      <c r="AP729" s="9"/>
      <c r="AQ729" s="10"/>
      <c r="AR729" s="10"/>
      <c r="AS729" s="10"/>
      <c r="AT729" s="10"/>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9"/>
      <c r="AN730" s="9"/>
      <c r="AO730" s="9"/>
      <c r="AP730" s="9"/>
      <c r="AQ730" s="10"/>
      <c r="AR730" s="10"/>
      <c r="AS730" s="10"/>
      <c r="AT730" s="10"/>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c r="AM731" s="9"/>
      <c r="AN731" s="9"/>
      <c r="AO731" s="9"/>
      <c r="AP731" s="9"/>
      <c r="AQ731" s="10"/>
      <c r="AR731" s="10"/>
      <c r="AS731" s="10"/>
      <c r="AT731" s="10"/>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9"/>
      <c r="AN732" s="9"/>
      <c r="AO732" s="9"/>
      <c r="AP732" s="9"/>
      <c r="AQ732" s="10"/>
      <c r="AR732" s="10"/>
      <c r="AS732" s="10"/>
      <c r="AT732" s="10"/>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c r="AM733" s="9"/>
      <c r="AN733" s="9"/>
      <c r="AO733" s="9"/>
      <c r="AP733" s="9"/>
      <c r="AQ733" s="10"/>
      <c r="AR733" s="10"/>
      <c r="AS733" s="10"/>
      <c r="AT733" s="10"/>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c r="AM734" s="9"/>
      <c r="AN734" s="9"/>
      <c r="AO734" s="9"/>
      <c r="AP734" s="9"/>
      <c r="AQ734" s="10"/>
      <c r="AR734" s="10"/>
      <c r="AS734" s="10"/>
      <c r="AT734" s="10"/>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c r="AM735" s="9"/>
      <c r="AN735" s="9"/>
      <c r="AO735" s="9"/>
      <c r="AP735" s="9"/>
      <c r="AQ735" s="10"/>
      <c r="AR735" s="10"/>
      <c r="AS735" s="10"/>
      <c r="AT735" s="10"/>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c r="AM736" s="9"/>
      <c r="AN736" s="9"/>
      <c r="AO736" s="9"/>
      <c r="AP736" s="9"/>
      <c r="AQ736" s="10"/>
      <c r="AR736" s="10"/>
      <c r="AS736" s="10"/>
      <c r="AT736" s="10"/>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c r="AM737" s="9"/>
      <c r="AN737" s="9"/>
      <c r="AO737" s="9"/>
      <c r="AP737" s="9"/>
      <c r="AQ737" s="10"/>
      <c r="AR737" s="10"/>
      <c r="AS737" s="10"/>
      <c r="AT737" s="10"/>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c r="AM738" s="9"/>
      <c r="AN738" s="9"/>
      <c r="AO738" s="9"/>
      <c r="AP738" s="9"/>
      <c r="AQ738" s="10"/>
      <c r="AR738" s="10"/>
      <c r="AS738" s="10"/>
      <c r="AT738" s="10"/>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c r="AM739" s="9"/>
      <c r="AN739" s="9"/>
      <c r="AO739" s="9"/>
      <c r="AP739" s="9"/>
      <c r="AQ739" s="10"/>
      <c r="AR739" s="10"/>
      <c r="AS739" s="10"/>
      <c r="AT739" s="10"/>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c r="AM740" s="9"/>
      <c r="AN740" s="9"/>
      <c r="AO740" s="9"/>
      <c r="AP740" s="9"/>
      <c r="AQ740" s="10"/>
      <c r="AR740" s="10"/>
      <c r="AS740" s="10"/>
      <c r="AT740" s="10"/>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c r="AM741" s="9"/>
      <c r="AN741" s="9"/>
      <c r="AO741" s="9"/>
      <c r="AP741" s="9"/>
      <c r="AQ741" s="10"/>
      <c r="AR741" s="10"/>
      <c r="AS741" s="10"/>
      <c r="AT741" s="10"/>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c r="AM742" s="9"/>
      <c r="AN742" s="9"/>
      <c r="AO742" s="9"/>
      <c r="AP742" s="9"/>
      <c r="AQ742" s="10"/>
      <c r="AR742" s="10"/>
      <c r="AS742" s="10"/>
      <c r="AT742" s="10"/>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c r="AM743" s="9"/>
      <c r="AN743" s="9"/>
      <c r="AO743" s="9"/>
      <c r="AP743" s="9"/>
      <c r="AQ743" s="10"/>
      <c r="AR743" s="10"/>
      <c r="AS743" s="10"/>
      <c r="AT743" s="10"/>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c r="AM744" s="9"/>
      <c r="AN744" s="9"/>
      <c r="AO744" s="9"/>
      <c r="AP744" s="9"/>
      <c r="AQ744" s="10"/>
      <c r="AR744" s="10"/>
      <c r="AS744" s="10"/>
      <c r="AT744" s="10"/>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c r="AM745" s="9"/>
      <c r="AN745" s="9"/>
      <c r="AO745" s="9"/>
      <c r="AP745" s="9"/>
      <c r="AQ745" s="10"/>
      <c r="AR745" s="10"/>
      <c r="AS745" s="10"/>
      <c r="AT745" s="10"/>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c r="AM746" s="9"/>
      <c r="AN746" s="9"/>
      <c r="AO746" s="9"/>
      <c r="AP746" s="9"/>
      <c r="AQ746" s="10"/>
      <c r="AR746" s="10"/>
      <c r="AS746" s="10"/>
      <c r="AT746" s="10"/>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c r="AM747" s="9"/>
      <c r="AN747" s="9"/>
      <c r="AO747" s="9"/>
      <c r="AP747" s="9"/>
      <c r="AQ747" s="10"/>
      <c r="AR747" s="10"/>
      <c r="AS747" s="10"/>
      <c r="AT747" s="10"/>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c r="AM748" s="9"/>
      <c r="AN748" s="9"/>
      <c r="AO748" s="9"/>
      <c r="AP748" s="9"/>
      <c r="AQ748" s="10"/>
      <c r="AR748" s="10"/>
      <c r="AS748" s="10"/>
      <c r="AT748" s="10"/>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c r="AM749" s="9"/>
      <c r="AN749" s="9"/>
      <c r="AO749" s="9"/>
      <c r="AP749" s="9"/>
      <c r="AQ749" s="10"/>
      <c r="AR749" s="10"/>
      <c r="AS749" s="10"/>
      <c r="AT749" s="10"/>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c r="AM750" s="9"/>
      <c r="AN750" s="9"/>
      <c r="AO750" s="9"/>
      <c r="AP750" s="9"/>
      <c r="AQ750" s="10"/>
      <c r="AR750" s="10"/>
      <c r="AS750" s="10"/>
      <c r="AT750" s="10"/>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c r="AL751" s="8"/>
      <c r="AM751" s="9"/>
      <c r="AN751" s="9"/>
      <c r="AO751" s="9"/>
      <c r="AP751" s="9"/>
      <c r="AQ751" s="10"/>
      <c r="AR751" s="10"/>
      <c r="AS751" s="10"/>
      <c r="AT751" s="10"/>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c r="AM752" s="9"/>
      <c r="AN752" s="9"/>
      <c r="AO752" s="9"/>
      <c r="AP752" s="9"/>
      <c r="AQ752" s="10"/>
      <c r="AR752" s="10"/>
      <c r="AS752" s="10"/>
      <c r="AT752" s="10"/>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c r="AM753" s="9"/>
      <c r="AN753" s="9"/>
      <c r="AO753" s="9"/>
      <c r="AP753" s="9"/>
      <c r="AQ753" s="10"/>
      <c r="AR753" s="10"/>
      <c r="AS753" s="10"/>
      <c r="AT753" s="10"/>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c r="AL754" s="8"/>
      <c r="AM754" s="9"/>
      <c r="AN754" s="9"/>
      <c r="AO754" s="9"/>
      <c r="AP754" s="9"/>
      <c r="AQ754" s="10"/>
      <c r="AR754" s="10"/>
      <c r="AS754" s="10"/>
      <c r="AT754" s="10"/>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c r="AL755" s="8"/>
      <c r="AM755" s="9"/>
      <c r="AN755" s="9"/>
      <c r="AO755" s="9"/>
      <c r="AP755" s="9"/>
      <c r="AQ755" s="10"/>
      <c r="AR755" s="10"/>
      <c r="AS755" s="10"/>
      <c r="AT755" s="10"/>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c r="AL756" s="8"/>
      <c r="AM756" s="9"/>
      <c r="AN756" s="9"/>
      <c r="AO756" s="9"/>
      <c r="AP756" s="9"/>
      <c r="AQ756" s="10"/>
      <c r="AR756" s="10"/>
      <c r="AS756" s="10"/>
      <c r="AT756" s="10"/>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c r="AL757" s="8"/>
      <c r="AM757" s="9"/>
      <c r="AN757" s="9"/>
      <c r="AO757" s="9"/>
      <c r="AP757" s="9"/>
      <c r="AQ757" s="10"/>
      <c r="AR757" s="10"/>
      <c r="AS757" s="10"/>
      <c r="AT757" s="10"/>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c r="AL758" s="8"/>
      <c r="AM758" s="9"/>
      <c r="AN758" s="9"/>
      <c r="AO758" s="9"/>
      <c r="AP758" s="9"/>
      <c r="AQ758" s="10"/>
      <c r="AR758" s="10"/>
      <c r="AS758" s="10"/>
      <c r="AT758" s="10"/>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c r="AL759" s="8"/>
      <c r="AM759" s="9"/>
      <c r="AN759" s="9"/>
      <c r="AO759" s="9"/>
      <c r="AP759" s="9"/>
      <c r="AQ759" s="10"/>
      <c r="AR759" s="10"/>
      <c r="AS759" s="10"/>
      <c r="AT759" s="10"/>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c r="AL760" s="8"/>
      <c r="AM760" s="9"/>
      <c r="AN760" s="9"/>
      <c r="AO760" s="9"/>
      <c r="AP760" s="9"/>
      <c r="AQ760" s="10"/>
      <c r="AR760" s="10"/>
      <c r="AS760" s="10"/>
      <c r="AT760" s="10"/>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c r="AL761" s="8"/>
      <c r="AM761" s="9"/>
      <c r="AN761" s="9"/>
      <c r="AO761" s="9"/>
      <c r="AP761" s="9"/>
      <c r="AQ761" s="10"/>
      <c r="AR761" s="10"/>
      <c r="AS761" s="10"/>
      <c r="AT761" s="10"/>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c r="AM762" s="9"/>
      <c r="AN762" s="9"/>
      <c r="AO762" s="9"/>
      <c r="AP762" s="9"/>
      <c r="AQ762" s="10"/>
      <c r="AR762" s="10"/>
      <c r="AS762" s="10"/>
      <c r="AT762" s="10"/>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c r="AM763" s="9"/>
      <c r="AN763" s="9"/>
      <c r="AO763" s="9"/>
      <c r="AP763" s="9"/>
      <c r="AQ763" s="10"/>
      <c r="AR763" s="10"/>
      <c r="AS763" s="10"/>
      <c r="AT763" s="10"/>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c r="AL764" s="8"/>
      <c r="AM764" s="9"/>
      <c r="AN764" s="9"/>
      <c r="AO764" s="9"/>
      <c r="AP764" s="9"/>
      <c r="AQ764" s="10"/>
      <c r="AR764" s="10"/>
      <c r="AS764" s="10"/>
      <c r="AT764" s="10"/>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c r="AL765" s="8"/>
      <c r="AM765" s="9"/>
      <c r="AN765" s="9"/>
      <c r="AO765" s="9"/>
      <c r="AP765" s="9"/>
      <c r="AQ765" s="10"/>
      <c r="AR765" s="10"/>
      <c r="AS765" s="10"/>
      <c r="AT765" s="10"/>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c r="AM766" s="9"/>
      <c r="AN766" s="9"/>
      <c r="AO766" s="9"/>
      <c r="AP766" s="9"/>
      <c r="AQ766" s="10"/>
      <c r="AR766" s="10"/>
      <c r="AS766" s="10"/>
      <c r="AT766" s="10"/>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c r="AL767" s="8"/>
      <c r="AM767" s="9"/>
      <c r="AN767" s="9"/>
      <c r="AO767" s="9"/>
      <c r="AP767" s="9"/>
      <c r="AQ767" s="10"/>
      <c r="AR767" s="10"/>
      <c r="AS767" s="10"/>
      <c r="AT767" s="10"/>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c r="AL768" s="8"/>
      <c r="AM768" s="9"/>
      <c r="AN768" s="9"/>
      <c r="AO768" s="9"/>
      <c r="AP768" s="9"/>
      <c r="AQ768" s="10"/>
      <c r="AR768" s="10"/>
      <c r="AS768" s="10"/>
      <c r="AT768" s="10"/>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c r="AM769" s="9"/>
      <c r="AN769" s="9"/>
      <c r="AO769" s="9"/>
      <c r="AP769" s="9"/>
      <c r="AQ769" s="10"/>
      <c r="AR769" s="10"/>
      <c r="AS769" s="10"/>
      <c r="AT769" s="10"/>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c r="AM770" s="9"/>
      <c r="AN770" s="9"/>
      <c r="AO770" s="9"/>
      <c r="AP770" s="9"/>
      <c r="AQ770" s="10"/>
      <c r="AR770" s="10"/>
      <c r="AS770" s="10"/>
      <c r="AT770" s="10"/>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c r="AM771" s="9"/>
      <c r="AN771" s="9"/>
      <c r="AO771" s="9"/>
      <c r="AP771" s="9"/>
      <c r="AQ771" s="10"/>
      <c r="AR771" s="10"/>
      <c r="AS771" s="10"/>
      <c r="AT771" s="10"/>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c r="AL772" s="8"/>
      <c r="AM772" s="9"/>
      <c r="AN772" s="9"/>
      <c r="AO772" s="9"/>
      <c r="AP772" s="9"/>
      <c r="AQ772" s="10"/>
      <c r="AR772" s="10"/>
      <c r="AS772" s="10"/>
      <c r="AT772" s="10"/>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c r="AL773" s="8"/>
      <c r="AM773" s="9"/>
      <c r="AN773" s="9"/>
      <c r="AO773" s="9"/>
      <c r="AP773" s="9"/>
      <c r="AQ773" s="10"/>
      <c r="AR773" s="10"/>
      <c r="AS773" s="10"/>
      <c r="AT773" s="10"/>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c r="AL774" s="8"/>
      <c r="AM774" s="9"/>
      <c r="AN774" s="9"/>
      <c r="AO774" s="9"/>
      <c r="AP774" s="9"/>
      <c r="AQ774" s="10"/>
      <c r="AR774" s="10"/>
      <c r="AS774" s="10"/>
      <c r="AT774" s="10"/>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c r="AL775" s="8"/>
      <c r="AM775" s="9"/>
      <c r="AN775" s="9"/>
      <c r="AO775" s="9"/>
      <c r="AP775" s="9"/>
      <c r="AQ775" s="10"/>
      <c r="AR775" s="10"/>
      <c r="AS775" s="10"/>
      <c r="AT775" s="10"/>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c r="AM776" s="9"/>
      <c r="AN776" s="9"/>
      <c r="AO776" s="9"/>
      <c r="AP776" s="9"/>
      <c r="AQ776" s="10"/>
      <c r="AR776" s="10"/>
      <c r="AS776" s="10"/>
      <c r="AT776" s="10"/>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c r="AM777" s="9"/>
      <c r="AN777" s="9"/>
      <c r="AO777" s="9"/>
      <c r="AP777" s="9"/>
      <c r="AQ777" s="10"/>
      <c r="AR777" s="10"/>
      <c r="AS777" s="10"/>
      <c r="AT777" s="10"/>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c r="AM778" s="9"/>
      <c r="AN778" s="9"/>
      <c r="AO778" s="9"/>
      <c r="AP778" s="9"/>
      <c r="AQ778" s="10"/>
      <c r="AR778" s="10"/>
      <c r="AS778" s="10"/>
      <c r="AT778" s="10"/>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c r="AM779" s="9"/>
      <c r="AN779" s="9"/>
      <c r="AO779" s="9"/>
      <c r="AP779" s="9"/>
      <c r="AQ779" s="10"/>
      <c r="AR779" s="10"/>
      <c r="AS779" s="10"/>
      <c r="AT779" s="10"/>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c r="AM780" s="9"/>
      <c r="AN780" s="9"/>
      <c r="AO780" s="9"/>
      <c r="AP780" s="9"/>
      <c r="AQ780" s="10"/>
      <c r="AR780" s="10"/>
      <c r="AS780" s="10"/>
      <c r="AT780" s="10"/>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c r="AM781" s="9"/>
      <c r="AN781" s="9"/>
      <c r="AO781" s="9"/>
      <c r="AP781" s="9"/>
      <c r="AQ781" s="10"/>
      <c r="AR781" s="10"/>
      <c r="AS781" s="10"/>
      <c r="AT781" s="10"/>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c r="AM782" s="9"/>
      <c r="AN782" s="9"/>
      <c r="AO782" s="9"/>
      <c r="AP782" s="9"/>
      <c r="AQ782" s="10"/>
      <c r="AR782" s="10"/>
      <c r="AS782" s="10"/>
      <c r="AT782" s="10"/>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c r="AL783" s="8"/>
      <c r="AM783" s="9"/>
      <c r="AN783" s="9"/>
      <c r="AO783" s="9"/>
      <c r="AP783" s="9"/>
      <c r="AQ783" s="10"/>
      <c r="AR783" s="10"/>
      <c r="AS783" s="10"/>
      <c r="AT783" s="10"/>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c r="AL784" s="8"/>
      <c r="AM784" s="9"/>
      <c r="AN784" s="9"/>
      <c r="AO784" s="9"/>
      <c r="AP784" s="9"/>
      <c r="AQ784" s="10"/>
      <c r="AR784" s="10"/>
      <c r="AS784" s="10"/>
      <c r="AT784" s="10"/>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c r="AM785" s="9"/>
      <c r="AN785" s="9"/>
      <c r="AO785" s="9"/>
      <c r="AP785" s="9"/>
      <c r="AQ785" s="10"/>
      <c r="AR785" s="10"/>
      <c r="AS785" s="10"/>
      <c r="AT785" s="10"/>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c r="AL786" s="8"/>
      <c r="AM786" s="9"/>
      <c r="AN786" s="9"/>
      <c r="AO786" s="9"/>
      <c r="AP786" s="9"/>
      <c r="AQ786" s="10"/>
      <c r="AR786" s="10"/>
      <c r="AS786" s="10"/>
      <c r="AT786" s="10"/>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K787" s="8"/>
      <c r="AL787" s="8"/>
      <c r="AM787" s="9"/>
      <c r="AN787" s="9"/>
      <c r="AO787" s="9"/>
      <c r="AP787" s="9"/>
      <c r="AQ787" s="10"/>
      <c r="AR787" s="10"/>
      <c r="AS787" s="10"/>
      <c r="AT787" s="10"/>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c r="AL788" s="8"/>
      <c r="AM788" s="9"/>
      <c r="AN788" s="9"/>
      <c r="AO788" s="9"/>
      <c r="AP788" s="9"/>
      <c r="AQ788" s="10"/>
      <c r="AR788" s="10"/>
      <c r="AS788" s="10"/>
      <c r="AT788" s="10"/>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c r="AL789" s="8"/>
      <c r="AM789" s="9"/>
      <c r="AN789" s="9"/>
      <c r="AO789" s="9"/>
      <c r="AP789" s="9"/>
      <c r="AQ789" s="10"/>
      <c r="AR789" s="10"/>
      <c r="AS789" s="10"/>
      <c r="AT789" s="10"/>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c r="AL790" s="8"/>
      <c r="AM790" s="9"/>
      <c r="AN790" s="9"/>
      <c r="AO790" s="9"/>
      <c r="AP790" s="9"/>
      <c r="AQ790" s="10"/>
      <c r="AR790" s="10"/>
      <c r="AS790" s="10"/>
      <c r="AT790" s="10"/>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c r="AM791" s="9"/>
      <c r="AN791" s="9"/>
      <c r="AO791" s="9"/>
      <c r="AP791" s="9"/>
      <c r="AQ791" s="10"/>
      <c r="AR791" s="10"/>
      <c r="AS791" s="10"/>
      <c r="AT791" s="10"/>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c r="AL792" s="8"/>
      <c r="AM792" s="9"/>
      <c r="AN792" s="9"/>
      <c r="AO792" s="9"/>
      <c r="AP792" s="9"/>
      <c r="AQ792" s="10"/>
      <c r="AR792" s="10"/>
      <c r="AS792" s="10"/>
      <c r="AT792" s="10"/>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c r="AK793" s="8"/>
      <c r="AL793" s="8"/>
      <c r="AM793" s="9"/>
      <c r="AN793" s="9"/>
      <c r="AO793" s="9"/>
      <c r="AP793" s="9"/>
      <c r="AQ793" s="10"/>
      <c r="AR793" s="10"/>
      <c r="AS793" s="10"/>
      <c r="AT793" s="10"/>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c r="AL794" s="8"/>
      <c r="AM794" s="9"/>
      <c r="AN794" s="9"/>
      <c r="AO794" s="9"/>
      <c r="AP794" s="9"/>
      <c r="AQ794" s="10"/>
      <c r="AR794" s="10"/>
      <c r="AS794" s="10"/>
      <c r="AT794" s="10"/>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c r="AM795" s="9"/>
      <c r="AN795" s="9"/>
      <c r="AO795" s="9"/>
      <c r="AP795" s="9"/>
      <c r="AQ795" s="10"/>
      <c r="AR795" s="10"/>
      <c r="AS795" s="10"/>
      <c r="AT795" s="10"/>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c r="AM796" s="9"/>
      <c r="AN796" s="9"/>
      <c r="AO796" s="9"/>
      <c r="AP796" s="9"/>
      <c r="AQ796" s="10"/>
      <c r="AR796" s="10"/>
      <c r="AS796" s="10"/>
      <c r="AT796" s="10"/>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K797" s="8"/>
      <c r="AL797" s="8"/>
      <c r="AM797" s="9"/>
      <c r="AN797" s="9"/>
      <c r="AO797" s="9"/>
      <c r="AP797" s="9"/>
      <c r="AQ797" s="10"/>
      <c r="AR797" s="10"/>
      <c r="AS797" s="10"/>
      <c r="AT797" s="10"/>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c r="AL798" s="8"/>
      <c r="AM798" s="9"/>
      <c r="AN798" s="9"/>
      <c r="AO798" s="9"/>
      <c r="AP798" s="9"/>
      <c r="AQ798" s="10"/>
      <c r="AR798" s="10"/>
      <c r="AS798" s="10"/>
      <c r="AT798" s="10"/>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c r="AL799" s="8"/>
      <c r="AM799" s="9"/>
      <c r="AN799" s="9"/>
      <c r="AO799" s="9"/>
      <c r="AP799" s="9"/>
      <c r="AQ799" s="10"/>
      <c r="AR799" s="10"/>
      <c r="AS799" s="10"/>
      <c r="AT799" s="10"/>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c r="AL800" s="8"/>
      <c r="AM800" s="9"/>
      <c r="AN800" s="9"/>
      <c r="AO800" s="9"/>
      <c r="AP800" s="9"/>
      <c r="AQ800" s="10"/>
      <c r="AR800" s="10"/>
      <c r="AS800" s="10"/>
      <c r="AT800" s="10"/>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K801" s="8"/>
      <c r="AL801" s="8"/>
      <c r="AM801" s="9"/>
      <c r="AN801" s="9"/>
      <c r="AO801" s="9"/>
      <c r="AP801" s="9"/>
      <c r="AQ801" s="10"/>
      <c r="AR801" s="10"/>
      <c r="AS801" s="10"/>
      <c r="AT801" s="10"/>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c r="AL802" s="8"/>
      <c r="AM802" s="9"/>
      <c r="AN802" s="9"/>
      <c r="AO802" s="9"/>
      <c r="AP802" s="9"/>
      <c r="AQ802" s="10"/>
      <c r="AR802" s="10"/>
      <c r="AS802" s="10"/>
      <c r="AT802" s="10"/>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c r="AL803" s="8"/>
      <c r="AM803" s="9"/>
      <c r="AN803" s="9"/>
      <c r="AO803" s="9"/>
      <c r="AP803" s="9"/>
      <c r="AQ803" s="10"/>
      <c r="AR803" s="10"/>
      <c r="AS803" s="10"/>
      <c r="AT803" s="10"/>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c r="AL804" s="8"/>
      <c r="AM804" s="9"/>
      <c r="AN804" s="9"/>
      <c r="AO804" s="9"/>
      <c r="AP804" s="9"/>
      <c r="AQ804" s="10"/>
      <c r="AR804" s="10"/>
      <c r="AS804" s="10"/>
      <c r="AT804" s="10"/>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c r="AL805" s="8"/>
      <c r="AM805" s="9"/>
      <c r="AN805" s="9"/>
      <c r="AO805" s="9"/>
      <c r="AP805" s="9"/>
      <c r="AQ805" s="10"/>
      <c r="AR805" s="10"/>
      <c r="AS805" s="10"/>
      <c r="AT805" s="10"/>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c r="AL806" s="8"/>
      <c r="AM806" s="9"/>
      <c r="AN806" s="9"/>
      <c r="AO806" s="9"/>
      <c r="AP806" s="9"/>
      <c r="AQ806" s="10"/>
      <c r="AR806" s="10"/>
      <c r="AS806" s="10"/>
      <c r="AT806" s="10"/>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c r="AL807" s="8"/>
      <c r="AM807" s="9"/>
      <c r="AN807" s="9"/>
      <c r="AO807" s="9"/>
      <c r="AP807" s="9"/>
      <c r="AQ807" s="10"/>
      <c r="AR807" s="10"/>
      <c r="AS807" s="10"/>
      <c r="AT807" s="10"/>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K808" s="8"/>
      <c r="AL808" s="8"/>
      <c r="AM808" s="9"/>
      <c r="AN808" s="9"/>
      <c r="AO808" s="9"/>
      <c r="AP808" s="9"/>
      <c r="AQ808" s="10"/>
      <c r="AR808" s="10"/>
      <c r="AS808" s="10"/>
      <c r="AT808" s="10"/>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K809" s="8"/>
      <c r="AL809" s="8"/>
      <c r="AM809" s="9"/>
      <c r="AN809" s="9"/>
      <c r="AO809" s="9"/>
      <c r="AP809" s="9"/>
      <c r="AQ809" s="10"/>
      <c r="AR809" s="10"/>
      <c r="AS809" s="10"/>
      <c r="AT809" s="10"/>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K810" s="8"/>
      <c r="AL810" s="8"/>
      <c r="AM810" s="9"/>
      <c r="AN810" s="9"/>
      <c r="AO810" s="9"/>
      <c r="AP810" s="9"/>
      <c r="AQ810" s="10"/>
      <c r="AR810" s="10"/>
      <c r="AS810" s="10"/>
      <c r="AT810" s="10"/>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c r="AL811" s="8"/>
      <c r="AM811" s="9"/>
      <c r="AN811" s="9"/>
      <c r="AO811" s="9"/>
      <c r="AP811" s="9"/>
      <c r="AQ811" s="10"/>
      <c r="AR811" s="10"/>
      <c r="AS811" s="10"/>
      <c r="AT811" s="10"/>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c r="AM812" s="9"/>
      <c r="AN812" s="9"/>
      <c r="AO812" s="9"/>
      <c r="AP812" s="9"/>
      <c r="AQ812" s="10"/>
      <c r="AR812" s="10"/>
      <c r="AS812" s="10"/>
      <c r="AT812" s="10"/>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c r="AL813" s="8"/>
      <c r="AM813" s="9"/>
      <c r="AN813" s="9"/>
      <c r="AO813" s="9"/>
      <c r="AP813" s="9"/>
      <c r="AQ813" s="10"/>
      <c r="AR813" s="10"/>
      <c r="AS813" s="10"/>
      <c r="AT813" s="10"/>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c r="AL814" s="8"/>
      <c r="AM814" s="9"/>
      <c r="AN814" s="9"/>
      <c r="AO814" s="9"/>
      <c r="AP814" s="9"/>
      <c r="AQ814" s="10"/>
      <c r="AR814" s="10"/>
      <c r="AS814" s="10"/>
      <c r="AT814" s="10"/>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c r="AL815" s="8"/>
      <c r="AM815" s="9"/>
      <c r="AN815" s="9"/>
      <c r="AO815" s="9"/>
      <c r="AP815" s="9"/>
      <c r="AQ815" s="10"/>
      <c r="AR815" s="10"/>
      <c r="AS815" s="10"/>
      <c r="AT815" s="10"/>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K816" s="8"/>
      <c r="AL816" s="8"/>
      <c r="AM816" s="9"/>
      <c r="AN816" s="9"/>
      <c r="AO816" s="9"/>
      <c r="AP816" s="9"/>
      <c r="AQ816" s="10"/>
      <c r="AR816" s="10"/>
      <c r="AS816" s="10"/>
      <c r="AT816" s="10"/>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c r="AK817" s="8"/>
      <c r="AL817" s="8"/>
      <c r="AM817" s="9"/>
      <c r="AN817" s="9"/>
      <c r="AO817" s="9"/>
      <c r="AP817" s="9"/>
      <c r="AQ817" s="10"/>
      <c r="AR817" s="10"/>
      <c r="AS817" s="10"/>
      <c r="AT817" s="10"/>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K818" s="8"/>
      <c r="AL818" s="8"/>
      <c r="AM818" s="9"/>
      <c r="AN818" s="9"/>
      <c r="AO818" s="9"/>
      <c r="AP818" s="9"/>
      <c r="AQ818" s="10"/>
      <c r="AR818" s="10"/>
      <c r="AS818" s="10"/>
      <c r="AT818" s="10"/>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K819" s="8"/>
      <c r="AL819" s="8"/>
      <c r="AM819" s="9"/>
      <c r="AN819" s="9"/>
      <c r="AO819" s="9"/>
      <c r="AP819" s="9"/>
      <c r="AQ819" s="10"/>
      <c r="AR819" s="10"/>
      <c r="AS819" s="10"/>
      <c r="AT819" s="10"/>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c r="AL820" s="8"/>
      <c r="AM820" s="9"/>
      <c r="AN820" s="9"/>
      <c r="AO820" s="9"/>
      <c r="AP820" s="9"/>
      <c r="AQ820" s="10"/>
      <c r="AR820" s="10"/>
      <c r="AS820" s="10"/>
      <c r="AT820" s="10"/>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c r="AL821" s="8"/>
      <c r="AM821" s="9"/>
      <c r="AN821" s="9"/>
      <c r="AO821" s="9"/>
      <c r="AP821" s="9"/>
      <c r="AQ821" s="10"/>
      <c r="AR821" s="10"/>
      <c r="AS821" s="10"/>
      <c r="AT821" s="10"/>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c r="AL822" s="8"/>
      <c r="AM822" s="9"/>
      <c r="AN822" s="9"/>
      <c r="AO822" s="9"/>
      <c r="AP822" s="9"/>
      <c r="AQ822" s="10"/>
      <c r="AR822" s="10"/>
      <c r="AS822" s="10"/>
      <c r="AT822" s="10"/>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c r="AK823" s="8"/>
      <c r="AL823" s="8"/>
      <c r="AM823" s="9"/>
      <c r="AN823" s="9"/>
      <c r="AO823" s="9"/>
      <c r="AP823" s="9"/>
      <c r="AQ823" s="10"/>
      <c r="AR823" s="10"/>
      <c r="AS823" s="10"/>
      <c r="AT823" s="10"/>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c r="AK824" s="8"/>
      <c r="AL824" s="8"/>
      <c r="AM824" s="9"/>
      <c r="AN824" s="9"/>
      <c r="AO824" s="9"/>
      <c r="AP824" s="9"/>
      <c r="AQ824" s="10"/>
      <c r="AR824" s="10"/>
      <c r="AS824" s="10"/>
      <c r="AT824" s="10"/>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K825" s="8"/>
      <c r="AL825" s="8"/>
      <c r="AM825" s="9"/>
      <c r="AN825" s="9"/>
      <c r="AO825" s="9"/>
      <c r="AP825" s="9"/>
      <c r="AQ825" s="10"/>
      <c r="AR825" s="10"/>
      <c r="AS825" s="10"/>
      <c r="AT825" s="10"/>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c r="AK826" s="8"/>
      <c r="AL826" s="8"/>
      <c r="AM826" s="9"/>
      <c r="AN826" s="9"/>
      <c r="AO826" s="9"/>
      <c r="AP826" s="9"/>
      <c r="AQ826" s="10"/>
      <c r="AR826" s="10"/>
      <c r="AS826" s="10"/>
      <c r="AT826" s="10"/>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c r="AK827" s="8"/>
      <c r="AL827" s="8"/>
      <c r="AM827" s="9"/>
      <c r="AN827" s="9"/>
      <c r="AO827" s="9"/>
      <c r="AP827" s="9"/>
      <c r="AQ827" s="10"/>
      <c r="AR827" s="10"/>
      <c r="AS827" s="10"/>
      <c r="AT827" s="10"/>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c r="AK828" s="8"/>
      <c r="AL828" s="8"/>
      <c r="AM828" s="9"/>
      <c r="AN828" s="9"/>
      <c r="AO828" s="9"/>
      <c r="AP828" s="9"/>
      <c r="AQ828" s="10"/>
      <c r="AR828" s="10"/>
      <c r="AS828" s="10"/>
      <c r="AT828" s="10"/>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c r="AL829" s="8"/>
      <c r="AM829" s="9"/>
      <c r="AN829" s="9"/>
      <c r="AO829" s="9"/>
      <c r="AP829" s="9"/>
      <c r="AQ829" s="10"/>
      <c r="AR829" s="10"/>
      <c r="AS829" s="10"/>
      <c r="AT829" s="10"/>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c r="AK830" s="8"/>
      <c r="AL830" s="8"/>
      <c r="AM830" s="9"/>
      <c r="AN830" s="9"/>
      <c r="AO830" s="9"/>
      <c r="AP830" s="9"/>
      <c r="AQ830" s="10"/>
      <c r="AR830" s="10"/>
      <c r="AS830" s="10"/>
      <c r="AT830" s="10"/>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c r="AL831" s="8"/>
      <c r="AM831" s="9"/>
      <c r="AN831" s="9"/>
      <c r="AO831" s="9"/>
      <c r="AP831" s="9"/>
      <c r="AQ831" s="10"/>
      <c r="AR831" s="10"/>
      <c r="AS831" s="10"/>
      <c r="AT831" s="10"/>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c r="AK832" s="8"/>
      <c r="AL832" s="8"/>
      <c r="AM832" s="9"/>
      <c r="AN832" s="9"/>
      <c r="AO832" s="9"/>
      <c r="AP832" s="9"/>
      <c r="AQ832" s="10"/>
      <c r="AR832" s="10"/>
      <c r="AS832" s="10"/>
      <c r="AT832" s="10"/>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c r="AL833" s="8"/>
      <c r="AM833" s="9"/>
      <c r="AN833" s="9"/>
      <c r="AO833" s="9"/>
      <c r="AP833" s="9"/>
      <c r="AQ833" s="10"/>
      <c r="AR833" s="10"/>
      <c r="AS833" s="10"/>
      <c r="AT833" s="10"/>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c r="AL834" s="8"/>
      <c r="AM834" s="9"/>
      <c r="AN834" s="9"/>
      <c r="AO834" s="9"/>
      <c r="AP834" s="9"/>
      <c r="AQ834" s="10"/>
      <c r="AR834" s="10"/>
      <c r="AS834" s="10"/>
      <c r="AT834" s="10"/>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K835" s="8"/>
      <c r="AL835" s="8"/>
      <c r="AM835" s="9"/>
      <c r="AN835" s="9"/>
      <c r="AO835" s="9"/>
      <c r="AP835" s="9"/>
      <c r="AQ835" s="10"/>
      <c r="AR835" s="10"/>
      <c r="AS835" s="10"/>
      <c r="AT835" s="10"/>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c r="AK836" s="8"/>
      <c r="AL836" s="8"/>
      <c r="AM836" s="9"/>
      <c r="AN836" s="9"/>
      <c r="AO836" s="9"/>
      <c r="AP836" s="9"/>
      <c r="AQ836" s="10"/>
      <c r="AR836" s="10"/>
      <c r="AS836" s="10"/>
      <c r="AT836" s="10"/>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c r="AL837" s="8"/>
      <c r="AM837" s="9"/>
      <c r="AN837" s="9"/>
      <c r="AO837" s="9"/>
      <c r="AP837" s="9"/>
      <c r="AQ837" s="10"/>
      <c r="AR837" s="10"/>
      <c r="AS837" s="10"/>
      <c r="AT837" s="10"/>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c r="AK838" s="8"/>
      <c r="AL838" s="8"/>
      <c r="AM838" s="9"/>
      <c r="AN838" s="9"/>
      <c r="AO838" s="9"/>
      <c r="AP838" s="9"/>
      <c r="AQ838" s="10"/>
      <c r="AR838" s="10"/>
      <c r="AS838" s="10"/>
      <c r="AT838" s="10"/>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c r="AM839" s="9"/>
      <c r="AN839" s="9"/>
      <c r="AO839" s="9"/>
      <c r="AP839" s="9"/>
      <c r="AQ839" s="10"/>
      <c r="AR839" s="10"/>
      <c r="AS839" s="10"/>
      <c r="AT839" s="10"/>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c r="AK840" s="8"/>
      <c r="AL840" s="8"/>
      <c r="AM840" s="9"/>
      <c r="AN840" s="9"/>
      <c r="AO840" s="9"/>
      <c r="AP840" s="9"/>
      <c r="AQ840" s="10"/>
      <c r="AR840" s="10"/>
      <c r="AS840" s="10"/>
      <c r="AT840" s="10"/>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c r="AL841" s="8"/>
      <c r="AM841" s="9"/>
      <c r="AN841" s="9"/>
      <c r="AO841" s="9"/>
      <c r="AP841" s="9"/>
      <c r="AQ841" s="10"/>
      <c r="AR841" s="10"/>
      <c r="AS841" s="10"/>
      <c r="AT841" s="10"/>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K842" s="8"/>
      <c r="AL842" s="8"/>
      <c r="AM842" s="9"/>
      <c r="AN842" s="9"/>
      <c r="AO842" s="9"/>
      <c r="AP842" s="9"/>
      <c r="AQ842" s="10"/>
      <c r="AR842" s="10"/>
      <c r="AS842" s="10"/>
      <c r="AT842" s="10"/>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c r="AL843" s="8"/>
      <c r="AM843" s="9"/>
      <c r="AN843" s="9"/>
      <c r="AO843" s="9"/>
      <c r="AP843" s="9"/>
      <c r="AQ843" s="10"/>
      <c r="AR843" s="10"/>
      <c r="AS843" s="10"/>
      <c r="AT843" s="10"/>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c r="AK844" s="8"/>
      <c r="AL844" s="8"/>
      <c r="AM844" s="9"/>
      <c r="AN844" s="9"/>
      <c r="AO844" s="9"/>
      <c r="AP844" s="9"/>
      <c r="AQ844" s="10"/>
      <c r="AR844" s="10"/>
      <c r="AS844" s="10"/>
      <c r="AT844" s="10"/>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K845" s="8"/>
      <c r="AL845" s="8"/>
      <c r="AM845" s="9"/>
      <c r="AN845" s="9"/>
      <c r="AO845" s="9"/>
      <c r="AP845" s="9"/>
      <c r="AQ845" s="10"/>
      <c r="AR845" s="10"/>
      <c r="AS845" s="10"/>
      <c r="AT845" s="10"/>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c r="AK846" s="8"/>
      <c r="AL846" s="8"/>
      <c r="AM846" s="9"/>
      <c r="AN846" s="9"/>
      <c r="AO846" s="9"/>
      <c r="AP846" s="9"/>
      <c r="AQ846" s="10"/>
      <c r="AR846" s="10"/>
      <c r="AS846" s="10"/>
      <c r="AT846" s="10"/>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c r="AL847" s="8"/>
      <c r="AM847" s="9"/>
      <c r="AN847" s="9"/>
      <c r="AO847" s="9"/>
      <c r="AP847" s="9"/>
      <c r="AQ847" s="10"/>
      <c r="AR847" s="10"/>
      <c r="AS847" s="10"/>
      <c r="AT847" s="10"/>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c r="AL848" s="8"/>
      <c r="AM848" s="9"/>
      <c r="AN848" s="9"/>
      <c r="AO848" s="9"/>
      <c r="AP848" s="9"/>
      <c r="AQ848" s="10"/>
      <c r="AR848" s="10"/>
      <c r="AS848" s="10"/>
      <c r="AT848" s="10"/>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c r="AL849" s="8"/>
      <c r="AM849" s="9"/>
      <c r="AN849" s="9"/>
      <c r="AO849" s="9"/>
      <c r="AP849" s="9"/>
      <c r="AQ849" s="10"/>
      <c r="AR849" s="10"/>
      <c r="AS849" s="10"/>
      <c r="AT849" s="10"/>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c r="AK850" s="8"/>
      <c r="AL850" s="8"/>
      <c r="AM850" s="9"/>
      <c r="AN850" s="9"/>
      <c r="AO850" s="9"/>
      <c r="AP850" s="9"/>
      <c r="AQ850" s="10"/>
      <c r="AR850" s="10"/>
      <c r="AS850" s="10"/>
      <c r="AT850" s="10"/>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c r="AL851" s="8"/>
      <c r="AM851" s="9"/>
      <c r="AN851" s="9"/>
      <c r="AO851" s="9"/>
      <c r="AP851" s="9"/>
      <c r="AQ851" s="10"/>
      <c r="AR851" s="10"/>
      <c r="AS851" s="10"/>
      <c r="AT851" s="10"/>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c r="AL852" s="8"/>
      <c r="AM852" s="9"/>
      <c r="AN852" s="9"/>
      <c r="AO852" s="9"/>
      <c r="AP852" s="9"/>
      <c r="AQ852" s="10"/>
      <c r="AR852" s="10"/>
      <c r="AS852" s="10"/>
      <c r="AT852" s="10"/>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c r="AK853" s="8"/>
      <c r="AL853" s="8"/>
      <c r="AM853" s="9"/>
      <c r="AN853" s="9"/>
      <c r="AO853" s="9"/>
      <c r="AP853" s="9"/>
      <c r="AQ853" s="10"/>
      <c r="AR853" s="10"/>
      <c r="AS853" s="10"/>
      <c r="AT853" s="10"/>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K854" s="8"/>
      <c r="AL854" s="8"/>
      <c r="AM854" s="9"/>
      <c r="AN854" s="9"/>
      <c r="AO854" s="9"/>
      <c r="AP854" s="9"/>
      <c r="AQ854" s="10"/>
      <c r="AR854" s="10"/>
      <c r="AS854" s="10"/>
      <c r="AT854" s="10"/>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c r="AK855" s="8"/>
      <c r="AL855" s="8"/>
      <c r="AM855" s="9"/>
      <c r="AN855" s="9"/>
      <c r="AO855" s="9"/>
      <c r="AP855" s="9"/>
      <c r="AQ855" s="10"/>
      <c r="AR855" s="10"/>
      <c r="AS855" s="10"/>
      <c r="AT855" s="10"/>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c r="AK856" s="8"/>
      <c r="AL856" s="8"/>
      <c r="AM856" s="9"/>
      <c r="AN856" s="9"/>
      <c r="AO856" s="9"/>
      <c r="AP856" s="9"/>
      <c r="AQ856" s="10"/>
      <c r="AR856" s="10"/>
      <c r="AS856" s="10"/>
      <c r="AT856" s="10"/>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K857" s="8"/>
      <c r="AL857" s="8"/>
      <c r="AM857" s="9"/>
      <c r="AN857" s="9"/>
      <c r="AO857" s="9"/>
      <c r="AP857" s="9"/>
      <c r="AQ857" s="10"/>
      <c r="AR857" s="10"/>
      <c r="AS857" s="10"/>
      <c r="AT857" s="10"/>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c r="AK858" s="8"/>
      <c r="AL858" s="8"/>
      <c r="AM858" s="9"/>
      <c r="AN858" s="9"/>
      <c r="AO858" s="9"/>
      <c r="AP858" s="9"/>
      <c r="AQ858" s="10"/>
      <c r="AR858" s="10"/>
      <c r="AS858" s="10"/>
      <c r="AT858" s="10"/>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K859" s="8"/>
      <c r="AL859" s="8"/>
      <c r="AM859" s="9"/>
      <c r="AN859" s="9"/>
      <c r="AO859" s="9"/>
      <c r="AP859" s="9"/>
      <c r="AQ859" s="10"/>
      <c r="AR859" s="10"/>
      <c r="AS859" s="10"/>
      <c r="AT859" s="10"/>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c r="AK860" s="8"/>
      <c r="AL860" s="8"/>
      <c r="AM860" s="9"/>
      <c r="AN860" s="9"/>
      <c r="AO860" s="9"/>
      <c r="AP860" s="9"/>
      <c r="AQ860" s="10"/>
      <c r="AR860" s="10"/>
      <c r="AS860" s="10"/>
      <c r="AT860" s="10"/>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c r="AL861" s="8"/>
      <c r="AM861" s="9"/>
      <c r="AN861" s="9"/>
      <c r="AO861" s="9"/>
      <c r="AP861" s="9"/>
      <c r="AQ861" s="10"/>
      <c r="AR861" s="10"/>
      <c r="AS861" s="10"/>
      <c r="AT861" s="10"/>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K862" s="8"/>
      <c r="AL862" s="8"/>
      <c r="AM862" s="9"/>
      <c r="AN862" s="9"/>
      <c r="AO862" s="9"/>
      <c r="AP862" s="9"/>
      <c r="AQ862" s="10"/>
      <c r="AR862" s="10"/>
      <c r="AS862" s="10"/>
      <c r="AT862" s="10"/>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K863" s="8"/>
      <c r="AL863" s="8"/>
      <c r="AM863" s="9"/>
      <c r="AN863" s="9"/>
      <c r="AO863" s="9"/>
      <c r="AP863" s="9"/>
      <c r="AQ863" s="10"/>
      <c r="AR863" s="10"/>
      <c r="AS863" s="10"/>
      <c r="AT863" s="10"/>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c r="AK864" s="8"/>
      <c r="AL864" s="8"/>
      <c r="AM864" s="9"/>
      <c r="AN864" s="9"/>
      <c r="AO864" s="9"/>
      <c r="AP864" s="9"/>
      <c r="AQ864" s="10"/>
      <c r="AR864" s="10"/>
      <c r="AS864" s="10"/>
      <c r="AT864" s="10"/>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c r="AL865" s="8"/>
      <c r="AM865" s="9"/>
      <c r="AN865" s="9"/>
      <c r="AO865" s="9"/>
      <c r="AP865" s="9"/>
      <c r="AQ865" s="10"/>
      <c r="AR865" s="10"/>
      <c r="AS865" s="10"/>
      <c r="AT865" s="10"/>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c r="AL866" s="8"/>
      <c r="AM866" s="9"/>
      <c r="AN866" s="9"/>
      <c r="AO866" s="9"/>
      <c r="AP866" s="9"/>
      <c r="AQ866" s="10"/>
      <c r="AR866" s="10"/>
      <c r="AS866" s="10"/>
      <c r="AT866" s="10"/>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c r="AL867" s="8"/>
      <c r="AM867" s="9"/>
      <c r="AN867" s="9"/>
      <c r="AO867" s="9"/>
      <c r="AP867" s="9"/>
      <c r="AQ867" s="10"/>
      <c r="AR867" s="10"/>
      <c r="AS867" s="10"/>
      <c r="AT867" s="10"/>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K868" s="8"/>
      <c r="AL868" s="8"/>
      <c r="AM868" s="9"/>
      <c r="AN868" s="9"/>
      <c r="AO868" s="9"/>
      <c r="AP868" s="9"/>
      <c r="AQ868" s="10"/>
      <c r="AR868" s="10"/>
      <c r="AS868" s="10"/>
      <c r="AT868" s="10"/>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c r="AL869" s="8"/>
      <c r="AM869" s="9"/>
      <c r="AN869" s="9"/>
      <c r="AO869" s="9"/>
      <c r="AP869" s="9"/>
      <c r="AQ869" s="10"/>
      <c r="AR869" s="10"/>
      <c r="AS869" s="10"/>
      <c r="AT869" s="10"/>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c r="AM870" s="9"/>
      <c r="AN870" s="9"/>
      <c r="AO870" s="9"/>
      <c r="AP870" s="9"/>
      <c r="AQ870" s="10"/>
      <c r="AR870" s="10"/>
      <c r="AS870" s="10"/>
      <c r="AT870" s="10"/>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c r="AM871" s="9"/>
      <c r="AN871" s="9"/>
      <c r="AO871" s="9"/>
      <c r="AP871" s="9"/>
      <c r="AQ871" s="10"/>
      <c r="AR871" s="10"/>
      <c r="AS871" s="10"/>
      <c r="AT871" s="10"/>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c r="AM872" s="9"/>
      <c r="AN872" s="9"/>
      <c r="AO872" s="9"/>
      <c r="AP872" s="9"/>
      <c r="AQ872" s="10"/>
      <c r="AR872" s="10"/>
      <c r="AS872" s="10"/>
      <c r="AT872" s="10"/>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c r="AL873" s="8"/>
      <c r="AM873" s="9"/>
      <c r="AN873" s="9"/>
      <c r="AO873" s="9"/>
      <c r="AP873" s="9"/>
      <c r="AQ873" s="10"/>
      <c r="AR873" s="10"/>
      <c r="AS873" s="10"/>
      <c r="AT873" s="10"/>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c r="AL874" s="8"/>
      <c r="AM874" s="9"/>
      <c r="AN874" s="9"/>
      <c r="AO874" s="9"/>
      <c r="AP874" s="9"/>
      <c r="AQ874" s="10"/>
      <c r="AR874" s="10"/>
      <c r="AS874" s="10"/>
      <c r="AT874" s="10"/>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c r="AL875" s="8"/>
      <c r="AM875" s="9"/>
      <c r="AN875" s="9"/>
      <c r="AO875" s="9"/>
      <c r="AP875" s="9"/>
      <c r="AQ875" s="10"/>
      <c r="AR875" s="10"/>
      <c r="AS875" s="10"/>
      <c r="AT875" s="10"/>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c r="AL876" s="8"/>
      <c r="AM876" s="9"/>
      <c r="AN876" s="9"/>
      <c r="AO876" s="9"/>
      <c r="AP876" s="9"/>
      <c r="AQ876" s="10"/>
      <c r="AR876" s="10"/>
      <c r="AS876" s="10"/>
      <c r="AT876" s="10"/>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c r="AL877" s="8"/>
      <c r="AM877" s="9"/>
      <c r="AN877" s="9"/>
      <c r="AO877" s="9"/>
      <c r="AP877" s="9"/>
      <c r="AQ877" s="10"/>
      <c r="AR877" s="10"/>
      <c r="AS877" s="10"/>
      <c r="AT877" s="10"/>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c r="AM878" s="9"/>
      <c r="AN878" s="9"/>
      <c r="AO878" s="9"/>
      <c r="AP878" s="9"/>
      <c r="AQ878" s="10"/>
      <c r="AR878" s="10"/>
      <c r="AS878" s="10"/>
      <c r="AT878" s="10"/>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c r="AM879" s="9"/>
      <c r="AN879" s="9"/>
      <c r="AO879" s="9"/>
      <c r="AP879" s="9"/>
      <c r="AQ879" s="10"/>
      <c r="AR879" s="10"/>
      <c r="AS879" s="10"/>
      <c r="AT879" s="10"/>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c r="AL880" s="8"/>
      <c r="AM880" s="9"/>
      <c r="AN880" s="9"/>
      <c r="AO880" s="9"/>
      <c r="AP880" s="9"/>
      <c r="AQ880" s="10"/>
      <c r="AR880" s="10"/>
      <c r="AS880" s="10"/>
      <c r="AT880" s="10"/>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c r="AM881" s="9"/>
      <c r="AN881" s="9"/>
      <c r="AO881" s="9"/>
      <c r="AP881" s="9"/>
      <c r="AQ881" s="10"/>
      <c r="AR881" s="10"/>
      <c r="AS881" s="10"/>
      <c r="AT881" s="10"/>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c r="AL882" s="8"/>
      <c r="AM882" s="9"/>
      <c r="AN882" s="9"/>
      <c r="AO882" s="9"/>
      <c r="AP882" s="9"/>
      <c r="AQ882" s="10"/>
      <c r="AR882" s="10"/>
      <c r="AS882" s="10"/>
      <c r="AT882" s="10"/>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c r="AL883" s="8"/>
      <c r="AM883" s="9"/>
      <c r="AN883" s="9"/>
      <c r="AO883" s="9"/>
      <c r="AP883" s="9"/>
      <c r="AQ883" s="10"/>
      <c r="AR883" s="10"/>
      <c r="AS883" s="10"/>
      <c r="AT883" s="10"/>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c r="AK884" s="8"/>
      <c r="AL884" s="8"/>
      <c r="AM884" s="9"/>
      <c r="AN884" s="9"/>
      <c r="AO884" s="9"/>
      <c r="AP884" s="9"/>
      <c r="AQ884" s="10"/>
      <c r="AR884" s="10"/>
      <c r="AS884" s="10"/>
      <c r="AT884" s="10"/>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c r="AL885" s="8"/>
      <c r="AM885" s="9"/>
      <c r="AN885" s="9"/>
      <c r="AO885" s="9"/>
      <c r="AP885" s="9"/>
      <c r="AQ885" s="10"/>
      <c r="AR885" s="10"/>
      <c r="AS885" s="10"/>
      <c r="AT885" s="10"/>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c r="AM886" s="9"/>
      <c r="AN886" s="9"/>
      <c r="AO886" s="9"/>
      <c r="AP886" s="9"/>
      <c r="AQ886" s="10"/>
      <c r="AR886" s="10"/>
      <c r="AS886" s="10"/>
      <c r="AT886" s="10"/>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c r="AL887" s="8"/>
      <c r="AM887" s="9"/>
      <c r="AN887" s="9"/>
      <c r="AO887" s="9"/>
      <c r="AP887" s="9"/>
      <c r="AQ887" s="10"/>
      <c r="AR887" s="10"/>
      <c r="AS887" s="10"/>
      <c r="AT887" s="10"/>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c r="AL888" s="8"/>
      <c r="AM888" s="9"/>
      <c r="AN888" s="9"/>
      <c r="AO888" s="9"/>
      <c r="AP888" s="9"/>
      <c r="AQ888" s="10"/>
      <c r="AR888" s="10"/>
      <c r="AS888" s="10"/>
      <c r="AT888" s="10"/>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c r="AL889" s="8"/>
      <c r="AM889" s="9"/>
      <c r="AN889" s="9"/>
      <c r="AO889" s="9"/>
      <c r="AP889" s="9"/>
      <c r="AQ889" s="10"/>
      <c r="AR889" s="10"/>
      <c r="AS889" s="10"/>
      <c r="AT889" s="10"/>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K890" s="8"/>
      <c r="AL890" s="8"/>
      <c r="AM890" s="9"/>
      <c r="AN890" s="9"/>
      <c r="AO890" s="9"/>
      <c r="AP890" s="9"/>
      <c r="AQ890" s="10"/>
      <c r="AR890" s="10"/>
      <c r="AS890" s="10"/>
      <c r="AT890" s="10"/>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c r="AL891" s="8"/>
      <c r="AM891" s="9"/>
      <c r="AN891" s="9"/>
      <c r="AO891" s="9"/>
      <c r="AP891" s="9"/>
      <c r="AQ891" s="10"/>
      <c r="AR891" s="10"/>
      <c r="AS891" s="10"/>
      <c r="AT891" s="10"/>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c r="AL892" s="8"/>
      <c r="AM892" s="9"/>
      <c r="AN892" s="9"/>
      <c r="AO892" s="9"/>
      <c r="AP892" s="9"/>
      <c r="AQ892" s="10"/>
      <c r="AR892" s="10"/>
      <c r="AS892" s="10"/>
      <c r="AT892" s="10"/>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c r="AL893" s="8"/>
      <c r="AM893" s="9"/>
      <c r="AN893" s="9"/>
      <c r="AO893" s="9"/>
      <c r="AP893" s="9"/>
      <c r="AQ893" s="10"/>
      <c r="AR893" s="10"/>
      <c r="AS893" s="10"/>
      <c r="AT893" s="10"/>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c r="AK894" s="8"/>
      <c r="AL894" s="8"/>
      <c r="AM894" s="9"/>
      <c r="AN894" s="9"/>
      <c r="AO894" s="9"/>
      <c r="AP894" s="9"/>
      <c r="AQ894" s="10"/>
      <c r="AR894" s="10"/>
      <c r="AS894" s="10"/>
      <c r="AT894" s="10"/>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K895" s="8"/>
      <c r="AL895" s="8"/>
      <c r="AM895" s="9"/>
      <c r="AN895" s="9"/>
      <c r="AO895" s="9"/>
      <c r="AP895" s="9"/>
      <c r="AQ895" s="10"/>
      <c r="AR895" s="10"/>
      <c r="AS895" s="10"/>
      <c r="AT895" s="10"/>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c r="AL896" s="8"/>
      <c r="AM896" s="9"/>
      <c r="AN896" s="9"/>
      <c r="AO896" s="9"/>
      <c r="AP896" s="9"/>
      <c r="AQ896" s="10"/>
      <c r="AR896" s="10"/>
      <c r="AS896" s="10"/>
      <c r="AT896" s="10"/>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K897" s="8"/>
      <c r="AL897" s="8"/>
      <c r="AM897" s="9"/>
      <c r="AN897" s="9"/>
      <c r="AO897" s="9"/>
      <c r="AP897" s="9"/>
      <c r="AQ897" s="10"/>
      <c r="AR897" s="10"/>
      <c r="AS897" s="10"/>
      <c r="AT897" s="10"/>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c r="AL898" s="8"/>
      <c r="AM898" s="9"/>
      <c r="AN898" s="9"/>
      <c r="AO898" s="9"/>
      <c r="AP898" s="9"/>
      <c r="AQ898" s="10"/>
      <c r="AR898" s="10"/>
      <c r="AS898" s="10"/>
      <c r="AT898" s="10"/>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c r="AK899" s="8"/>
      <c r="AL899" s="8"/>
      <c r="AM899" s="9"/>
      <c r="AN899" s="9"/>
      <c r="AO899" s="9"/>
      <c r="AP899" s="9"/>
      <c r="AQ899" s="10"/>
      <c r="AR899" s="10"/>
      <c r="AS899" s="10"/>
      <c r="AT899" s="10"/>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c r="AL900" s="8"/>
      <c r="AM900" s="9"/>
      <c r="AN900" s="9"/>
      <c r="AO900" s="9"/>
      <c r="AP900" s="9"/>
      <c r="AQ900" s="10"/>
      <c r="AR900" s="10"/>
      <c r="AS900" s="10"/>
      <c r="AT900" s="10"/>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K901" s="8"/>
      <c r="AL901" s="8"/>
      <c r="AM901" s="9"/>
      <c r="AN901" s="9"/>
      <c r="AO901" s="9"/>
      <c r="AP901" s="9"/>
      <c r="AQ901" s="10"/>
      <c r="AR901" s="10"/>
      <c r="AS901" s="10"/>
      <c r="AT901" s="10"/>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c r="AK902" s="8"/>
      <c r="AL902" s="8"/>
      <c r="AM902" s="9"/>
      <c r="AN902" s="9"/>
      <c r="AO902" s="9"/>
      <c r="AP902" s="9"/>
      <c r="AQ902" s="10"/>
      <c r="AR902" s="10"/>
      <c r="AS902" s="10"/>
      <c r="AT902" s="10"/>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K903" s="8"/>
      <c r="AL903" s="8"/>
      <c r="AM903" s="9"/>
      <c r="AN903" s="9"/>
      <c r="AO903" s="9"/>
      <c r="AP903" s="9"/>
      <c r="AQ903" s="10"/>
      <c r="AR903" s="10"/>
      <c r="AS903" s="10"/>
      <c r="AT903" s="10"/>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K904" s="8"/>
      <c r="AL904" s="8"/>
      <c r="AM904" s="9"/>
      <c r="AN904" s="9"/>
      <c r="AO904" s="9"/>
      <c r="AP904" s="9"/>
      <c r="AQ904" s="10"/>
      <c r="AR904" s="10"/>
      <c r="AS904" s="10"/>
      <c r="AT904" s="10"/>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K905" s="8"/>
      <c r="AL905" s="8"/>
      <c r="AM905" s="9"/>
      <c r="AN905" s="9"/>
      <c r="AO905" s="9"/>
      <c r="AP905" s="9"/>
      <c r="AQ905" s="10"/>
      <c r="AR905" s="10"/>
      <c r="AS905" s="10"/>
      <c r="AT905" s="10"/>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c r="AL906" s="8"/>
      <c r="AM906" s="9"/>
      <c r="AN906" s="9"/>
      <c r="AO906" s="9"/>
      <c r="AP906" s="9"/>
      <c r="AQ906" s="10"/>
      <c r="AR906" s="10"/>
      <c r="AS906" s="10"/>
      <c r="AT906" s="10"/>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c r="AL907" s="8"/>
      <c r="AM907" s="9"/>
      <c r="AN907" s="9"/>
      <c r="AO907" s="9"/>
      <c r="AP907" s="9"/>
      <c r="AQ907" s="10"/>
      <c r="AR907" s="10"/>
      <c r="AS907" s="10"/>
      <c r="AT907" s="10"/>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c r="AK908" s="8"/>
      <c r="AL908" s="8"/>
      <c r="AM908" s="9"/>
      <c r="AN908" s="9"/>
      <c r="AO908" s="9"/>
      <c r="AP908" s="9"/>
      <c r="AQ908" s="10"/>
      <c r="AR908" s="10"/>
      <c r="AS908" s="10"/>
      <c r="AT908" s="10"/>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c r="AL909" s="8"/>
      <c r="AM909" s="9"/>
      <c r="AN909" s="9"/>
      <c r="AO909" s="9"/>
      <c r="AP909" s="9"/>
      <c r="AQ909" s="10"/>
      <c r="AR909" s="10"/>
      <c r="AS909" s="10"/>
      <c r="AT909" s="10"/>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c r="AL910" s="8"/>
      <c r="AM910" s="9"/>
      <c r="AN910" s="9"/>
      <c r="AO910" s="9"/>
      <c r="AP910" s="9"/>
      <c r="AQ910" s="10"/>
      <c r="AR910" s="10"/>
      <c r="AS910" s="10"/>
      <c r="AT910" s="10"/>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c r="AL911" s="8"/>
      <c r="AM911" s="9"/>
      <c r="AN911" s="9"/>
      <c r="AO911" s="9"/>
      <c r="AP911" s="9"/>
      <c r="AQ911" s="10"/>
      <c r="AR911" s="10"/>
      <c r="AS911" s="10"/>
      <c r="AT911" s="10"/>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c r="AL912" s="8"/>
      <c r="AM912" s="9"/>
      <c r="AN912" s="9"/>
      <c r="AO912" s="9"/>
      <c r="AP912" s="9"/>
      <c r="AQ912" s="10"/>
      <c r="AR912" s="10"/>
      <c r="AS912" s="10"/>
      <c r="AT912" s="10"/>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c r="AK913" s="8"/>
      <c r="AL913" s="8"/>
      <c r="AM913" s="9"/>
      <c r="AN913" s="9"/>
      <c r="AO913" s="9"/>
      <c r="AP913" s="9"/>
      <c r="AQ913" s="10"/>
      <c r="AR913" s="10"/>
      <c r="AS913" s="10"/>
      <c r="AT913" s="10"/>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c r="AL914" s="8"/>
      <c r="AM914" s="9"/>
      <c r="AN914" s="9"/>
      <c r="AO914" s="9"/>
      <c r="AP914" s="9"/>
      <c r="AQ914" s="10"/>
      <c r="AR914" s="10"/>
      <c r="AS914" s="10"/>
      <c r="AT914" s="10"/>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c r="AL915" s="8"/>
      <c r="AM915" s="9"/>
      <c r="AN915" s="9"/>
      <c r="AO915" s="9"/>
      <c r="AP915" s="9"/>
      <c r="AQ915" s="10"/>
      <c r="AR915" s="10"/>
      <c r="AS915" s="10"/>
      <c r="AT915" s="10"/>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c r="AK916" s="8"/>
      <c r="AL916" s="8"/>
      <c r="AM916" s="9"/>
      <c r="AN916" s="9"/>
      <c r="AO916" s="9"/>
      <c r="AP916" s="9"/>
      <c r="AQ916" s="10"/>
      <c r="AR916" s="10"/>
      <c r="AS916" s="10"/>
      <c r="AT916" s="10"/>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K917" s="8"/>
      <c r="AL917" s="8"/>
      <c r="AM917" s="9"/>
      <c r="AN917" s="9"/>
      <c r="AO917" s="9"/>
      <c r="AP917" s="9"/>
      <c r="AQ917" s="10"/>
      <c r="AR917" s="10"/>
      <c r="AS917" s="10"/>
      <c r="AT917" s="10"/>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c r="AL918" s="8"/>
      <c r="AM918" s="9"/>
      <c r="AN918" s="9"/>
      <c r="AO918" s="9"/>
      <c r="AP918" s="9"/>
      <c r="AQ918" s="10"/>
      <c r="AR918" s="10"/>
      <c r="AS918" s="10"/>
      <c r="AT918" s="10"/>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c r="AL919" s="8"/>
      <c r="AM919" s="9"/>
      <c r="AN919" s="9"/>
      <c r="AO919" s="9"/>
      <c r="AP919" s="9"/>
      <c r="AQ919" s="10"/>
      <c r="AR919" s="10"/>
      <c r="AS919" s="10"/>
      <c r="AT919" s="10"/>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c r="AL920" s="8"/>
      <c r="AM920" s="9"/>
      <c r="AN920" s="9"/>
      <c r="AO920" s="9"/>
      <c r="AP920" s="9"/>
      <c r="AQ920" s="10"/>
      <c r="AR920" s="10"/>
      <c r="AS920" s="10"/>
      <c r="AT920" s="10"/>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c r="AL921" s="8"/>
      <c r="AM921" s="9"/>
      <c r="AN921" s="9"/>
      <c r="AO921" s="9"/>
      <c r="AP921" s="9"/>
      <c r="AQ921" s="10"/>
      <c r="AR921" s="10"/>
      <c r="AS921" s="10"/>
      <c r="AT921" s="10"/>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c r="AK922" s="8"/>
      <c r="AL922" s="8"/>
      <c r="AM922" s="9"/>
      <c r="AN922" s="9"/>
      <c r="AO922" s="9"/>
      <c r="AP922" s="9"/>
      <c r="AQ922" s="10"/>
      <c r="AR922" s="10"/>
      <c r="AS922" s="10"/>
      <c r="AT922" s="10"/>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c r="AL923" s="8"/>
      <c r="AM923" s="9"/>
      <c r="AN923" s="9"/>
      <c r="AO923" s="9"/>
      <c r="AP923" s="9"/>
      <c r="AQ923" s="10"/>
      <c r="AR923" s="10"/>
      <c r="AS923" s="10"/>
      <c r="AT923" s="10"/>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c r="AL924" s="8"/>
      <c r="AM924" s="9"/>
      <c r="AN924" s="9"/>
      <c r="AO924" s="9"/>
      <c r="AP924" s="9"/>
      <c r="AQ924" s="10"/>
      <c r="AR924" s="10"/>
      <c r="AS924" s="10"/>
      <c r="AT924" s="10"/>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c r="AL925" s="8"/>
      <c r="AM925" s="9"/>
      <c r="AN925" s="9"/>
      <c r="AO925" s="9"/>
      <c r="AP925" s="9"/>
      <c r="AQ925" s="10"/>
      <c r="AR925" s="10"/>
      <c r="AS925" s="10"/>
      <c r="AT925" s="10"/>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K926" s="8"/>
      <c r="AL926" s="8"/>
      <c r="AM926" s="9"/>
      <c r="AN926" s="9"/>
      <c r="AO926" s="9"/>
      <c r="AP926" s="9"/>
      <c r="AQ926" s="10"/>
      <c r="AR926" s="10"/>
      <c r="AS926" s="10"/>
      <c r="AT926" s="10"/>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c r="AK927" s="8"/>
      <c r="AL927" s="8"/>
      <c r="AM927" s="9"/>
      <c r="AN927" s="9"/>
      <c r="AO927" s="9"/>
      <c r="AP927" s="9"/>
      <c r="AQ927" s="10"/>
      <c r="AR927" s="10"/>
      <c r="AS927" s="10"/>
      <c r="AT927" s="10"/>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c r="AK928" s="8"/>
      <c r="AL928" s="8"/>
      <c r="AM928" s="9"/>
      <c r="AN928" s="9"/>
      <c r="AO928" s="9"/>
      <c r="AP928" s="9"/>
      <c r="AQ928" s="10"/>
      <c r="AR928" s="10"/>
      <c r="AS928" s="10"/>
      <c r="AT928" s="10"/>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c r="AK929" s="8"/>
      <c r="AL929" s="8"/>
      <c r="AM929" s="9"/>
      <c r="AN929" s="9"/>
      <c r="AO929" s="9"/>
      <c r="AP929" s="9"/>
      <c r="AQ929" s="10"/>
      <c r="AR929" s="10"/>
      <c r="AS929" s="10"/>
      <c r="AT929" s="10"/>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c r="AK930" s="8"/>
      <c r="AL930" s="8"/>
      <c r="AM930" s="9"/>
      <c r="AN930" s="9"/>
      <c r="AO930" s="9"/>
      <c r="AP930" s="9"/>
      <c r="AQ930" s="10"/>
      <c r="AR930" s="10"/>
      <c r="AS930" s="10"/>
      <c r="AT930" s="10"/>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c r="AK931" s="8"/>
      <c r="AL931" s="8"/>
      <c r="AM931" s="9"/>
      <c r="AN931" s="9"/>
      <c r="AO931" s="9"/>
      <c r="AP931" s="9"/>
      <c r="AQ931" s="10"/>
      <c r="AR931" s="10"/>
      <c r="AS931" s="10"/>
      <c r="AT931" s="10"/>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c r="AL932" s="8"/>
      <c r="AM932" s="9"/>
      <c r="AN932" s="9"/>
      <c r="AO932" s="9"/>
      <c r="AP932" s="9"/>
      <c r="AQ932" s="10"/>
      <c r="AR932" s="10"/>
      <c r="AS932" s="10"/>
      <c r="AT932" s="10"/>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c r="AK933" s="8"/>
      <c r="AL933" s="8"/>
      <c r="AM933" s="9"/>
      <c r="AN933" s="9"/>
      <c r="AO933" s="9"/>
      <c r="AP933" s="9"/>
      <c r="AQ933" s="10"/>
      <c r="AR933" s="10"/>
      <c r="AS933" s="10"/>
      <c r="AT933" s="10"/>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K934" s="8"/>
      <c r="AL934" s="8"/>
      <c r="AM934" s="9"/>
      <c r="AN934" s="9"/>
      <c r="AO934" s="9"/>
      <c r="AP934" s="9"/>
      <c r="AQ934" s="10"/>
      <c r="AR934" s="10"/>
      <c r="AS934" s="10"/>
      <c r="AT934" s="10"/>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c r="AL935" s="8"/>
      <c r="AM935" s="9"/>
      <c r="AN935" s="9"/>
      <c r="AO935" s="9"/>
      <c r="AP935" s="9"/>
      <c r="AQ935" s="10"/>
      <c r="AR935" s="10"/>
      <c r="AS935" s="10"/>
      <c r="AT935" s="10"/>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c r="AL936" s="8"/>
      <c r="AM936" s="9"/>
      <c r="AN936" s="9"/>
      <c r="AO936" s="9"/>
      <c r="AP936" s="9"/>
      <c r="AQ936" s="10"/>
      <c r="AR936" s="10"/>
      <c r="AS936" s="10"/>
      <c r="AT936" s="10"/>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K937" s="8"/>
      <c r="AL937" s="8"/>
      <c r="AM937" s="9"/>
      <c r="AN937" s="9"/>
      <c r="AO937" s="9"/>
      <c r="AP937" s="9"/>
      <c r="AQ937" s="10"/>
      <c r="AR937" s="10"/>
      <c r="AS937" s="10"/>
      <c r="AT937" s="10"/>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c r="AK938" s="8"/>
      <c r="AL938" s="8"/>
      <c r="AM938" s="9"/>
      <c r="AN938" s="9"/>
      <c r="AO938" s="9"/>
      <c r="AP938" s="9"/>
      <c r="AQ938" s="10"/>
      <c r="AR938" s="10"/>
      <c r="AS938" s="10"/>
      <c r="AT938" s="10"/>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K939" s="8"/>
      <c r="AL939" s="8"/>
      <c r="AM939" s="9"/>
      <c r="AN939" s="9"/>
      <c r="AO939" s="9"/>
      <c r="AP939" s="9"/>
      <c r="AQ939" s="10"/>
      <c r="AR939" s="10"/>
      <c r="AS939" s="10"/>
      <c r="AT939" s="10"/>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c r="AL940" s="8"/>
      <c r="AM940" s="9"/>
      <c r="AN940" s="9"/>
      <c r="AO940" s="9"/>
      <c r="AP940" s="9"/>
      <c r="AQ940" s="10"/>
      <c r="AR940" s="10"/>
      <c r="AS940" s="10"/>
      <c r="AT940" s="10"/>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c r="AL941" s="8"/>
      <c r="AM941" s="9"/>
      <c r="AN941" s="9"/>
      <c r="AO941" s="9"/>
      <c r="AP941" s="9"/>
      <c r="AQ941" s="10"/>
      <c r="AR941" s="10"/>
      <c r="AS941" s="10"/>
      <c r="AT941" s="10"/>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c r="AL942" s="8"/>
      <c r="AM942" s="9"/>
      <c r="AN942" s="9"/>
      <c r="AO942" s="9"/>
      <c r="AP942" s="9"/>
      <c r="AQ942" s="10"/>
      <c r="AR942" s="10"/>
      <c r="AS942" s="10"/>
      <c r="AT942" s="10"/>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c r="AK943" s="8"/>
      <c r="AL943" s="8"/>
      <c r="AM943" s="9"/>
      <c r="AN943" s="9"/>
      <c r="AO943" s="9"/>
      <c r="AP943" s="9"/>
      <c r="AQ943" s="10"/>
      <c r="AR943" s="10"/>
      <c r="AS943" s="10"/>
      <c r="AT943" s="10"/>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c r="AK944" s="8"/>
      <c r="AL944" s="8"/>
      <c r="AM944" s="9"/>
      <c r="AN944" s="9"/>
      <c r="AO944" s="9"/>
      <c r="AP944" s="9"/>
      <c r="AQ944" s="10"/>
      <c r="AR944" s="10"/>
      <c r="AS944" s="10"/>
      <c r="AT944" s="10"/>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c r="AK945" s="8"/>
      <c r="AL945" s="8"/>
      <c r="AM945" s="9"/>
      <c r="AN945" s="9"/>
      <c r="AO945" s="9"/>
      <c r="AP945" s="9"/>
      <c r="AQ945" s="10"/>
      <c r="AR945" s="10"/>
      <c r="AS945" s="10"/>
      <c r="AT945" s="10"/>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c r="AK946" s="8"/>
      <c r="AL946" s="8"/>
      <c r="AM946" s="9"/>
      <c r="AN946" s="9"/>
      <c r="AO946" s="9"/>
      <c r="AP946" s="9"/>
      <c r="AQ946" s="10"/>
      <c r="AR946" s="10"/>
      <c r="AS946" s="10"/>
      <c r="AT946" s="10"/>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c r="AK947" s="8"/>
      <c r="AL947" s="8"/>
      <c r="AM947" s="9"/>
      <c r="AN947" s="9"/>
      <c r="AO947" s="9"/>
      <c r="AP947" s="9"/>
      <c r="AQ947" s="10"/>
      <c r="AR947" s="10"/>
      <c r="AS947" s="10"/>
      <c r="AT947" s="10"/>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c r="AK948" s="8"/>
      <c r="AL948" s="8"/>
      <c r="AM948" s="9"/>
      <c r="AN948" s="9"/>
      <c r="AO948" s="9"/>
      <c r="AP948" s="9"/>
      <c r="AQ948" s="10"/>
      <c r="AR948" s="10"/>
      <c r="AS948" s="10"/>
      <c r="AT948" s="10"/>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K949" s="8"/>
      <c r="AL949" s="8"/>
      <c r="AM949" s="9"/>
      <c r="AN949" s="9"/>
      <c r="AO949" s="9"/>
      <c r="AP949" s="9"/>
      <c r="AQ949" s="10"/>
      <c r="AR949" s="10"/>
      <c r="AS949" s="10"/>
      <c r="AT949" s="10"/>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K950" s="8"/>
      <c r="AL950" s="8"/>
      <c r="AM950" s="9"/>
      <c r="AN950" s="9"/>
      <c r="AO950" s="9"/>
      <c r="AP950" s="9"/>
      <c r="AQ950" s="10"/>
      <c r="AR950" s="10"/>
      <c r="AS950" s="10"/>
      <c r="AT950" s="10"/>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c r="AK951" s="8"/>
      <c r="AL951" s="8"/>
      <c r="AM951" s="9"/>
      <c r="AN951" s="9"/>
      <c r="AO951" s="9"/>
      <c r="AP951" s="9"/>
      <c r="AQ951" s="10"/>
      <c r="AR951" s="10"/>
      <c r="AS951" s="10"/>
      <c r="AT951" s="10"/>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c r="AK952" s="8"/>
      <c r="AL952" s="8"/>
      <c r="AM952" s="9"/>
      <c r="AN952" s="9"/>
      <c r="AO952" s="9"/>
      <c r="AP952" s="9"/>
      <c r="AQ952" s="10"/>
      <c r="AR952" s="10"/>
      <c r="AS952" s="10"/>
      <c r="AT952" s="10"/>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c r="AK953" s="8"/>
      <c r="AL953" s="8"/>
      <c r="AM953" s="9"/>
      <c r="AN953" s="9"/>
      <c r="AO953" s="9"/>
      <c r="AP953" s="9"/>
      <c r="AQ953" s="10"/>
      <c r="AR953" s="10"/>
      <c r="AS953" s="10"/>
      <c r="AT953" s="10"/>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c r="AK954" s="8"/>
      <c r="AL954" s="8"/>
      <c r="AM954" s="9"/>
      <c r="AN954" s="9"/>
      <c r="AO954" s="9"/>
      <c r="AP954" s="9"/>
      <c r="AQ954" s="10"/>
      <c r="AR954" s="10"/>
      <c r="AS954" s="10"/>
      <c r="AT954" s="10"/>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c r="AK955" s="8"/>
      <c r="AL955" s="8"/>
      <c r="AM955" s="9"/>
      <c r="AN955" s="9"/>
      <c r="AO955" s="9"/>
      <c r="AP955" s="9"/>
      <c r="AQ955" s="10"/>
      <c r="AR955" s="10"/>
      <c r="AS955" s="10"/>
      <c r="AT955" s="10"/>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c r="AK956" s="8"/>
      <c r="AL956" s="8"/>
      <c r="AM956" s="9"/>
      <c r="AN956" s="9"/>
      <c r="AO956" s="9"/>
      <c r="AP956" s="9"/>
      <c r="AQ956" s="10"/>
      <c r="AR956" s="10"/>
      <c r="AS956" s="10"/>
      <c r="AT956" s="10"/>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c r="AK957" s="8"/>
      <c r="AL957" s="8"/>
      <c r="AM957" s="9"/>
      <c r="AN957" s="9"/>
      <c r="AO957" s="9"/>
      <c r="AP957" s="9"/>
      <c r="AQ957" s="10"/>
      <c r="AR957" s="10"/>
      <c r="AS957" s="10"/>
      <c r="AT957" s="10"/>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c r="AK958" s="8"/>
      <c r="AL958" s="8"/>
      <c r="AM958" s="9"/>
      <c r="AN958" s="9"/>
      <c r="AO958" s="9"/>
      <c r="AP958" s="9"/>
      <c r="AQ958" s="10"/>
      <c r="AR958" s="10"/>
      <c r="AS958" s="10"/>
      <c r="AT958" s="10"/>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c r="AK959" s="8"/>
      <c r="AL959" s="8"/>
      <c r="AM959" s="9"/>
      <c r="AN959" s="9"/>
      <c r="AO959" s="9"/>
      <c r="AP959" s="9"/>
      <c r="AQ959" s="10"/>
      <c r="AR959" s="10"/>
      <c r="AS959" s="10"/>
      <c r="AT959" s="10"/>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c r="AK960" s="8"/>
      <c r="AL960" s="8"/>
      <c r="AM960" s="9"/>
      <c r="AN960" s="9"/>
      <c r="AO960" s="9"/>
      <c r="AP960" s="9"/>
      <c r="AQ960" s="10"/>
      <c r="AR960" s="10"/>
      <c r="AS960" s="10"/>
      <c r="AT960" s="10"/>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c r="AK961" s="8"/>
      <c r="AL961" s="8"/>
      <c r="AM961" s="9"/>
      <c r="AN961" s="9"/>
      <c r="AO961" s="9"/>
      <c r="AP961" s="9"/>
      <c r="AQ961" s="10"/>
      <c r="AR961" s="10"/>
      <c r="AS961" s="10"/>
      <c r="AT961" s="10"/>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c r="AK962" s="8"/>
      <c r="AL962" s="8"/>
      <c r="AM962" s="9"/>
      <c r="AN962" s="9"/>
      <c r="AO962" s="9"/>
      <c r="AP962" s="9"/>
      <c r="AQ962" s="10"/>
      <c r="AR962" s="10"/>
      <c r="AS962" s="10"/>
      <c r="AT962" s="10"/>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c r="AK963" s="8"/>
      <c r="AL963" s="8"/>
      <c r="AM963" s="9"/>
      <c r="AN963" s="9"/>
      <c r="AO963" s="9"/>
      <c r="AP963" s="9"/>
      <c r="AQ963" s="10"/>
      <c r="AR963" s="10"/>
      <c r="AS963" s="10"/>
      <c r="AT963" s="10"/>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c r="AK964" s="8"/>
      <c r="AL964" s="8"/>
      <c r="AM964" s="9"/>
      <c r="AN964" s="9"/>
      <c r="AO964" s="9"/>
      <c r="AP964" s="9"/>
      <c r="AQ964" s="10"/>
      <c r="AR964" s="10"/>
      <c r="AS964" s="10"/>
      <c r="AT964" s="10"/>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c r="AK965" s="8"/>
      <c r="AL965" s="8"/>
      <c r="AM965" s="9"/>
      <c r="AN965" s="9"/>
      <c r="AO965" s="9"/>
      <c r="AP965" s="9"/>
      <c r="AQ965" s="10"/>
      <c r="AR965" s="10"/>
      <c r="AS965" s="10"/>
      <c r="AT965" s="10"/>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c r="AK966" s="8"/>
      <c r="AL966" s="8"/>
      <c r="AM966" s="9"/>
      <c r="AN966" s="9"/>
      <c r="AO966" s="9"/>
      <c r="AP966" s="9"/>
      <c r="AQ966" s="10"/>
      <c r="AR966" s="10"/>
      <c r="AS966" s="10"/>
      <c r="AT966" s="10"/>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c r="AK967" s="8"/>
      <c r="AL967" s="8"/>
      <c r="AM967" s="9"/>
      <c r="AN967" s="9"/>
      <c r="AO967" s="9"/>
      <c r="AP967" s="9"/>
      <c r="AQ967" s="10"/>
      <c r="AR967" s="10"/>
      <c r="AS967" s="10"/>
      <c r="AT967" s="10"/>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c r="AK968" s="8"/>
      <c r="AL968" s="8"/>
      <c r="AM968" s="9"/>
      <c r="AN968" s="9"/>
      <c r="AO968" s="9"/>
      <c r="AP968" s="9"/>
      <c r="AQ968" s="10"/>
      <c r="AR968" s="10"/>
      <c r="AS968" s="10"/>
      <c r="AT968" s="10"/>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c r="AK969" s="8"/>
      <c r="AL969" s="8"/>
      <c r="AM969" s="9"/>
      <c r="AN969" s="9"/>
      <c r="AO969" s="9"/>
      <c r="AP969" s="9"/>
      <c r="AQ969" s="10"/>
      <c r="AR969" s="10"/>
      <c r="AS969" s="10"/>
      <c r="AT969" s="10"/>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c r="AK970" s="8"/>
      <c r="AL970" s="8"/>
      <c r="AM970" s="9"/>
      <c r="AN970" s="9"/>
      <c r="AO970" s="9"/>
      <c r="AP970" s="9"/>
      <c r="AQ970" s="10"/>
      <c r="AR970" s="10"/>
      <c r="AS970" s="10"/>
      <c r="AT970" s="10"/>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c r="AK971" s="8"/>
      <c r="AL971" s="8"/>
      <c r="AM971" s="9"/>
      <c r="AN971" s="9"/>
      <c r="AO971" s="9"/>
      <c r="AP971" s="9"/>
      <c r="AQ971" s="10"/>
      <c r="AR971" s="10"/>
      <c r="AS971" s="10"/>
      <c r="AT971" s="10"/>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c r="AK972" s="8"/>
      <c r="AL972" s="8"/>
      <c r="AM972" s="9"/>
      <c r="AN972" s="9"/>
      <c r="AO972" s="9"/>
      <c r="AP972" s="9"/>
      <c r="AQ972" s="10"/>
      <c r="AR972" s="10"/>
      <c r="AS972" s="10"/>
      <c r="AT972" s="10"/>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c r="AK973" s="8"/>
      <c r="AL973" s="8"/>
      <c r="AM973" s="9"/>
      <c r="AN973" s="9"/>
      <c r="AO973" s="9"/>
      <c r="AP973" s="9"/>
      <c r="AQ973" s="10"/>
      <c r="AR973" s="10"/>
      <c r="AS973" s="10"/>
      <c r="AT973" s="10"/>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c r="AK974" s="8"/>
      <c r="AL974" s="8"/>
      <c r="AM974" s="9"/>
      <c r="AN974" s="9"/>
      <c r="AO974" s="9"/>
      <c r="AP974" s="9"/>
      <c r="AQ974" s="10"/>
      <c r="AR974" s="10"/>
      <c r="AS974" s="10"/>
      <c r="AT974" s="10"/>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c r="AK975" s="8"/>
      <c r="AL975" s="8"/>
      <c r="AM975" s="9"/>
      <c r="AN975" s="9"/>
      <c r="AO975" s="9"/>
      <c r="AP975" s="9"/>
      <c r="AQ975" s="10"/>
      <c r="AR975" s="10"/>
      <c r="AS975" s="10"/>
      <c r="AT975" s="10"/>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c r="AK976" s="8"/>
      <c r="AL976" s="8"/>
      <c r="AM976" s="9"/>
      <c r="AN976" s="9"/>
      <c r="AO976" s="9"/>
      <c r="AP976" s="9"/>
      <c r="AQ976" s="10"/>
      <c r="AR976" s="10"/>
      <c r="AS976" s="10"/>
      <c r="AT976" s="10"/>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c r="AK977" s="8"/>
      <c r="AL977" s="8"/>
      <c r="AM977" s="9"/>
      <c r="AN977" s="9"/>
      <c r="AO977" s="9"/>
      <c r="AP977" s="9"/>
      <c r="AQ977" s="10"/>
      <c r="AR977" s="10"/>
      <c r="AS977" s="10"/>
      <c r="AT977" s="10"/>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c r="AK978" s="8"/>
      <c r="AL978" s="8"/>
      <c r="AM978" s="9"/>
      <c r="AN978" s="9"/>
      <c r="AO978" s="9"/>
      <c r="AP978" s="9"/>
      <c r="AQ978" s="10"/>
      <c r="AR978" s="10"/>
      <c r="AS978" s="10"/>
      <c r="AT978" s="10"/>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c r="AK979" s="8"/>
      <c r="AL979" s="8"/>
      <c r="AM979" s="9"/>
      <c r="AN979" s="9"/>
      <c r="AO979" s="9"/>
      <c r="AP979" s="9"/>
      <c r="AQ979" s="10"/>
      <c r="AR979" s="10"/>
      <c r="AS979" s="10"/>
      <c r="AT979" s="10"/>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c r="AK980" s="8"/>
      <c r="AL980" s="8"/>
      <c r="AM980" s="9"/>
      <c r="AN980" s="9"/>
      <c r="AO980" s="9"/>
      <c r="AP980" s="9"/>
      <c r="AQ980" s="10"/>
      <c r="AR980" s="10"/>
      <c r="AS980" s="10"/>
      <c r="AT980" s="10"/>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c r="AK981" s="8"/>
      <c r="AL981" s="8"/>
      <c r="AM981" s="9"/>
      <c r="AN981" s="9"/>
      <c r="AO981" s="9"/>
      <c r="AP981" s="9"/>
      <c r="AQ981" s="10"/>
      <c r="AR981" s="10"/>
      <c r="AS981" s="10"/>
      <c r="AT981" s="10"/>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c r="AK982" s="8"/>
      <c r="AL982" s="8"/>
      <c r="AM982" s="9"/>
      <c r="AN982" s="9"/>
      <c r="AO982" s="9"/>
      <c r="AP982" s="9"/>
      <c r="AQ982" s="10"/>
      <c r="AR982" s="10"/>
      <c r="AS982" s="10"/>
      <c r="AT982" s="10"/>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c r="AK983" s="8"/>
      <c r="AL983" s="8"/>
      <c r="AM983" s="9"/>
      <c r="AN983" s="9"/>
      <c r="AO983" s="9"/>
      <c r="AP983" s="9"/>
      <c r="AQ983" s="10"/>
      <c r="AR983" s="10"/>
      <c r="AS983" s="10"/>
      <c r="AT983" s="10"/>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c r="AK984" s="8"/>
      <c r="AL984" s="8"/>
      <c r="AM984" s="9"/>
      <c r="AN984" s="9"/>
      <c r="AO984" s="9"/>
      <c r="AP984" s="9"/>
      <c r="AQ984" s="10"/>
      <c r="AR984" s="10"/>
      <c r="AS984" s="10"/>
      <c r="AT984" s="10"/>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c r="AK985" s="8"/>
      <c r="AL985" s="8"/>
      <c r="AM985" s="9"/>
      <c r="AN985" s="9"/>
      <c r="AO985" s="9"/>
      <c r="AP985" s="9"/>
      <c r="AQ985" s="10"/>
      <c r="AR985" s="10"/>
      <c r="AS985" s="10"/>
      <c r="AT985" s="10"/>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c r="AK986" s="8"/>
      <c r="AL986" s="8"/>
      <c r="AM986" s="9"/>
      <c r="AN986" s="9"/>
      <c r="AO986" s="9"/>
      <c r="AP986" s="9"/>
      <c r="AQ986" s="10"/>
      <c r="AR986" s="10"/>
      <c r="AS986" s="10"/>
      <c r="AT986" s="10"/>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c r="AK987" s="8"/>
      <c r="AL987" s="8"/>
      <c r="AM987" s="9"/>
      <c r="AN987" s="9"/>
      <c r="AO987" s="9"/>
      <c r="AP987" s="9"/>
      <c r="AQ987" s="10"/>
      <c r="AR987" s="10"/>
      <c r="AS987" s="10"/>
      <c r="AT987" s="10"/>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c r="AK988" s="8"/>
      <c r="AL988" s="8"/>
      <c r="AM988" s="9"/>
      <c r="AN988" s="9"/>
      <c r="AO988" s="9"/>
      <c r="AP988" s="9"/>
      <c r="AQ988" s="10"/>
      <c r="AR988" s="10"/>
      <c r="AS988" s="10"/>
      <c r="AT988" s="10"/>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c r="AK989" s="8"/>
      <c r="AL989" s="8"/>
      <c r="AM989" s="9"/>
      <c r="AN989" s="9"/>
      <c r="AO989" s="9"/>
      <c r="AP989" s="9"/>
      <c r="AQ989" s="10"/>
      <c r="AR989" s="10"/>
      <c r="AS989" s="10"/>
      <c r="AT989" s="10"/>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c r="AK990" s="8"/>
      <c r="AL990" s="8"/>
      <c r="AM990" s="9"/>
      <c r="AN990" s="9"/>
      <c r="AO990" s="9"/>
      <c r="AP990" s="9"/>
      <c r="AQ990" s="10"/>
      <c r="AR990" s="10"/>
      <c r="AS990" s="10"/>
      <c r="AT990" s="10"/>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c r="AK991" s="8"/>
      <c r="AL991" s="8"/>
      <c r="AM991" s="9"/>
      <c r="AN991" s="9"/>
      <c r="AO991" s="9"/>
      <c r="AP991" s="9"/>
      <c r="AQ991" s="10"/>
      <c r="AR991" s="10"/>
      <c r="AS991" s="10"/>
      <c r="AT991" s="10"/>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c r="AK992" s="8"/>
      <c r="AL992" s="8"/>
      <c r="AM992" s="9"/>
      <c r="AN992" s="9"/>
      <c r="AO992" s="9"/>
      <c r="AP992" s="9"/>
      <c r="AQ992" s="10"/>
      <c r="AR992" s="10"/>
      <c r="AS992" s="10"/>
      <c r="AT992" s="10"/>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c r="AK993" s="8"/>
      <c r="AL993" s="8"/>
      <c r="AM993" s="9"/>
      <c r="AN993" s="9"/>
      <c r="AO993" s="9"/>
      <c r="AP993" s="9"/>
      <c r="AQ993" s="10"/>
      <c r="AR993" s="10"/>
      <c r="AS993" s="10"/>
      <c r="AT993" s="10"/>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c r="AK994" s="8"/>
      <c r="AL994" s="8"/>
      <c r="AM994" s="9"/>
      <c r="AN994" s="9"/>
      <c r="AO994" s="9"/>
      <c r="AP994" s="9"/>
      <c r="AQ994" s="10"/>
      <c r="AR994" s="10"/>
      <c r="AS994" s="10"/>
      <c r="AT994" s="10"/>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c r="AK995" s="8"/>
      <c r="AL995" s="8"/>
      <c r="AM995" s="9"/>
      <c r="AN995" s="9"/>
      <c r="AO995" s="9"/>
      <c r="AP995" s="9"/>
      <c r="AQ995" s="10"/>
      <c r="AR995" s="10"/>
      <c r="AS995" s="10"/>
      <c r="AT995" s="10"/>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c r="AK996" s="8"/>
      <c r="AL996" s="8"/>
      <c r="AM996" s="9"/>
      <c r="AN996" s="9"/>
      <c r="AO996" s="9"/>
      <c r="AP996" s="9"/>
      <c r="AQ996" s="10"/>
      <c r="AR996" s="10"/>
      <c r="AS996" s="10"/>
      <c r="AT996" s="10"/>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c r="AK997" s="8"/>
      <c r="AL997" s="8"/>
      <c r="AM997" s="9"/>
      <c r="AN997" s="9"/>
      <c r="AO997" s="9"/>
      <c r="AP997" s="9"/>
      <c r="AQ997" s="10"/>
      <c r="AR997" s="10"/>
      <c r="AS997" s="10"/>
      <c r="AT997" s="10"/>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c r="AK998" s="8"/>
      <c r="AL998" s="8"/>
      <c r="AM998" s="9"/>
      <c r="AN998" s="9"/>
      <c r="AO998" s="9"/>
      <c r="AP998" s="9"/>
      <c r="AQ998" s="10"/>
      <c r="AR998" s="10"/>
      <c r="AS998" s="10"/>
      <c r="AT998" s="10"/>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38"/>
    <col customWidth="1" min="2" max="2" width="18.38"/>
    <col customWidth="1" min="3" max="4" width="15.75"/>
    <col customWidth="1" min="5" max="5" width="9.25"/>
    <col customWidth="1" min="8" max="8" width="3.75"/>
  </cols>
  <sheetData>
    <row r="1" ht="7.5" customHeight="1">
      <c r="A1" s="11"/>
      <c r="B1" s="12"/>
      <c r="C1" s="12"/>
      <c r="D1" s="12"/>
      <c r="E1" s="12"/>
      <c r="F1" s="12"/>
      <c r="G1" s="12"/>
      <c r="H1" s="11"/>
    </row>
    <row r="2">
      <c r="A2" s="11"/>
      <c r="B2" s="13" t="s">
        <v>173</v>
      </c>
      <c r="C2" s="14"/>
      <c r="D2" s="14"/>
      <c r="E2" s="14"/>
      <c r="F2" s="14"/>
      <c r="G2" s="15"/>
      <c r="H2" s="11"/>
    </row>
    <row r="3" ht="7.5" customHeight="1">
      <c r="A3" s="11"/>
      <c r="B3" s="11"/>
      <c r="C3" s="11"/>
      <c r="D3" s="11"/>
      <c r="E3" s="11"/>
      <c r="F3" s="11"/>
      <c r="G3" s="11"/>
      <c r="H3" s="11"/>
    </row>
    <row r="4">
      <c r="A4" s="11"/>
      <c r="B4" s="16" t="s">
        <v>174</v>
      </c>
      <c r="C4" s="17" t="s">
        <v>171</v>
      </c>
      <c r="H4" s="11"/>
    </row>
    <row r="5" ht="7.5" customHeight="1">
      <c r="A5" s="11"/>
      <c r="B5" s="11"/>
      <c r="C5" s="11"/>
      <c r="D5" s="11"/>
      <c r="E5" s="11"/>
      <c r="F5" s="11"/>
      <c r="G5" s="11"/>
      <c r="H5" s="11"/>
    </row>
    <row r="6">
      <c r="A6" s="11"/>
      <c r="B6" s="18" t="s">
        <v>175</v>
      </c>
      <c r="E6" s="19" t="s">
        <v>176</v>
      </c>
      <c r="H6" s="11"/>
    </row>
    <row r="7">
      <c r="A7" s="11"/>
      <c r="B7" s="20">
        <f>SUM(C9:D12)</f>
        <v>114</v>
      </c>
      <c r="C7" s="14"/>
      <c r="D7" s="15"/>
      <c r="E7" s="21">
        <f>B7*100/151</f>
        <v>75.49668874</v>
      </c>
      <c r="F7" s="14"/>
      <c r="G7" s="15"/>
      <c r="H7" s="11"/>
    </row>
    <row r="8" ht="7.5" customHeight="1">
      <c r="A8" s="22"/>
      <c r="B8" s="23"/>
      <c r="C8" s="24">
        <f>B7</f>
        <v>114</v>
      </c>
      <c r="D8" s="25" t="s">
        <v>177</v>
      </c>
      <c r="E8" s="26"/>
      <c r="F8" s="26"/>
      <c r="G8" s="26"/>
      <c r="H8" s="11"/>
    </row>
    <row r="9">
      <c r="B9" s="27" t="s">
        <v>178</v>
      </c>
      <c r="C9" s="28">
        <f t="array" ref="C9">IFERROR(VLOOKUP($C$4,DATOS!B:BA,38,FALSE),"-")</f>
        <v>56</v>
      </c>
      <c r="D9" s="15"/>
      <c r="E9" s="29" t="str">
        <f t="array" ref="E9">IFERROR(VLOOKUP($C$4,DATOS!B:BA,42,FALSE),"-") &amp; "%"</f>
        <v>86%</v>
      </c>
      <c r="F9" s="14"/>
      <c r="G9" s="15"/>
      <c r="H9" s="30">
        <f t="array" ref="H9">IFERROR(VLOOKUP($C$4,DATOS!B:BA,42,FALSE),"-")</f>
        <v>86</v>
      </c>
    </row>
    <row r="10">
      <c r="B10" s="31" t="s">
        <v>179</v>
      </c>
      <c r="C10" s="28">
        <f t="array" ref="C10">IFERROR(VLOOKUP($C$4,DATOS!B:BA,39,FALSE),"-")</f>
        <v>35</v>
      </c>
      <c r="D10" s="15"/>
      <c r="E10" s="29" t="str">
        <f t="array" ref="E10">IFERROR(VLOOKUP($C$4,DATOS!B:BA,43,FALSE),"-") &amp; "%"</f>
        <v>70%</v>
      </c>
      <c r="F10" s="14"/>
      <c r="G10" s="15"/>
      <c r="H10" s="30">
        <f t="array" ref="H10">IFERROR(VLOOKUP($C$4,DATOS!B:BA,43,FALSE),"-")</f>
        <v>70</v>
      </c>
    </row>
    <row r="11">
      <c r="B11" s="31" t="s">
        <v>180</v>
      </c>
      <c r="C11" s="28">
        <f t="array" ref="C11">IFERROR(VLOOKUP($C$4,DATOS!B:BA,40,FALSE),"-")</f>
        <v>19</v>
      </c>
      <c r="D11" s="15"/>
      <c r="E11" s="29" t="str">
        <f t="array" ref="E11">IFERROR(VLOOKUP($C$4,DATOS!B:BA,44,FALSE),"-") &amp; "%"</f>
        <v>79%</v>
      </c>
      <c r="F11" s="14"/>
      <c r="G11" s="15"/>
      <c r="H11" s="30">
        <f t="array" ref="H11">IFERROR(VLOOKUP($C$4,DATOS!B:BA,44,FALSE),"-")</f>
        <v>79</v>
      </c>
    </row>
    <row r="12">
      <c r="B12" s="31" t="s">
        <v>181</v>
      </c>
      <c r="C12" s="28">
        <f t="array" ref="C12">IFERROR(VLOOKUP($C$4,DATOS!B:BA,41,FALSE),"-")</f>
        <v>4</v>
      </c>
      <c r="D12" s="15"/>
      <c r="E12" s="29" t="str">
        <f t="array" ref="E12">IFERROR(VLOOKUP($C$4,DATOS!B:BA,45,FALSE),"-") &amp; "%"</f>
        <v>33%</v>
      </c>
      <c r="F12" s="14"/>
      <c r="G12" s="15"/>
      <c r="H12" s="30">
        <f t="array" ref="H12">IFERROR(VLOOKUP($C$4,DATOS!B:BA,45,FALSE),"-")</f>
        <v>33</v>
      </c>
    </row>
    <row r="13">
      <c r="A13" s="11"/>
      <c r="B13" s="11"/>
      <c r="C13" s="11"/>
      <c r="D13" s="11"/>
      <c r="E13" s="11"/>
      <c r="F13" s="11"/>
      <c r="G13" s="11"/>
      <c r="H13" s="11"/>
    </row>
    <row r="14" ht="288.75" customHeight="1">
      <c r="A14" s="11"/>
      <c r="H14" s="11"/>
    </row>
    <row r="15">
      <c r="A15" s="11"/>
      <c r="B15" s="32" t="s">
        <v>182</v>
      </c>
      <c r="H15" s="11"/>
    </row>
    <row r="16">
      <c r="A16" s="11"/>
      <c r="B16" s="33"/>
      <c r="C16" s="11"/>
      <c r="D16" s="11"/>
      <c r="E16" s="11"/>
      <c r="F16" s="11"/>
      <c r="G16" s="11"/>
      <c r="H16" s="11"/>
    </row>
  </sheetData>
  <mergeCells count="16">
    <mergeCell ref="B2:G2"/>
    <mergeCell ref="C4:G4"/>
    <mergeCell ref="B6:D6"/>
    <mergeCell ref="E6:G6"/>
    <mergeCell ref="B7:D7"/>
    <mergeCell ref="E7:G7"/>
    <mergeCell ref="D8:G8"/>
    <mergeCell ref="E12:G12"/>
    <mergeCell ref="B15:G15"/>
    <mergeCell ref="C9:D9"/>
    <mergeCell ref="E9:G9"/>
    <mergeCell ref="C10:D10"/>
    <mergeCell ref="E10:G10"/>
    <mergeCell ref="C11:D11"/>
    <mergeCell ref="E11:G11"/>
    <mergeCell ref="C12:D12"/>
  </mergeCells>
  <dataValidations>
    <dataValidation type="list" allowBlank="1" showErrorMessage="1" sqref="C4">
      <formula1>DATOS!$B$2:$B16</formula1>
    </dataValidation>
  </dataValidations>
  <printOptions gridLines="1" horizontalCentered="1"/>
  <pageMargins bottom="0.75" footer="0.0" header="0.0" left="0.7" right="0.7" top="0.75"/>
  <pageSetup fitToHeight="0" cellComments="atEnd" orientation="portrait" pageOrder="overThenDown"/>
  <drawing r:id="rId1"/>
</worksheet>
</file>