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" sheetId="1" r:id="rId5"/>
    <sheet state="visible" name="DASHBOARD" sheetId="2" r:id="rId6"/>
  </sheets>
  <definedNames/>
  <calcPr/>
</workbook>
</file>

<file path=xl/sharedStrings.xml><?xml version="1.0" encoding="utf-8"?>
<sst xmlns="http://schemas.openxmlformats.org/spreadsheetml/2006/main" count="145" uniqueCount="114">
  <si>
    <r>
      <rPr>
        <rFont val="Arial"/>
        <color theme="1"/>
      </rPr>
      <t>ID</t>
    </r>
    <r>
      <rPr>
        <rFont val="Arial"/>
        <color rgb="FFFFFFFF"/>
      </rPr>
      <t>|number-1</t>
    </r>
  </si>
  <si>
    <r>
      <rPr>
        <rFont val="Arial"/>
        <color theme="1"/>
      </rPr>
      <t>Nombre completo</t>
    </r>
    <r>
      <rPr>
        <rFont val="Arial"/>
        <color rgb="FFFFFFFF"/>
      </rPr>
      <t>|name-1</t>
    </r>
  </si>
  <si>
    <r>
      <rPr>
        <rFont val="Arial"/>
        <color theme="1"/>
      </rPr>
      <t>Sexo</t>
    </r>
    <r>
      <rPr>
        <rFont val="Arial"/>
        <color rgb="FFFFFFFF"/>
      </rPr>
      <t>|select-1</t>
    </r>
  </si>
  <si>
    <r>
      <rPr>
        <rFont val="Arial"/>
        <color theme="1"/>
      </rPr>
      <t>Edad</t>
    </r>
    <r>
      <rPr>
        <rFont val="Arial"/>
        <color rgb="FFFFFFFF"/>
      </rPr>
      <t>|number-2</t>
    </r>
  </si>
  <si>
    <r>
      <rPr>
        <rFont val="Arial"/>
        <color theme="1"/>
      </rPr>
      <t>Fecha de realización</t>
    </r>
    <r>
      <rPr>
        <rFont val="Arial"/>
        <color rgb="FFFFFFFF"/>
      </rPr>
      <t>|date-1</t>
    </r>
  </si>
  <si>
    <r>
      <rPr>
        <rFont val="Arial"/>
        <color theme="1"/>
      </rPr>
      <t>Hora de realización</t>
    </r>
    <r>
      <rPr>
        <rFont val="Arial"/>
        <color rgb="FFFFFFFF"/>
      </rPr>
      <t>|time-1</t>
    </r>
  </si>
  <si>
    <r>
      <rPr>
        <rFont val="Arial"/>
        <color theme="1"/>
      </rPr>
      <t>1.- Prefiero mantenerme callado(a) para evitarme problemas.</t>
    </r>
    <r>
      <rPr>
        <rFont val="Arial"/>
        <color rgb="FFFFFFFF"/>
      </rPr>
      <t>|radio-1</t>
    </r>
  </si>
  <si>
    <r>
      <rPr>
        <rFont val="Arial"/>
        <color theme="1"/>
      </rPr>
      <t>2.- Si un amigo (a) habla mal de mi persona le insulto.</t>
    </r>
    <r>
      <rPr>
        <rFont val="Arial"/>
        <color rgb="FFFFFFFF"/>
      </rPr>
      <t>|radio-2</t>
    </r>
  </si>
  <si>
    <t>3.- Si necesito ayuda la pido de buena manera.|radio-3</t>
  </si>
  <si>
    <t>4.- Si un amigo(a) se saca una buena nota en el examen no le felicito.|radio-4</t>
  </si>
  <si>
    <t>5.- Agradezco cuando alguien me ayuda.|radio-5</t>
  </si>
  <si>
    <t>6.- Me acerco a abrazar a mi amigo(a) cuando cumple años.|radio-6</t>
  </si>
  <si>
    <t>7.- Si un amigo(a) falta a una cita acordada le expreso mi amargura.|radio-7</t>
  </si>
  <si>
    <t>8.- Cuando me siento triste evito contar lo que me pasa.|radio-8</t>
  </si>
  <si>
    <t>9.- Le digo a mi amigo(a) cuando hace algo que no me agrada.|radio-9</t>
  </si>
  <si>
    <t>10.- Si una persona mayor me insulta me defiendo sin agredirlo, exigiendo mi derecho a ser respetado.|radio-10</t>
  </si>
  <si>
    <t>11.- Reclamo agresivamente con insultos, cuando alguien quiere entrar al cine sin hacer su cola.|radio-11</t>
  </si>
  <si>
    <t>12.- No hago caso cuando mis amigos (as) me presionan para consumir alcohol.|radio-12</t>
  </si>
  <si>
    <t>13.- Me distraigo fácilmente cuando una persona me habla.|radio-13</t>
  </si>
  <si>
    <t>14.- Pregunto cada vez que sea necesario para entender lo que me dicen.|radio-14</t>
  </si>
  <si>
    <t>15.- Miro a los ojos cuando alguien me habla.|radio-15</t>
  </si>
  <si>
    <t>16.- No pregunto a las personas si me he dejado comprender.|radio-16</t>
  </si>
  <si>
    <t>17.- Me dejo entender con facilidad cuando hablo.|radio-17</t>
  </si>
  <si>
    <t>18.- Utilizo un tono de voz con gestos apropiados para que me escuchen y me entiendan mejor.|radio-18</t>
  </si>
  <si>
    <t>19.- Expreso mis opiniones sin calcular las consecuencias.|radio-19</t>
  </si>
  <si>
    <t>20.- Si estoy "nervioso(a)" trato de relajarme para ordenar mis pensamientos.|radio-20</t>
  </si>
  <si>
    <t>21.- Antes de opinar ordeno mis ideas con calma.|radio-21</t>
  </si>
  <si>
    <t>22.- Evito hacer cosas que puedan dañar mi salud.|radio-22</t>
  </si>
  <si>
    <t>23.- No me siento contento(a) con mi aspecto físico.|radio-23</t>
  </si>
  <si>
    <t>24.- Me gusta verme arreglado (a).|radio-24</t>
  </si>
  <si>
    <t>25.- Puedo cambiar mi comportamiento cuando me doy cuenta que estoy equivocado/a. ​|radio-25</t>
  </si>
  <si>
    <t>26.- Me da vergüenza felicitar a un amigo(a) cuando realiza algo bueno.|radio-26</t>
  </si>
  <si>
    <t>27.- Reconozco fácilmente mis cualidades positivas y negativas.|radio-27</t>
  </si>
  <si>
    <t>28.- Puedo hablar sobre mis temores.|radio-28</t>
  </si>
  <si>
    <t>29.- Cuando algo me sale mal no sé cómo expresar mi cólera.|radio-29</t>
  </si>
  <si>
    <t>30.- Comparto mi alegría con mis amigos (as).|radio-30</t>
  </si>
  <si>
    <t>31.- Me esfuerzo para ser mejor estudiante.|radio-31</t>
  </si>
  <si>
    <t>32.- Puedo guardar los secretos de mis amigos (as).|radio-32</t>
  </si>
  <si>
    <t>33.- Rechazo hacer las tareas de la casa.|radio-33</t>
  </si>
  <si>
    <t>34.- Pienso en varias soluciones frente a un problema.|radio-34</t>
  </si>
  <si>
    <t>35.- Dejo que otros decidan por mí cuando no puedo solucionar un problema.|radio-35</t>
  </si>
  <si>
    <t>36.- Pienso en las posibles consecuencias de mis decisiones.|radio-36</t>
  </si>
  <si>
    <t>37.- Tomo decisiones importantes para mi futuro sin el apoyo de otras personas.|radio-37</t>
  </si>
  <si>
    <t>38.- Hago planes para mis vacaciones.|radio-38</t>
  </si>
  <si>
    <t>39.- Realizo cosas positivas que me ayudarán en mi futuro.|radio-39</t>
  </si>
  <si>
    <t>40.- Me cuesta decir no por miedo a ser criticado.|radio-40</t>
  </si>
  <si>
    <t>41.- Defiendo mi idea cuando veo que mis amigos(as) están equivocados (as).|radio-41</t>
  </si>
  <si>
    <t>42.- Si me presionan para ir a la playa escapándome del colegio, puedo rechazarlo sin sentir temor y vergüenza a los insultos.|radio-42</t>
  </si>
  <si>
    <r>
      <rPr>
        <rFont val="Arial"/>
        <b/>
        <color theme="1"/>
      </rPr>
      <t>Asertividad</t>
    </r>
    <r>
      <rPr>
        <rFont val="Arial"/>
        <b/>
        <color rgb="FFFFFFFF"/>
      </rPr>
      <t>|calculation-1</t>
    </r>
  </si>
  <si>
    <r>
      <rPr>
        <rFont val="Arial"/>
        <b/>
        <color rgb="FF000000"/>
      </rPr>
      <t>Comunicación</t>
    </r>
    <r>
      <rPr>
        <rFont val="Arial"/>
        <b/>
        <color rgb="FFFFFFFF"/>
      </rPr>
      <t>|calculation-2</t>
    </r>
  </si>
  <si>
    <r>
      <rPr>
        <rFont val="Arial"/>
        <b/>
        <color theme="1"/>
      </rPr>
      <t>Autoestima</t>
    </r>
    <r>
      <rPr>
        <rFont val="Arial"/>
        <b/>
        <color rgb="FFFFFFFF"/>
      </rPr>
      <t>|calculation-3</t>
    </r>
  </si>
  <si>
    <r>
      <rPr>
        <rFont val="Arial"/>
        <b/>
        <color theme="1"/>
      </rPr>
      <t>Toma de decisiones</t>
    </r>
    <r>
      <rPr>
        <rFont val="Arial"/>
        <b/>
        <color rgb="FFFFFFFF"/>
      </rPr>
      <t>|calculation-4</t>
    </r>
  </si>
  <si>
    <r>
      <rPr>
        <rFont val="Arial"/>
        <b/>
        <color theme="1"/>
      </rPr>
      <t>TOTAL</t>
    </r>
    <r>
      <rPr>
        <rFont val="Arial"/>
        <b/>
        <color rgb="FFFFFFFF"/>
      </rPr>
      <t>|calculation-5</t>
    </r>
  </si>
  <si>
    <t/>
  </si>
  <si>
    <t>Fernanda monserrath Rodriguez flores</t>
  </si>
  <si>
    <t>Femenino</t>
  </si>
  <si>
    <t>2023/12/14</t>
  </si>
  <si>
    <t>03:15 pm</t>
  </si>
  <si>
    <t>Jesús Fernando Martínez.</t>
  </si>
  <si>
    <t>Masculino</t>
  </si>
  <si>
    <t>2024/05/10</t>
  </si>
  <si>
    <t>08:45 pm</t>
  </si>
  <si>
    <t>America vanesa Tello tovar</t>
  </si>
  <si>
    <t>2024/05/21</t>
  </si>
  <si>
    <t>03:45 pm</t>
  </si>
  <si>
    <t>Julio Alberto Macnab Lopez</t>
  </si>
  <si>
    <t>2024/06/21</t>
  </si>
  <si>
    <t>12:00 pm</t>
  </si>
  <si>
    <t>edrey alejandro rodríguez moreno</t>
  </si>
  <si>
    <t>2024/07/05</t>
  </si>
  <si>
    <t>01:30 am</t>
  </si>
  <si>
    <t>Alan Emmanuel Cantú zavala</t>
  </si>
  <si>
    <t>2024/07/12</t>
  </si>
  <si>
    <t>03:00 pm</t>
  </si>
  <si>
    <t>Alex Eduardo Márquez Guzmán</t>
  </si>
  <si>
    <t>2024/07/15</t>
  </si>
  <si>
    <t>05:30 pm</t>
  </si>
  <si>
    <t>Maria eugenia suarez infante</t>
  </si>
  <si>
    <t>06:30 pm</t>
  </si>
  <si>
    <t>Mariana Gelinas Martín del Campo</t>
  </si>
  <si>
    <t>2024/07/29</t>
  </si>
  <si>
    <t>02:00 pm</t>
  </si>
  <si>
    <t>Britany Alin Marquez Guzman</t>
  </si>
  <si>
    <t>2024/07/30</t>
  </si>
  <si>
    <t>11:30 am</t>
  </si>
  <si>
    <t>María Valentina Sánchez campos</t>
  </si>
  <si>
    <t>2007/02/15</t>
  </si>
  <si>
    <t>10:15 am</t>
  </si>
  <si>
    <t>Ingrid Yatzary Alvarado Martínez</t>
  </si>
  <si>
    <t>2025/11/10</t>
  </si>
  <si>
    <t>12:45 pm</t>
  </si>
  <si>
    <t>Emmanuel Rodríguez Núñez</t>
  </si>
  <si>
    <t>2026/04/14</t>
  </si>
  <si>
    <t>08:00 am</t>
  </si>
  <si>
    <t>VALERIA LOPEZ mata</t>
  </si>
  <si>
    <t>2026/05/04</t>
  </si>
  <si>
    <t>09:45 pm</t>
  </si>
  <si>
    <t>Grettell Maite Coronado Cortes</t>
  </si>
  <si>
    <t>2026/06/08</t>
  </si>
  <si>
    <t>Evaluación de habilidades sociales</t>
  </si>
  <si>
    <t>NOMBRE</t>
  </si>
  <si>
    <t>ID</t>
  </si>
  <si>
    <t>TOTAL</t>
  </si>
  <si>
    <t>NIVEL</t>
  </si>
  <si>
    <t>Nivel del paciente</t>
  </si>
  <si>
    <t>Nivel mínimo de ansiedad</t>
  </si>
  <si>
    <t>Nivel leve de ansiedad</t>
  </si>
  <si>
    <t>Asertividad</t>
  </si>
  <si>
    <t>Nivel moderado de ansiedad</t>
  </si>
  <si>
    <t>Comunicación</t>
  </si>
  <si>
    <t>Nivel grave de ansiedad</t>
  </si>
  <si>
    <t>Autoestima</t>
  </si>
  <si>
    <t>Toma de decisiones</t>
  </si>
  <si>
    <r>
      <rPr>
        <rFont val="Arial"/>
        <color theme="1"/>
      </rPr>
      <t xml:space="preserve">Los puntajes que se ubiquen en la categoría de </t>
    </r>
    <r>
      <rPr>
        <rFont val="Arial"/>
        <b/>
        <color theme="1"/>
      </rPr>
      <t>Promedio</t>
    </r>
    <r>
      <rPr>
        <rFont val="Arial"/>
        <color theme="1"/>
      </rPr>
      <t xml:space="preserve"> en la suma total de las áreas corresponden a personas que requieren consolidar e incrementar sus habilidades sociales.
Los puntajes que se ubiquen en la categoría </t>
    </r>
    <r>
      <rPr>
        <rFont val="Arial"/>
        <b/>
        <color theme="1"/>
      </rPr>
      <t>Promedio Alto</t>
    </r>
    <r>
      <rPr>
        <rFont val="Arial"/>
        <color theme="1"/>
      </rPr>
      <t xml:space="preserve"> en la suma total serán consideradas como personas con adecuadas habilidades sociales.
Los puntajes que se ubiquen en la categoría </t>
    </r>
    <r>
      <rPr>
        <rFont val="Arial"/>
        <b/>
        <color theme="1"/>
      </rPr>
      <t>Alto y Muy Alto</t>
    </r>
    <r>
      <rPr>
        <rFont val="Arial"/>
        <color theme="1"/>
      </rPr>
      <t xml:space="preserve"> serán considerados como personas competentes en las habilidades sociales
Por el contrario las personas que se ubiquen en la categoría </t>
    </r>
    <r>
      <rPr>
        <rFont val="Arial"/>
        <b/>
        <color theme="1"/>
      </rPr>
      <t>Promedio Bajo</t>
    </r>
    <r>
      <rPr>
        <rFont val="Arial"/>
        <color theme="1"/>
      </rPr>
      <t xml:space="preserve">, serán calificadas como personas con habilidades sociales muy básicas y que requieren de un mayor incremento y reforzamiento para una mayor competencia.
Y por último los que se ubiquen en la categoría </t>
    </r>
    <r>
      <rPr>
        <rFont val="Arial"/>
        <b/>
        <color theme="1"/>
      </rPr>
      <t>Bajo y Muy Bajo</t>
    </r>
    <r>
      <rPr>
        <rFont val="Arial"/>
        <color theme="1"/>
      </rPr>
      <t>, serán consideradas como personas con déficit de habilidades sociales (autoestima, comunicación, asertividad y toma de decisiones), 10 cual 10 puede situar como un/una adolescente en riesgo.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</si>
</sst>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rgb="FFFFFFFF"/>
      <name val="Arial"/>
      <scheme val="minor"/>
    </font>
    <font>
      <color theme="1"/>
      <name val="Arial"/>
    </font>
    <font>
      <b/>
      <color theme="1"/>
      <name val="Arial"/>
    </font>
    <font/>
    <font>
      <color rgb="FF000000"/>
      <name val="Arial"/>
    </font>
    <font>
      <color rgb="FFFFFFFF"/>
      <name val="Arial"/>
    </font>
    <font>
      <strike/>
      <color rgb="FFFFFFFF"/>
      <name val="Arial"/>
    </font>
  </fonts>
  <fills count="8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999999"/>
        <bgColor rgb="FF999999"/>
      </patternFill>
    </fill>
    <fill>
      <patternFill patternType="solid">
        <fgColor rgb="FF33CCCC"/>
        <bgColor rgb="FF33CCCC"/>
      </patternFill>
    </fill>
  </fills>
  <borders count="8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2" fontId="1" numFmtId="0" xfId="0" applyAlignment="1" applyFill="1" applyFont="1">
      <alignment horizontal="left" readingOrder="0"/>
    </xf>
    <xf borderId="0" fillId="3" fontId="1" numFmtId="0" xfId="0" applyAlignment="1" applyFill="1" applyFont="1">
      <alignment horizontal="left" readingOrder="0"/>
    </xf>
    <xf borderId="0" fillId="4" fontId="2" numFmtId="0" xfId="0" applyAlignment="1" applyFill="1" applyFont="1">
      <alignment horizontal="left" readingOrder="0"/>
    </xf>
    <xf borderId="0" fillId="4" fontId="3" numFmtId="0" xfId="0" applyAlignment="1" applyFont="1">
      <alignment horizontal="left" readingOrder="0"/>
    </xf>
    <xf borderId="0" fillId="0" fontId="1" numFmtId="0" xfId="0" applyAlignment="1" applyFont="1">
      <alignment horizontal="center" readingOrder="0"/>
    </xf>
    <xf quotePrefix="1" borderId="0" fillId="0" fontId="1" numFmtId="0" xfId="0" applyAlignment="1" applyFont="1">
      <alignment horizontal="center" readingOrder="0"/>
    </xf>
    <xf borderId="0" fillId="2" fontId="1" numFmtId="0" xfId="0" applyAlignment="1" applyFont="1">
      <alignment horizontal="center" readingOrder="0"/>
    </xf>
    <xf borderId="0" fillId="3" fontId="1" numFmtId="0" xfId="0" applyAlignment="1" applyFont="1">
      <alignment horizontal="center" readingOrder="0"/>
    </xf>
    <xf borderId="0" fillId="2" fontId="2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2" fontId="1" numFmtId="0" xfId="0" applyAlignment="1" applyFont="1">
      <alignment horizontal="center"/>
    </xf>
    <xf borderId="0" fillId="3" fontId="1" numFmtId="0" xfId="0" applyAlignment="1" applyFont="1">
      <alignment horizontal="center"/>
    </xf>
    <xf borderId="0" fillId="2" fontId="2" numFmtId="0" xfId="0" applyAlignment="1" applyFont="1">
      <alignment horizontal="center"/>
    </xf>
    <xf borderId="0" fillId="0" fontId="4" numFmtId="0" xfId="0" applyAlignment="1" applyFont="1">
      <alignment vertical="bottom"/>
    </xf>
    <xf borderId="1" fillId="0" fontId="4" numFmtId="0" xfId="0" applyAlignment="1" applyBorder="1" applyFont="1">
      <alignment vertical="bottom"/>
    </xf>
    <xf borderId="2" fillId="5" fontId="5" numFmtId="0" xfId="0" applyAlignment="1" applyBorder="1" applyFill="1" applyFont="1">
      <alignment horizontal="center" readingOrder="0" vertical="bottom"/>
    </xf>
    <xf borderId="3" fillId="0" fontId="6" numFmtId="0" xfId="0" applyBorder="1" applyFont="1"/>
    <xf borderId="4" fillId="0" fontId="6" numFmtId="0" xfId="0" applyBorder="1" applyFont="1"/>
    <xf borderId="0" fillId="6" fontId="5" numFmtId="0" xfId="0" applyAlignment="1" applyFill="1" applyFont="1">
      <alignment horizontal="center" readingOrder="0" vertical="bottom"/>
    </xf>
    <xf borderId="0" fillId="3" fontId="5" numFmtId="0" xfId="0" applyAlignment="1" applyFont="1">
      <alignment horizontal="center" readingOrder="0" vertical="bottom"/>
    </xf>
    <xf borderId="0" fillId="7" fontId="5" numFmtId="0" xfId="0" applyAlignment="1" applyFill="1" applyFont="1">
      <alignment horizontal="center" vertical="bottom"/>
    </xf>
    <xf borderId="1" fillId="0" fontId="7" numFmtId="0" xfId="0" applyAlignment="1" applyBorder="1" applyFont="1">
      <alignment horizontal="center" readingOrder="0" vertical="bottom"/>
    </xf>
    <xf borderId="0" fillId="0" fontId="4" numFmtId="0" xfId="0" applyAlignment="1" applyFont="1">
      <alignment horizontal="center" vertical="bottom"/>
    </xf>
    <xf borderId="0" fillId="5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2" fillId="0" fontId="4" numFmtId="0" xfId="0" applyAlignment="1" applyBorder="1" applyFont="1">
      <alignment horizontal="center" vertical="bottom"/>
    </xf>
    <xf borderId="5" fillId="0" fontId="4" numFmtId="0" xfId="0" applyAlignment="1" applyBorder="1" applyFont="1">
      <alignment horizontal="center" vertical="bottom"/>
    </xf>
    <xf borderId="0" fillId="0" fontId="8" numFmtId="0" xfId="0" applyAlignment="1" applyFont="1">
      <alignment horizontal="center" vertical="bottom"/>
    </xf>
    <xf borderId="1" fillId="0" fontId="8" numFmtId="0" xfId="0" applyAlignment="1" applyBorder="1" applyFont="1">
      <alignment horizontal="center" vertical="bottom"/>
    </xf>
    <xf borderId="1" fillId="0" fontId="9" numFmtId="0" xfId="0" applyAlignment="1" applyBorder="1" applyFont="1">
      <alignment horizontal="center" vertical="bottom"/>
    </xf>
    <xf borderId="1" fillId="0" fontId="8" numFmtId="0" xfId="0" applyAlignment="1" applyBorder="1" applyFont="1">
      <alignment horizontal="center" readingOrder="0" vertical="bottom"/>
    </xf>
    <xf borderId="1" fillId="0" fontId="6" numFmtId="0" xfId="0" applyBorder="1" applyFont="1"/>
    <xf borderId="1" fillId="0" fontId="4" numFmtId="0" xfId="0" applyAlignment="1" applyBorder="1" applyFont="1">
      <alignment horizontal="center" vertical="bottom"/>
    </xf>
    <xf borderId="6" fillId="3" fontId="5" numFmtId="0" xfId="0" applyAlignment="1" applyBorder="1" applyFont="1">
      <alignment horizontal="center" vertical="bottom"/>
    </xf>
    <xf borderId="2" fillId="3" fontId="5" numFmtId="0" xfId="0" applyAlignment="1" applyBorder="1" applyFont="1">
      <alignment horizontal="center" vertical="bottom"/>
    </xf>
    <xf borderId="3" fillId="0" fontId="5" numFmtId="0" xfId="0" applyAlignment="1" applyBorder="1" applyFont="1">
      <alignment horizontal="center" vertical="bottom"/>
    </xf>
    <xf borderId="7" fillId="3" fontId="5" numFmtId="0" xfId="0" applyAlignment="1" applyBorder="1" applyFont="1">
      <alignment horizontal="center" readingOrder="0" vertical="bottom"/>
    </xf>
    <xf borderId="7" fillId="3" fontId="5" numFmtId="0" xfId="0" applyAlignment="1" applyBorder="1" applyFont="1">
      <alignment horizontal="center" vertical="bottom"/>
    </xf>
    <xf borderId="0" fillId="0" fontId="4" numFmtId="0" xfId="0" applyAlignment="1" applyFont="1">
      <alignment horizontal="left" readingOrder="0" shrinkToFit="0" vertical="bottom" wrapText="1"/>
    </xf>
  </cellXfs>
  <cellStyles count="1">
    <cellStyle xfId="0" name="Normal" builtinId="0"/>
  </cellStyles>
  <dxfs count="7">
    <dxf>
      <font>
        <color rgb="FFFFFFFF"/>
      </font>
      <fill>
        <patternFill patternType="solid">
          <fgColor rgb="FF980000"/>
          <bgColor rgb="FF980000"/>
        </patternFill>
      </fill>
      <border/>
    </dxf>
    <dxf>
      <font>
        <color rgb="FF000000"/>
      </font>
      <fill>
        <patternFill patternType="solid">
          <fgColor rgb="FFFF4500"/>
          <bgColor rgb="FFFF4500"/>
        </patternFill>
      </fill>
      <border/>
    </dxf>
    <dxf>
      <font>
        <color rgb="FF000000"/>
      </font>
      <fill>
        <patternFill patternType="solid">
          <fgColor rgb="FFFFA500"/>
          <bgColor rgb="FFFFA500"/>
        </patternFill>
      </fill>
      <border/>
    </dxf>
    <dxf>
      <font/>
      <fill>
        <patternFill patternType="solid">
          <fgColor rgb="FFFFD700"/>
          <bgColor rgb="FFFFD7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>
        <color rgb="FF000000"/>
      </font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25"/>
    <col customWidth="1" min="2" max="2" width="29.63"/>
    <col customWidth="1" min="3" max="3" width="11.13"/>
    <col customWidth="1" min="4" max="4" width="12.5"/>
    <col customWidth="1" min="5" max="5" width="21.5"/>
    <col customWidth="1" min="6" max="6" width="20.38"/>
    <col hidden="1" min="7" max="48" width="12.63"/>
    <col customWidth="1" min="49" max="49" width="20.75"/>
    <col customWidth="1" min="50" max="50" width="23.13"/>
    <col customWidth="1" min="51" max="51" width="20.75"/>
    <col customWidth="1" min="52" max="52" width="27.5"/>
    <col customWidth="1" min="53" max="53" width="1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4" t="s">
        <v>48</v>
      </c>
      <c r="AX1" s="5" t="s">
        <v>49</v>
      </c>
      <c r="AY1" s="4" t="s">
        <v>50</v>
      </c>
      <c r="AZ1" s="4" t="s">
        <v>51</v>
      </c>
      <c r="BA1" s="4" t="s">
        <v>52</v>
      </c>
    </row>
    <row r="2">
      <c r="A2" s="6" t="s">
        <v>53</v>
      </c>
      <c r="B2" s="6" t="s">
        <v>54</v>
      </c>
      <c r="C2" s="6" t="s">
        <v>55</v>
      </c>
      <c r="D2" s="6">
        <v>14.0</v>
      </c>
      <c r="E2" s="7" t="s">
        <v>56</v>
      </c>
      <c r="F2" s="6" t="s">
        <v>57</v>
      </c>
      <c r="G2" s="8">
        <v>4.0</v>
      </c>
      <c r="H2" s="8">
        <v>2.0</v>
      </c>
      <c r="I2" s="8">
        <v>4.0</v>
      </c>
      <c r="J2" s="8">
        <v>4.0</v>
      </c>
      <c r="K2" s="8">
        <v>5.0</v>
      </c>
      <c r="L2" s="8">
        <v>5.0</v>
      </c>
      <c r="M2" s="8">
        <v>4.0</v>
      </c>
      <c r="N2" s="8">
        <v>1.0</v>
      </c>
      <c r="O2" s="8">
        <v>3.0</v>
      </c>
      <c r="P2" s="8">
        <v>2.0</v>
      </c>
      <c r="Q2" s="8">
        <v>3.0</v>
      </c>
      <c r="R2" s="8">
        <v>2.0</v>
      </c>
      <c r="S2" s="9">
        <v>2.0</v>
      </c>
      <c r="T2" s="9">
        <v>5.0</v>
      </c>
      <c r="U2" s="9">
        <v>4.0</v>
      </c>
      <c r="V2" s="9">
        <v>2.0</v>
      </c>
      <c r="W2" s="9">
        <v>3.0</v>
      </c>
      <c r="X2" s="9">
        <v>4.0</v>
      </c>
      <c r="Y2" s="9">
        <v>1.0</v>
      </c>
      <c r="Z2" s="9">
        <v>2.0</v>
      </c>
      <c r="AA2" s="9">
        <v>1.0</v>
      </c>
      <c r="AB2" s="8">
        <v>3.0</v>
      </c>
      <c r="AC2" s="8">
        <v>3.0</v>
      </c>
      <c r="AD2" s="8">
        <v>5.0</v>
      </c>
      <c r="AE2" s="8">
        <v>4.0</v>
      </c>
      <c r="AF2" s="8">
        <v>5.0</v>
      </c>
      <c r="AG2" s="8">
        <v>4.0</v>
      </c>
      <c r="AH2" s="8">
        <v>2.0</v>
      </c>
      <c r="AI2" s="8">
        <v>4.0</v>
      </c>
      <c r="AJ2" s="8">
        <v>4.0</v>
      </c>
      <c r="AK2" s="8">
        <v>4.0</v>
      </c>
      <c r="AL2" s="8">
        <v>3.0</v>
      </c>
      <c r="AM2" s="8">
        <v>1.0</v>
      </c>
      <c r="AN2" s="9">
        <v>1.0</v>
      </c>
      <c r="AO2" s="9">
        <v>2.0</v>
      </c>
      <c r="AP2" s="9">
        <v>1.0</v>
      </c>
      <c r="AQ2" s="9">
        <v>3.0</v>
      </c>
      <c r="AR2" s="9">
        <v>2.0</v>
      </c>
      <c r="AS2" s="9">
        <v>2.0</v>
      </c>
      <c r="AT2" s="9">
        <v>2.0</v>
      </c>
      <c r="AU2" s="9">
        <v>4.0</v>
      </c>
      <c r="AV2" s="9">
        <v>3.0</v>
      </c>
      <c r="AW2" s="10">
        <v>39.0</v>
      </c>
      <c r="AX2" s="10">
        <v>24.0</v>
      </c>
      <c r="AY2" s="10">
        <v>42.0</v>
      </c>
      <c r="AZ2" s="10">
        <v>20.0</v>
      </c>
      <c r="BA2" s="10">
        <v>125.0</v>
      </c>
    </row>
    <row r="3">
      <c r="A3" s="6" t="s">
        <v>53</v>
      </c>
      <c r="B3" s="6" t="s">
        <v>58</v>
      </c>
      <c r="C3" s="6" t="s">
        <v>59</v>
      </c>
      <c r="D3" s="6">
        <v>29.0</v>
      </c>
      <c r="E3" s="7" t="s">
        <v>60</v>
      </c>
      <c r="F3" s="6" t="s">
        <v>61</v>
      </c>
      <c r="G3" s="8">
        <v>1.0</v>
      </c>
      <c r="H3" s="8">
        <v>3.0</v>
      </c>
      <c r="I3" s="8">
        <v>3.0</v>
      </c>
      <c r="J3" s="8">
        <v>2.0</v>
      </c>
      <c r="K3" s="8">
        <v>5.0</v>
      </c>
      <c r="L3" s="8">
        <v>3.0</v>
      </c>
      <c r="M3" s="8">
        <v>2.0</v>
      </c>
      <c r="N3" s="8">
        <v>1.0</v>
      </c>
      <c r="O3" s="8">
        <v>2.0</v>
      </c>
      <c r="P3" s="8">
        <v>2.0</v>
      </c>
      <c r="Q3" s="8">
        <v>4.0</v>
      </c>
      <c r="R3" s="8">
        <v>4.0</v>
      </c>
      <c r="S3" s="9">
        <v>2.0</v>
      </c>
      <c r="T3" s="9">
        <v>3.0</v>
      </c>
      <c r="U3" s="9">
        <v>2.0</v>
      </c>
      <c r="V3" s="9">
        <v>4.0</v>
      </c>
      <c r="W3" s="9">
        <v>2.0</v>
      </c>
      <c r="X3" s="9">
        <v>3.0</v>
      </c>
      <c r="Y3" s="9">
        <v>4.0</v>
      </c>
      <c r="Z3" s="9">
        <v>3.0</v>
      </c>
      <c r="AA3" s="9">
        <v>4.0</v>
      </c>
      <c r="AB3" s="8">
        <v>4.0</v>
      </c>
      <c r="AC3" s="8">
        <v>3.0</v>
      </c>
      <c r="AD3" s="8">
        <v>3.0</v>
      </c>
      <c r="AE3" s="8">
        <v>4.0</v>
      </c>
      <c r="AF3" s="8">
        <v>4.0</v>
      </c>
      <c r="AG3" s="8">
        <v>3.0</v>
      </c>
      <c r="AH3" s="8">
        <v>2.0</v>
      </c>
      <c r="AI3" s="8">
        <v>1.0</v>
      </c>
      <c r="AJ3" s="8">
        <v>1.0</v>
      </c>
      <c r="AK3" s="8">
        <v>2.0</v>
      </c>
      <c r="AL3" s="8">
        <v>5.0</v>
      </c>
      <c r="AM3" s="8">
        <v>4.0</v>
      </c>
      <c r="AN3" s="9">
        <v>4.0</v>
      </c>
      <c r="AO3" s="9">
        <v>1.0</v>
      </c>
      <c r="AP3" s="9">
        <v>5.0</v>
      </c>
      <c r="AQ3" s="9">
        <v>2.0</v>
      </c>
      <c r="AR3" s="9">
        <v>1.0</v>
      </c>
      <c r="AS3" s="9">
        <v>3.0</v>
      </c>
      <c r="AT3" s="9">
        <v>3.0</v>
      </c>
      <c r="AU3" s="9">
        <v>1.0</v>
      </c>
      <c r="AV3" s="9">
        <v>4.0</v>
      </c>
      <c r="AW3" s="10">
        <v>32.0</v>
      </c>
      <c r="AX3" s="10">
        <v>27.0</v>
      </c>
      <c r="AY3" s="10">
        <v>36.0</v>
      </c>
      <c r="AZ3" s="10">
        <v>24.0</v>
      </c>
      <c r="BA3" s="10">
        <v>119.0</v>
      </c>
    </row>
    <row r="4">
      <c r="A4" s="6" t="s">
        <v>53</v>
      </c>
      <c r="B4" s="6" t="s">
        <v>62</v>
      </c>
      <c r="C4" s="6" t="s">
        <v>55</v>
      </c>
      <c r="D4" s="6">
        <v>19.0</v>
      </c>
      <c r="E4" s="7" t="s">
        <v>63</v>
      </c>
      <c r="F4" s="6" t="s">
        <v>64</v>
      </c>
      <c r="G4" s="8">
        <v>3.0</v>
      </c>
      <c r="H4" s="8">
        <v>5.0</v>
      </c>
      <c r="I4" s="8">
        <v>5.0</v>
      </c>
      <c r="J4" s="8">
        <v>5.0</v>
      </c>
      <c r="K4" s="8">
        <v>5.0</v>
      </c>
      <c r="L4" s="8">
        <v>5.0</v>
      </c>
      <c r="M4" s="8">
        <v>3.0</v>
      </c>
      <c r="N4" s="8">
        <v>1.0</v>
      </c>
      <c r="O4" s="8">
        <v>2.0</v>
      </c>
      <c r="P4" s="8">
        <v>5.0</v>
      </c>
      <c r="Q4" s="8">
        <v>5.0</v>
      </c>
      <c r="R4" s="8">
        <v>5.0</v>
      </c>
      <c r="S4" s="9">
        <v>2.0</v>
      </c>
      <c r="T4" s="9">
        <v>3.0</v>
      </c>
      <c r="U4" s="9">
        <v>4.0</v>
      </c>
      <c r="V4" s="9">
        <v>3.0</v>
      </c>
      <c r="W4" s="9">
        <v>4.0</v>
      </c>
      <c r="X4" s="9">
        <v>5.0</v>
      </c>
      <c r="Y4" s="9">
        <v>3.0</v>
      </c>
      <c r="Z4" s="9">
        <v>4.0</v>
      </c>
      <c r="AA4" s="9">
        <v>4.0</v>
      </c>
      <c r="AB4" s="8">
        <v>3.0</v>
      </c>
      <c r="AC4" s="8">
        <v>1.0</v>
      </c>
      <c r="AD4" s="8">
        <v>5.0</v>
      </c>
      <c r="AE4" s="8">
        <v>5.0</v>
      </c>
      <c r="AF4" s="8">
        <v>5.0</v>
      </c>
      <c r="AG4" s="8">
        <v>4.0</v>
      </c>
      <c r="AH4" s="8">
        <v>3.0</v>
      </c>
      <c r="AI4" s="8">
        <v>2.0</v>
      </c>
      <c r="AJ4" s="8">
        <v>5.0</v>
      </c>
      <c r="AK4" s="8">
        <v>5.0</v>
      </c>
      <c r="AL4" s="8">
        <v>5.0</v>
      </c>
      <c r="AM4" s="8">
        <v>3.0</v>
      </c>
      <c r="AN4" s="9">
        <v>4.0</v>
      </c>
      <c r="AO4" s="9">
        <v>4.0</v>
      </c>
      <c r="AP4" s="9">
        <v>4.0</v>
      </c>
      <c r="AQ4" s="9">
        <v>3.0</v>
      </c>
      <c r="AR4" s="9">
        <v>3.0</v>
      </c>
      <c r="AS4" s="9">
        <v>5.0</v>
      </c>
      <c r="AT4" s="9">
        <v>1.0</v>
      </c>
      <c r="AU4" s="9">
        <v>4.0</v>
      </c>
      <c r="AV4" s="9">
        <v>5.0</v>
      </c>
      <c r="AW4" s="10">
        <v>49.0</v>
      </c>
      <c r="AX4" s="10">
        <v>32.0</v>
      </c>
      <c r="AY4" s="10">
        <v>46.0</v>
      </c>
      <c r="AZ4" s="10">
        <v>33.0</v>
      </c>
      <c r="BA4" s="10">
        <v>160.0</v>
      </c>
    </row>
    <row r="5">
      <c r="A5" s="6" t="s">
        <v>53</v>
      </c>
      <c r="B5" s="6" t="s">
        <v>65</v>
      </c>
      <c r="C5" s="6" t="s">
        <v>59</v>
      </c>
      <c r="D5" s="6">
        <v>28.0</v>
      </c>
      <c r="E5" s="7" t="s">
        <v>66</v>
      </c>
      <c r="F5" s="6" t="s">
        <v>67</v>
      </c>
      <c r="G5" s="8">
        <v>3.0</v>
      </c>
      <c r="H5" s="8">
        <v>5.0</v>
      </c>
      <c r="I5" s="8">
        <v>5.0</v>
      </c>
      <c r="J5" s="8">
        <v>5.0</v>
      </c>
      <c r="K5" s="8">
        <v>5.0</v>
      </c>
      <c r="L5" s="8">
        <v>4.0</v>
      </c>
      <c r="M5" s="8">
        <v>2.0</v>
      </c>
      <c r="N5" s="8">
        <v>3.0</v>
      </c>
      <c r="O5" s="8">
        <v>4.0</v>
      </c>
      <c r="P5" s="8">
        <v>4.0</v>
      </c>
      <c r="Q5" s="8">
        <v>4.0</v>
      </c>
      <c r="R5" s="8">
        <v>4.0</v>
      </c>
      <c r="S5" s="9">
        <v>4.0</v>
      </c>
      <c r="T5" s="9">
        <v>4.0</v>
      </c>
      <c r="U5" s="9">
        <v>4.0</v>
      </c>
      <c r="V5" s="9">
        <v>4.0</v>
      </c>
      <c r="W5" s="9">
        <v>4.0</v>
      </c>
      <c r="X5" s="9">
        <v>4.0</v>
      </c>
      <c r="Y5" s="9">
        <v>4.0</v>
      </c>
      <c r="Z5" s="9">
        <v>4.0</v>
      </c>
      <c r="AA5" s="9">
        <v>4.0</v>
      </c>
      <c r="AB5" s="8">
        <v>4.0</v>
      </c>
      <c r="AC5" s="8">
        <v>2.0</v>
      </c>
      <c r="AD5" s="8">
        <v>3.0</v>
      </c>
      <c r="AE5" s="8">
        <v>3.0</v>
      </c>
      <c r="AF5" s="8">
        <v>5.0</v>
      </c>
      <c r="AG5" s="8">
        <v>5.0</v>
      </c>
      <c r="AH5" s="8">
        <v>5.0</v>
      </c>
      <c r="AI5" s="8">
        <v>3.0</v>
      </c>
      <c r="AJ5" s="8">
        <v>4.0</v>
      </c>
      <c r="AK5" s="8">
        <v>4.0</v>
      </c>
      <c r="AL5" s="8">
        <v>5.0</v>
      </c>
      <c r="AM5" s="8">
        <v>4.0</v>
      </c>
      <c r="AN5" s="9">
        <v>4.0</v>
      </c>
      <c r="AO5" s="9">
        <v>5.0</v>
      </c>
      <c r="AP5" s="9">
        <v>5.0</v>
      </c>
      <c r="AQ5" s="9">
        <v>2.0</v>
      </c>
      <c r="AR5" s="9">
        <v>3.0</v>
      </c>
      <c r="AS5" s="9">
        <v>5.0</v>
      </c>
      <c r="AT5" s="9">
        <v>4.0</v>
      </c>
      <c r="AU5" s="9">
        <v>5.0</v>
      </c>
      <c r="AV5" s="9">
        <v>5.0</v>
      </c>
      <c r="AW5" s="10">
        <v>48.0</v>
      </c>
      <c r="AX5" s="10">
        <v>36.0</v>
      </c>
      <c r="AY5" s="10">
        <v>47.0</v>
      </c>
      <c r="AZ5" s="10">
        <v>38.0</v>
      </c>
      <c r="BA5" s="10">
        <v>169.0</v>
      </c>
    </row>
    <row r="6">
      <c r="A6" s="6" t="s">
        <v>53</v>
      </c>
      <c r="B6" s="6" t="s">
        <v>68</v>
      </c>
      <c r="C6" s="6" t="s">
        <v>59</v>
      </c>
      <c r="D6" s="6">
        <v>18.0</v>
      </c>
      <c r="E6" s="7" t="s">
        <v>69</v>
      </c>
      <c r="F6" s="6" t="s">
        <v>70</v>
      </c>
      <c r="G6" s="8">
        <v>4.0</v>
      </c>
      <c r="H6" s="8">
        <v>4.0</v>
      </c>
      <c r="I6" s="8">
        <v>3.0</v>
      </c>
      <c r="J6" s="8">
        <v>3.0</v>
      </c>
      <c r="K6" s="8">
        <v>5.0</v>
      </c>
      <c r="L6" s="8">
        <v>4.0</v>
      </c>
      <c r="M6" s="8">
        <v>4.0</v>
      </c>
      <c r="N6" s="8">
        <v>3.0</v>
      </c>
      <c r="O6" s="8">
        <v>4.0</v>
      </c>
      <c r="P6" s="8">
        <v>3.0</v>
      </c>
      <c r="Q6" s="8">
        <v>4.0</v>
      </c>
      <c r="R6" s="8">
        <v>4.0</v>
      </c>
      <c r="S6" s="9">
        <v>2.0</v>
      </c>
      <c r="T6" s="9">
        <v>5.0</v>
      </c>
      <c r="U6" s="9">
        <v>5.0</v>
      </c>
      <c r="V6" s="9">
        <v>3.0</v>
      </c>
      <c r="W6" s="9">
        <v>4.0</v>
      </c>
      <c r="X6" s="9">
        <v>5.0</v>
      </c>
      <c r="Y6" s="9">
        <v>2.0</v>
      </c>
      <c r="Z6" s="9">
        <v>2.0</v>
      </c>
      <c r="AA6" s="9">
        <v>2.0</v>
      </c>
      <c r="AB6" s="8">
        <v>2.0</v>
      </c>
      <c r="AC6" s="8">
        <v>3.0</v>
      </c>
      <c r="AD6" s="8">
        <v>5.0</v>
      </c>
      <c r="AE6" s="8">
        <v>4.0</v>
      </c>
      <c r="AF6" s="8">
        <v>4.0</v>
      </c>
      <c r="AG6" s="8">
        <v>3.0</v>
      </c>
      <c r="AH6" s="8">
        <v>4.0</v>
      </c>
      <c r="AI6" s="8">
        <v>2.0</v>
      </c>
      <c r="AJ6" s="8">
        <v>4.0</v>
      </c>
      <c r="AK6" s="8">
        <v>4.0</v>
      </c>
      <c r="AL6" s="8">
        <v>5.0</v>
      </c>
      <c r="AM6" s="8">
        <v>3.0</v>
      </c>
      <c r="AN6" s="9">
        <v>4.0</v>
      </c>
      <c r="AO6" s="9">
        <v>3.0</v>
      </c>
      <c r="AP6" s="9">
        <v>3.0</v>
      </c>
      <c r="AQ6" s="9">
        <v>2.0</v>
      </c>
      <c r="AR6" s="9">
        <v>3.0</v>
      </c>
      <c r="AS6" s="9">
        <v>4.0</v>
      </c>
      <c r="AT6" s="9">
        <v>5.0</v>
      </c>
      <c r="AU6" s="9">
        <v>4.0</v>
      </c>
      <c r="AV6" s="9">
        <v>5.0</v>
      </c>
      <c r="AW6" s="10">
        <v>45.0</v>
      </c>
      <c r="AX6" s="10">
        <v>30.0</v>
      </c>
      <c r="AY6" s="10">
        <v>43.0</v>
      </c>
      <c r="AZ6" s="10">
        <v>33.0</v>
      </c>
      <c r="BA6" s="10">
        <v>151.0</v>
      </c>
    </row>
    <row r="7">
      <c r="A7" s="6" t="s">
        <v>53</v>
      </c>
      <c r="B7" s="6" t="s">
        <v>71</v>
      </c>
      <c r="C7" s="6" t="s">
        <v>59</v>
      </c>
      <c r="D7" s="6">
        <v>14.0</v>
      </c>
      <c r="E7" s="7" t="s">
        <v>72</v>
      </c>
      <c r="F7" s="6" t="s">
        <v>73</v>
      </c>
      <c r="G7" s="8">
        <v>5.0</v>
      </c>
      <c r="H7" s="8">
        <v>5.0</v>
      </c>
      <c r="I7" s="8">
        <v>5.0</v>
      </c>
      <c r="J7" s="8">
        <v>4.0</v>
      </c>
      <c r="K7" s="8">
        <v>5.0</v>
      </c>
      <c r="L7" s="8">
        <v>5.0</v>
      </c>
      <c r="M7" s="8">
        <v>1.0</v>
      </c>
      <c r="N7" s="8">
        <v>5.0</v>
      </c>
      <c r="O7" s="8">
        <v>1.0</v>
      </c>
      <c r="P7" s="8">
        <v>5.0</v>
      </c>
      <c r="Q7" s="8">
        <v>5.0</v>
      </c>
      <c r="R7" s="8">
        <v>5.0</v>
      </c>
      <c r="S7" s="9">
        <v>2.0</v>
      </c>
      <c r="T7" s="9">
        <v>4.0</v>
      </c>
      <c r="U7" s="9">
        <v>4.0</v>
      </c>
      <c r="V7" s="9">
        <v>5.0</v>
      </c>
      <c r="W7" s="9">
        <v>4.0</v>
      </c>
      <c r="X7" s="9">
        <v>4.0</v>
      </c>
      <c r="Y7" s="9">
        <v>3.0</v>
      </c>
      <c r="Z7" s="9">
        <v>4.0</v>
      </c>
      <c r="AA7" s="9">
        <v>4.0</v>
      </c>
      <c r="AB7" s="8">
        <v>5.0</v>
      </c>
      <c r="AC7" s="8">
        <v>5.0</v>
      </c>
      <c r="AD7" s="8">
        <v>3.0</v>
      </c>
      <c r="AE7" s="8">
        <v>5.0</v>
      </c>
      <c r="AF7" s="8">
        <v>5.0</v>
      </c>
      <c r="AG7" s="8">
        <v>4.0</v>
      </c>
      <c r="AH7" s="8">
        <v>4.0</v>
      </c>
      <c r="AI7" s="8">
        <v>5.0</v>
      </c>
      <c r="AJ7" s="8">
        <v>3.0</v>
      </c>
      <c r="AK7" s="8">
        <v>1.0</v>
      </c>
      <c r="AL7" s="8">
        <v>5.0</v>
      </c>
      <c r="AM7" s="8">
        <v>3.0</v>
      </c>
      <c r="AN7" s="9">
        <v>5.0</v>
      </c>
      <c r="AO7" s="9">
        <v>5.0</v>
      </c>
      <c r="AP7" s="9">
        <v>1.0</v>
      </c>
      <c r="AQ7" s="9">
        <v>2.0</v>
      </c>
      <c r="AR7" s="9">
        <v>1.0</v>
      </c>
      <c r="AS7" s="9">
        <v>3.0</v>
      </c>
      <c r="AT7" s="9">
        <v>5.0</v>
      </c>
      <c r="AU7" s="9">
        <v>5.0</v>
      </c>
      <c r="AV7" s="9">
        <v>1.0</v>
      </c>
      <c r="AW7" s="10">
        <v>51.0</v>
      </c>
      <c r="AX7" s="10">
        <v>34.0</v>
      </c>
      <c r="AY7" s="10">
        <v>48.0</v>
      </c>
      <c r="AZ7" s="10">
        <v>28.0</v>
      </c>
      <c r="BA7" s="10">
        <v>161.0</v>
      </c>
    </row>
    <row r="8">
      <c r="A8" s="6" t="s">
        <v>53</v>
      </c>
      <c r="B8" s="6" t="s">
        <v>74</v>
      </c>
      <c r="C8" s="6" t="s">
        <v>59</v>
      </c>
      <c r="D8" s="6">
        <v>12.0</v>
      </c>
      <c r="E8" s="7" t="s">
        <v>75</v>
      </c>
      <c r="F8" s="6" t="s">
        <v>76</v>
      </c>
      <c r="G8" s="8">
        <v>4.0</v>
      </c>
      <c r="H8" s="8">
        <v>3.0</v>
      </c>
      <c r="I8" s="8">
        <v>5.0</v>
      </c>
      <c r="J8" s="8">
        <v>1.0</v>
      </c>
      <c r="K8" s="8">
        <v>5.0</v>
      </c>
      <c r="L8" s="8">
        <v>5.0</v>
      </c>
      <c r="M8" s="8">
        <v>3.0</v>
      </c>
      <c r="N8" s="8">
        <v>1.0</v>
      </c>
      <c r="O8" s="8">
        <v>3.0</v>
      </c>
      <c r="P8" s="8">
        <v>5.0</v>
      </c>
      <c r="Q8" s="8">
        <v>4.0</v>
      </c>
      <c r="R8" s="8">
        <v>1.0</v>
      </c>
      <c r="S8" s="9">
        <v>4.0</v>
      </c>
      <c r="T8" s="9">
        <v>5.0</v>
      </c>
      <c r="U8" s="9">
        <v>3.0</v>
      </c>
      <c r="V8" s="9">
        <v>5.0</v>
      </c>
      <c r="W8" s="9">
        <v>3.0</v>
      </c>
      <c r="X8" s="9">
        <v>4.0</v>
      </c>
      <c r="Y8" s="9">
        <v>1.0</v>
      </c>
      <c r="Z8" s="9">
        <v>4.0</v>
      </c>
      <c r="AA8" s="9">
        <v>2.0</v>
      </c>
      <c r="AB8" s="8">
        <v>3.0</v>
      </c>
      <c r="AC8" s="8">
        <v>1.0</v>
      </c>
      <c r="AD8" s="8">
        <v>5.0</v>
      </c>
      <c r="AE8" s="8">
        <v>4.0</v>
      </c>
      <c r="AF8" s="8">
        <v>5.0</v>
      </c>
      <c r="AG8" s="8">
        <v>5.0</v>
      </c>
      <c r="AH8" s="8">
        <v>2.0</v>
      </c>
      <c r="AI8" s="8">
        <v>3.0</v>
      </c>
      <c r="AJ8" s="8">
        <v>5.0</v>
      </c>
      <c r="AK8" s="8">
        <v>5.0</v>
      </c>
      <c r="AL8" s="8">
        <v>5.0</v>
      </c>
      <c r="AM8" s="8">
        <v>4.0</v>
      </c>
      <c r="AN8" s="9">
        <v>2.0</v>
      </c>
      <c r="AO8" s="9">
        <v>4.0</v>
      </c>
      <c r="AP8" s="9">
        <v>2.0</v>
      </c>
      <c r="AQ8" s="9">
        <v>3.0</v>
      </c>
      <c r="AR8" s="9">
        <v>2.0</v>
      </c>
      <c r="AS8" s="9">
        <v>3.0</v>
      </c>
      <c r="AT8" s="9">
        <v>5.0</v>
      </c>
      <c r="AU8" s="9">
        <v>5.0</v>
      </c>
      <c r="AV8" s="9">
        <v>5.0</v>
      </c>
      <c r="AW8" s="10">
        <v>40.0</v>
      </c>
      <c r="AX8" s="10">
        <v>31.0</v>
      </c>
      <c r="AY8" s="10">
        <v>47.0</v>
      </c>
      <c r="AZ8" s="10">
        <v>31.0</v>
      </c>
      <c r="BA8" s="10">
        <v>149.0</v>
      </c>
    </row>
    <row r="9">
      <c r="A9" s="6" t="s">
        <v>53</v>
      </c>
      <c r="B9" s="6" t="s">
        <v>77</v>
      </c>
      <c r="C9" s="6" t="s">
        <v>55</v>
      </c>
      <c r="D9" s="6">
        <v>29.0</v>
      </c>
      <c r="E9" s="7" t="s">
        <v>75</v>
      </c>
      <c r="F9" s="6" t="s">
        <v>78</v>
      </c>
      <c r="G9" s="8">
        <v>5.0</v>
      </c>
      <c r="H9" s="8">
        <v>3.0</v>
      </c>
      <c r="I9" s="8">
        <v>4.0</v>
      </c>
      <c r="J9" s="8">
        <v>5.0</v>
      </c>
      <c r="K9" s="8">
        <v>4.0</v>
      </c>
      <c r="L9" s="8">
        <v>5.0</v>
      </c>
      <c r="M9" s="8">
        <v>3.0</v>
      </c>
      <c r="N9" s="8">
        <v>3.0</v>
      </c>
      <c r="O9" s="8">
        <v>5.0</v>
      </c>
      <c r="P9" s="8">
        <v>5.0</v>
      </c>
      <c r="Q9" s="8">
        <v>3.0</v>
      </c>
      <c r="R9" s="8">
        <v>5.0</v>
      </c>
      <c r="S9" s="9">
        <v>4.0</v>
      </c>
      <c r="T9" s="9">
        <v>3.0</v>
      </c>
      <c r="U9" s="9">
        <v>5.0</v>
      </c>
      <c r="V9" s="9">
        <v>4.0</v>
      </c>
      <c r="W9" s="9">
        <v>5.0</v>
      </c>
      <c r="X9" s="9">
        <v>4.0</v>
      </c>
      <c r="Y9" s="9">
        <v>3.0</v>
      </c>
      <c r="Z9" s="9">
        <v>3.0</v>
      </c>
      <c r="AA9" s="9">
        <v>3.0</v>
      </c>
      <c r="AB9" s="8">
        <v>4.0</v>
      </c>
      <c r="AC9" s="8">
        <v>1.0</v>
      </c>
      <c r="AD9" s="8">
        <v>3.0</v>
      </c>
      <c r="AE9" s="8">
        <v>4.0</v>
      </c>
      <c r="AF9" s="8">
        <v>5.0</v>
      </c>
      <c r="AG9" s="8">
        <v>4.0</v>
      </c>
      <c r="AH9" s="8">
        <v>4.0</v>
      </c>
      <c r="AI9" s="8">
        <v>3.0</v>
      </c>
      <c r="AJ9" s="8">
        <v>5.0</v>
      </c>
      <c r="AK9" s="8">
        <v>5.0</v>
      </c>
      <c r="AL9" s="8">
        <v>5.0</v>
      </c>
      <c r="AM9" s="8">
        <v>4.0</v>
      </c>
      <c r="AN9" s="9">
        <v>4.0</v>
      </c>
      <c r="AO9" s="9">
        <v>4.0</v>
      </c>
      <c r="AP9" s="9">
        <v>4.0</v>
      </c>
      <c r="AQ9" s="9">
        <v>3.0</v>
      </c>
      <c r="AR9" s="9">
        <v>3.0</v>
      </c>
      <c r="AS9" s="9">
        <v>5.0</v>
      </c>
      <c r="AT9" s="9">
        <v>5.0</v>
      </c>
      <c r="AU9" s="9">
        <v>4.0</v>
      </c>
      <c r="AV9" s="9">
        <v>4.0</v>
      </c>
      <c r="AW9" s="10">
        <v>50.0</v>
      </c>
      <c r="AX9" s="10">
        <v>34.0</v>
      </c>
      <c r="AY9" s="10">
        <v>47.0</v>
      </c>
      <c r="AZ9" s="10">
        <v>36.0</v>
      </c>
      <c r="BA9" s="10">
        <v>167.0</v>
      </c>
    </row>
    <row r="10">
      <c r="A10" s="6" t="s">
        <v>53</v>
      </c>
      <c r="B10" s="6" t="s">
        <v>79</v>
      </c>
      <c r="C10" s="6" t="s">
        <v>55</v>
      </c>
      <c r="D10" s="6">
        <v>24.0</v>
      </c>
      <c r="E10" s="7" t="s">
        <v>80</v>
      </c>
      <c r="F10" s="6" t="s">
        <v>81</v>
      </c>
      <c r="G10" s="8">
        <v>5.0</v>
      </c>
      <c r="H10" s="8">
        <v>5.0</v>
      </c>
      <c r="I10" s="8">
        <v>4.0</v>
      </c>
      <c r="J10" s="8">
        <v>1.0</v>
      </c>
      <c r="K10" s="8">
        <v>5.0</v>
      </c>
      <c r="L10" s="8">
        <v>5.0</v>
      </c>
      <c r="M10" s="8">
        <v>1.0</v>
      </c>
      <c r="N10" s="8">
        <v>1.0</v>
      </c>
      <c r="O10" s="8">
        <v>1.0</v>
      </c>
      <c r="P10" s="8">
        <v>5.0</v>
      </c>
      <c r="Q10" s="8">
        <v>5.0</v>
      </c>
      <c r="R10" s="8">
        <v>5.0</v>
      </c>
      <c r="S10" s="9">
        <v>2.0</v>
      </c>
      <c r="T10" s="9">
        <v>2.0</v>
      </c>
      <c r="U10" s="9">
        <v>2.0</v>
      </c>
      <c r="V10" s="9">
        <v>1.0</v>
      </c>
      <c r="W10" s="9">
        <v>5.0</v>
      </c>
      <c r="X10" s="9">
        <v>5.0</v>
      </c>
      <c r="Y10" s="9">
        <v>1.0</v>
      </c>
      <c r="Z10" s="9">
        <v>4.0</v>
      </c>
      <c r="AA10" s="9">
        <v>1.0</v>
      </c>
      <c r="AB10" s="8">
        <v>5.0</v>
      </c>
      <c r="AC10" s="8">
        <v>4.0</v>
      </c>
      <c r="AD10" s="8">
        <v>5.0</v>
      </c>
      <c r="AE10" s="8">
        <v>5.0</v>
      </c>
      <c r="AF10" s="8">
        <v>5.0</v>
      </c>
      <c r="AG10" s="8">
        <v>4.0</v>
      </c>
      <c r="AH10" s="8">
        <v>5.0</v>
      </c>
      <c r="AI10" s="8">
        <v>2.0</v>
      </c>
      <c r="AJ10" s="8">
        <v>5.0</v>
      </c>
      <c r="AK10" s="8">
        <v>5.0</v>
      </c>
      <c r="AL10" s="8">
        <v>5.0</v>
      </c>
      <c r="AM10" s="8">
        <v>3.0</v>
      </c>
      <c r="AN10" s="9">
        <v>5.0</v>
      </c>
      <c r="AO10" s="9">
        <v>5.0</v>
      </c>
      <c r="AP10" s="9">
        <v>5.0</v>
      </c>
      <c r="AQ10" s="9">
        <v>2.0</v>
      </c>
      <c r="AR10" s="9">
        <v>1.0</v>
      </c>
      <c r="AS10" s="9">
        <v>5.0</v>
      </c>
      <c r="AT10" s="9">
        <v>1.0</v>
      </c>
      <c r="AU10" s="9">
        <v>2.0</v>
      </c>
      <c r="AV10" s="9">
        <v>5.0</v>
      </c>
      <c r="AW10" s="10">
        <v>43.0</v>
      </c>
      <c r="AX10" s="10">
        <v>23.0</v>
      </c>
      <c r="AY10" s="10">
        <v>53.0</v>
      </c>
      <c r="AZ10" s="10">
        <v>31.0</v>
      </c>
      <c r="BA10" s="10">
        <v>150.0</v>
      </c>
    </row>
    <row r="11">
      <c r="A11" s="6" t="s">
        <v>53</v>
      </c>
      <c r="B11" s="6" t="s">
        <v>82</v>
      </c>
      <c r="C11" s="6" t="s">
        <v>55</v>
      </c>
      <c r="D11" s="6">
        <v>14.0</v>
      </c>
      <c r="E11" s="7" t="s">
        <v>83</v>
      </c>
      <c r="F11" s="6" t="s">
        <v>84</v>
      </c>
      <c r="G11" s="8">
        <v>1.0</v>
      </c>
      <c r="H11" s="8">
        <v>4.0</v>
      </c>
      <c r="I11" s="8">
        <v>5.0</v>
      </c>
      <c r="J11" s="8">
        <v>3.0</v>
      </c>
      <c r="K11" s="8">
        <v>5.0</v>
      </c>
      <c r="L11" s="8">
        <v>5.0</v>
      </c>
      <c r="M11" s="8">
        <v>1.0</v>
      </c>
      <c r="N11" s="8">
        <v>3.0</v>
      </c>
      <c r="O11" s="8">
        <v>2.0</v>
      </c>
      <c r="P11" s="8">
        <v>5.0</v>
      </c>
      <c r="Q11" s="8">
        <v>5.0</v>
      </c>
      <c r="R11" s="8">
        <v>1.0</v>
      </c>
      <c r="S11" s="9">
        <v>2.0</v>
      </c>
      <c r="T11" s="9">
        <v>3.0</v>
      </c>
      <c r="U11" s="9">
        <v>4.0</v>
      </c>
      <c r="V11" s="9">
        <v>3.0</v>
      </c>
      <c r="W11" s="9">
        <v>5.0</v>
      </c>
      <c r="X11" s="9">
        <v>3.0</v>
      </c>
      <c r="Y11" s="9">
        <v>5.0</v>
      </c>
      <c r="Z11" s="9">
        <v>4.0</v>
      </c>
      <c r="AA11" s="9">
        <v>5.0</v>
      </c>
      <c r="AB11" s="8">
        <v>5.0</v>
      </c>
      <c r="AC11" s="8">
        <v>2.0</v>
      </c>
      <c r="AD11" s="8">
        <v>5.0</v>
      </c>
      <c r="AE11" s="8">
        <v>5.0</v>
      </c>
      <c r="AF11" s="8">
        <v>5.0</v>
      </c>
      <c r="AG11" s="8">
        <v>4.0</v>
      </c>
      <c r="AH11" s="8">
        <v>5.0</v>
      </c>
      <c r="AI11" s="8">
        <v>4.0</v>
      </c>
      <c r="AJ11" s="8">
        <v>5.0</v>
      </c>
      <c r="AK11" s="8">
        <v>5.0</v>
      </c>
      <c r="AL11" s="8">
        <v>5.0</v>
      </c>
      <c r="AM11" s="8">
        <v>4.0</v>
      </c>
      <c r="AN11" s="9">
        <v>4.0</v>
      </c>
      <c r="AO11" s="9">
        <v>3.0</v>
      </c>
      <c r="AP11" s="9">
        <v>4.0</v>
      </c>
      <c r="AQ11" s="9">
        <v>2.0</v>
      </c>
      <c r="AR11" s="9">
        <v>5.0</v>
      </c>
      <c r="AS11" s="9">
        <v>4.0</v>
      </c>
      <c r="AT11" s="9">
        <v>1.0</v>
      </c>
      <c r="AU11" s="9">
        <v>5.0</v>
      </c>
      <c r="AV11" s="9">
        <v>1.0</v>
      </c>
      <c r="AW11" s="10">
        <v>40.0</v>
      </c>
      <c r="AX11" s="10">
        <v>34.0</v>
      </c>
      <c r="AY11" s="10">
        <v>54.0</v>
      </c>
      <c r="AZ11" s="10">
        <v>29.0</v>
      </c>
      <c r="BA11" s="10">
        <v>157.0</v>
      </c>
    </row>
    <row r="12">
      <c r="A12" s="6" t="s">
        <v>53</v>
      </c>
      <c r="B12" s="6" t="s">
        <v>85</v>
      </c>
      <c r="C12" s="6" t="s">
        <v>55</v>
      </c>
      <c r="D12" s="6">
        <v>17.0</v>
      </c>
      <c r="E12" s="7" t="s">
        <v>86</v>
      </c>
      <c r="F12" s="6" t="s">
        <v>87</v>
      </c>
      <c r="G12" s="8">
        <v>1.0</v>
      </c>
      <c r="H12" s="8">
        <v>5.0</v>
      </c>
      <c r="I12" s="8">
        <v>4.0</v>
      </c>
      <c r="J12" s="8">
        <v>1.0</v>
      </c>
      <c r="K12" s="8">
        <v>4.0</v>
      </c>
      <c r="L12" s="8">
        <v>3.0</v>
      </c>
      <c r="M12" s="8">
        <v>2.0</v>
      </c>
      <c r="N12" s="8">
        <v>3.0</v>
      </c>
      <c r="O12" s="8">
        <v>2.0</v>
      </c>
      <c r="P12" s="8">
        <v>1.0</v>
      </c>
      <c r="Q12" s="8">
        <v>5.0</v>
      </c>
      <c r="R12" s="8">
        <v>2.0</v>
      </c>
      <c r="S12" s="9">
        <v>3.0</v>
      </c>
      <c r="T12" s="9">
        <v>4.0</v>
      </c>
      <c r="U12" s="9">
        <v>3.0</v>
      </c>
      <c r="V12" s="9">
        <v>5.0</v>
      </c>
      <c r="W12" s="9">
        <v>4.0</v>
      </c>
      <c r="X12" s="9">
        <v>4.0</v>
      </c>
      <c r="Y12" s="9">
        <v>4.0</v>
      </c>
      <c r="Z12" s="9">
        <v>4.0</v>
      </c>
      <c r="AA12" s="9">
        <v>3.0</v>
      </c>
      <c r="AB12" s="8">
        <v>3.0</v>
      </c>
      <c r="AC12" s="8">
        <v>2.0</v>
      </c>
      <c r="AD12" s="8">
        <v>3.0</v>
      </c>
      <c r="AE12" s="8">
        <v>4.0</v>
      </c>
      <c r="AF12" s="8">
        <v>5.0</v>
      </c>
      <c r="AG12" s="8">
        <v>3.0</v>
      </c>
      <c r="AH12" s="8">
        <v>3.0</v>
      </c>
      <c r="AI12" s="8">
        <v>3.0</v>
      </c>
      <c r="AJ12" s="8">
        <v>4.0</v>
      </c>
      <c r="AK12" s="8">
        <v>4.0</v>
      </c>
      <c r="AL12" s="8">
        <v>4.0</v>
      </c>
      <c r="AM12" s="8">
        <v>3.0</v>
      </c>
      <c r="AN12" s="9">
        <v>3.0</v>
      </c>
      <c r="AO12" s="9">
        <v>4.0</v>
      </c>
      <c r="AP12" s="9">
        <v>4.0</v>
      </c>
      <c r="AQ12" s="9">
        <v>4.0</v>
      </c>
      <c r="AR12" s="9">
        <v>4.0</v>
      </c>
      <c r="AS12" s="9">
        <v>4.0</v>
      </c>
      <c r="AT12" s="9">
        <v>1.0</v>
      </c>
      <c r="AU12" s="9">
        <v>2.0</v>
      </c>
      <c r="AV12" s="9">
        <v>3.0</v>
      </c>
      <c r="AW12" s="10">
        <v>33.0</v>
      </c>
      <c r="AX12" s="10">
        <v>34.0</v>
      </c>
      <c r="AY12" s="10">
        <v>41.0</v>
      </c>
      <c r="AZ12" s="10">
        <v>29.0</v>
      </c>
      <c r="BA12" s="10">
        <v>137.0</v>
      </c>
    </row>
    <row r="13">
      <c r="A13" s="6" t="s">
        <v>53</v>
      </c>
      <c r="B13" s="6" t="s">
        <v>88</v>
      </c>
      <c r="C13" s="6" t="s">
        <v>55</v>
      </c>
      <c r="D13" s="6">
        <v>21.0</v>
      </c>
      <c r="E13" s="7" t="s">
        <v>89</v>
      </c>
      <c r="F13" s="6" t="s">
        <v>90</v>
      </c>
      <c r="G13" s="8">
        <v>4.0</v>
      </c>
      <c r="H13" s="8">
        <v>4.0</v>
      </c>
      <c r="I13" s="8">
        <v>4.0</v>
      </c>
      <c r="J13" s="8">
        <v>4.0</v>
      </c>
      <c r="K13" s="8">
        <v>5.0</v>
      </c>
      <c r="L13" s="8">
        <v>5.0</v>
      </c>
      <c r="M13" s="8">
        <v>5.0</v>
      </c>
      <c r="N13" s="8">
        <v>1.0</v>
      </c>
      <c r="O13" s="8">
        <v>4.0</v>
      </c>
      <c r="P13" s="8">
        <v>5.0</v>
      </c>
      <c r="Q13" s="8">
        <v>4.0</v>
      </c>
      <c r="R13" s="8">
        <v>5.0</v>
      </c>
      <c r="S13" s="9">
        <v>4.0</v>
      </c>
      <c r="T13" s="9">
        <v>5.0</v>
      </c>
      <c r="U13" s="9">
        <v>5.0</v>
      </c>
      <c r="V13" s="9">
        <v>3.0</v>
      </c>
      <c r="W13" s="9">
        <v>4.0</v>
      </c>
      <c r="X13" s="9">
        <v>3.0</v>
      </c>
      <c r="Y13" s="9">
        <v>2.0</v>
      </c>
      <c r="Z13" s="9">
        <v>5.0</v>
      </c>
      <c r="AA13" s="9">
        <v>5.0</v>
      </c>
      <c r="AB13" s="8">
        <v>3.0</v>
      </c>
      <c r="AC13" s="8">
        <v>3.0</v>
      </c>
      <c r="AD13" s="8">
        <v>5.0</v>
      </c>
      <c r="AE13" s="8">
        <v>5.0</v>
      </c>
      <c r="AF13" s="8">
        <v>1.0</v>
      </c>
      <c r="AG13" s="8">
        <v>5.0</v>
      </c>
      <c r="AH13" s="8">
        <v>3.0</v>
      </c>
      <c r="AI13" s="8">
        <v>3.0</v>
      </c>
      <c r="AJ13" s="8">
        <v>5.0</v>
      </c>
      <c r="AK13" s="8">
        <v>5.0</v>
      </c>
      <c r="AL13" s="8">
        <v>5.0</v>
      </c>
      <c r="AM13" s="8">
        <v>4.0</v>
      </c>
      <c r="AN13" s="9">
        <v>2.0</v>
      </c>
      <c r="AO13" s="9">
        <v>5.0</v>
      </c>
      <c r="AP13" s="9">
        <v>2.0</v>
      </c>
      <c r="AQ13" s="9">
        <v>4.0</v>
      </c>
      <c r="AR13" s="9">
        <v>2.0</v>
      </c>
      <c r="AS13" s="9">
        <v>4.0</v>
      </c>
      <c r="AT13" s="9">
        <v>4.0</v>
      </c>
      <c r="AU13" s="9">
        <v>4.0</v>
      </c>
      <c r="AV13" s="9">
        <v>2.0</v>
      </c>
      <c r="AW13" s="10">
        <v>50.0</v>
      </c>
      <c r="AX13" s="10">
        <v>36.0</v>
      </c>
      <c r="AY13" s="10">
        <v>47.0</v>
      </c>
      <c r="AZ13" s="10">
        <v>29.0</v>
      </c>
      <c r="BA13" s="10">
        <v>162.0</v>
      </c>
    </row>
    <row r="14">
      <c r="A14" s="6" t="s">
        <v>53</v>
      </c>
      <c r="B14" s="6" t="s">
        <v>91</v>
      </c>
      <c r="C14" s="6" t="s">
        <v>59</v>
      </c>
      <c r="D14" s="6">
        <v>29.0</v>
      </c>
      <c r="E14" s="7" t="s">
        <v>92</v>
      </c>
      <c r="F14" s="6" t="s">
        <v>93</v>
      </c>
      <c r="G14" s="8">
        <v>2.0</v>
      </c>
      <c r="H14" s="8">
        <v>3.0</v>
      </c>
      <c r="I14" s="8">
        <v>4.0</v>
      </c>
      <c r="J14" s="8">
        <v>4.0</v>
      </c>
      <c r="K14" s="8">
        <v>5.0</v>
      </c>
      <c r="L14" s="8">
        <v>3.0</v>
      </c>
      <c r="M14" s="8">
        <v>4.0</v>
      </c>
      <c r="N14" s="8">
        <v>1.0</v>
      </c>
      <c r="O14" s="8">
        <v>4.0</v>
      </c>
      <c r="P14" s="8">
        <v>4.0</v>
      </c>
      <c r="Q14" s="8">
        <v>5.0</v>
      </c>
      <c r="R14" s="8">
        <v>3.0</v>
      </c>
      <c r="S14" s="9">
        <v>4.0</v>
      </c>
      <c r="T14" s="9">
        <v>3.0</v>
      </c>
      <c r="U14" s="9">
        <v>5.0</v>
      </c>
      <c r="V14" s="9">
        <v>3.0</v>
      </c>
      <c r="W14" s="9">
        <v>3.0</v>
      </c>
      <c r="X14" s="9">
        <v>3.0</v>
      </c>
      <c r="Y14" s="9">
        <v>4.0</v>
      </c>
      <c r="Z14" s="9">
        <v>4.0</v>
      </c>
      <c r="AA14" s="9">
        <v>4.0</v>
      </c>
      <c r="AB14" s="8">
        <v>5.0</v>
      </c>
      <c r="AC14" s="8">
        <v>1.0</v>
      </c>
      <c r="AD14" s="8">
        <v>4.0</v>
      </c>
      <c r="AE14" s="8">
        <v>4.0</v>
      </c>
      <c r="AF14" s="8">
        <v>4.0</v>
      </c>
      <c r="AG14" s="8">
        <v>2.0</v>
      </c>
      <c r="AH14" s="8">
        <v>2.0</v>
      </c>
      <c r="AI14" s="8">
        <v>2.0</v>
      </c>
      <c r="AJ14" s="8">
        <v>5.0</v>
      </c>
      <c r="AK14" s="8">
        <v>4.0</v>
      </c>
      <c r="AL14" s="8">
        <v>5.0</v>
      </c>
      <c r="AM14" s="8">
        <v>3.0</v>
      </c>
      <c r="AN14" s="9">
        <v>4.0</v>
      </c>
      <c r="AO14" s="9">
        <v>4.0</v>
      </c>
      <c r="AP14" s="9">
        <v>4.0</v>
      </c>
      <c r="AQ14" s="9">
        <v>4.0</v>
      </c>
      <c r="AR14" s="9">
        <v>3.0</v>
      </c>
      <c r="AS14" s="9">
        <v>4.0</v>
      </c>
      <c r="AT14" s="9">
        <v>2.0</v>
      </c>
      <c r="AU14" s="9">
        <v>4.0</v>
      </c>
      <c r="AV14" s="9">
        <v>3.0</v>
      </c>
      <c r="AW14" s="10">
        <v>42.0</v>
      </c>
      <c r="AX14" s="10">
        <v>33.0</v>
      </c>
      <c r="AY14" s="10">
        <v>41.0</v>
      </c>
      <c r="AZ14" s="10">
        <v>32.0</v>
      </c>
      <c r="BA14" s="10">
        <v>148.0</v>
      </c>
    </row>
    <row r="15">
      <c r="A15" s="6" t="s">
        <v>53</v>
      </c>
      <c r="B15" s="6" t="s">
        <v>94</v>
      </c>
      <c r="C15" s="6" t="s">
        <v>55</v>
      </c>
      <c r="D15" s="6">
        <v>20.0</v>
      </c>
      <c r="E15" s="7" t="s">
        <v>95</v>
      </c>
      <c r="F15" s="6" t="s">
        <v>96</v>
      </c>
      <c r="G15" s="8">
        <v>5.0</v>
      </c>
      <c r="H15" s="8">
        <v>1.0</v>
      </c>
      <c r="I15" s="8">
        <v>4.0</v>
      </c>
      <c r="J15" s="8">
        <v>1.0</v>
      </c>
      <c r="K15" s="8">
        <v>2.0</v>
      </c>
      <c r="L15" s="8">
        <v>5.0</v>
      </c>
      <c r="M15" s="8">
        <v>5.0</v>
      </c>
      <c r="N15" s="8">
        <v>1.0</v>
      </c>
      <c r="O15" s="8">
        <v>2.0</v>
      </c>
      <c r="P15" s="8">
        <v>1.0</v>
      </c>
      <c r="Q15" s="8">
        <v>4.0</v>
      </c>
      <c r="R15" s="8">
        <v>1.0</v>
      </c>
      <c r="S15" s="9">
        <v>4.0</v>
      </c>
      <c r="T15" s="9">
        <v>2.0</v>
      </c>
      <c r="U15" s="9">
        <v>2.0</v>
      </c>
      <c r="V15" s="9">
        <v>4.0</v>
      </c>
      <c r="W15" s="9">
        <v>2.0</v>
      </c>
      <c r="X15" s="9">
        <v>2.0</v>
      </c>
      <c r="Y15" s="9">
        <v>5.0</v>
      </c>
      <c r="Z15" s="9">
        <v>3.0</v>
      </c>
      <c r="AA15" s="9">
        <v>5.0</v>
      </c>
      <c r="AB15" s="8">
        <v>5.0</v>
      </c>
      <c r="AC15" s="8">
        <v>1.0</v>
      </c>
      <c r="AD15" s="8">
        <v>5.0</v>
      </c>
      <c r="AE15" s="8">
        <v>2.0</v>
      </c>
      <c r="AF15" s="8">
        <v>4.0</v>
      </c>
      <c r="AG15" s="8">
        <v>2.0</v>
      </c>
      <c r="AH15" s="8">
        <v>2.0</v>
      </c>
      <c r="AI15" s="8">
        <v>4.0</v>
      </c>
      <c r="AJ15" s="8">
        <v>5.0</v>
      </c>
      <c r="AK15" s="8">
        <v>5.0</v>
      </c>
      <c r="AL15" s="8">
        <v>2.0</v>
      </c>
      <c r="AM15" s="8">
        <v>1.0</v>
      </c>
      <c r="AN15" s="9">
        <v>2.0</v>
      </c>
      <c r="AO15" s="9">
        <v>5.0</v>
      </c>
      <c r="AP15" s="9">
        <v>2.0</v>
      </c>
      <c r="AQ15" s="9">
        <v>4.0</v>
      </c>
      <c r="AR15" s="9">
        <v>2.0</v>
      </c>
      <c r="AS15" s="9">
        <v>2.0</v>
      </c>
      <c r="AT15" s="9">
        <v>1.0</v>
      </c>
      <c r="AU15" s="9">
        <v>2.0</v>
      </c>
      <c r="AV15" s="9">
        <v>2.0</v>
      </c>
      <c r="AW15" s="10">
        <v>32.0</v>
      </c>
      <c r="AX15" s="10">
        <v>29.0</v>
      </c>
      <c r="AY15" s="10">
        <v>38.0</v>
      </c>
      <c r="AZ15" s="10">
        <v>22.0</v>
      </c>
      <c r="BA15" s="10">
        <v>121.0</v>
      </c>
    </row>
    <row r="16">
      <c r="A16" s="6" t="s">
        <v>53</v>
      </c>
      <c r="B16" s="6" t="s">
        <v>97</v>
      </c>
      <c r="C16" s="6" t="s">
        <v>55</v>
      </c>
      <c r="D16" s="6">
        <v>14.0</v>
      </c>
      <c r="E16" s="7" t="s">
        <v>98</v>
      </c>
      <c r="F16" s="6" t="s">
        <v>73</v>
      </c>
      <c r="G16" s="8">
        <v>2.0</v>
      </c>
      <c r="H16" s="8">
        <v>3.0</v>
      </c>
      <c r="I16" s="8">
        <v>3.0</v>
      </c>
      <c r="J16" s="8">
        <v>5.0</v>
      </c>
      <c r="K16" s="8">
        <v>5.0</v>
      </c>
      <c r="L16" s="8">
        <v>5.0</v>
      </c>
      <c r="M16" s="8">
        <v>1.0</v>
      </c>
      <c r="N16" s="8">
        <v>3.0</v>
      </c>
      <c r="O16" s="8">
        <v>5.0</v>
      </c>
      <c r="P16" s="8">
        <v>3.0</v>
      </c>
      <c r="Q16" s="8">
        <v>2.0</v>
      </c>
      <c r="R16" s="8">
        <v>1.0</v>
      </c>
      <c r="S16" s="9">
        <v>1.0</v>
      </c>
      <c r="T16" s="9">
        <v>5.0</v>
      </c>
      <c r="U16" s="9">
        <v>5.0</v>
      </c>
      <c r="V16" s="9">
        <v>5.0</v>
      </c>
      <c r="W16" s="9">
        <v>5.0</v>
      </c>
      <c r="X16" s="9">
        <v>5.0</v>
      </c>
      <c r="Y16" s="9">
        <v>3.0</v>
      </c>
      <c r="Z16" s="9">
        <v>5.0</v>
      </c>
      <c r="AA16" s="9">
        <v>2.0</v>
      </c>
      <c r="AB16" s="8">
        <v>3.0</v>
      </c>
      <c r="AC16" s="8">
        <v>3.0</v>
      </c>
      <c r="AD16" s="8">
        <v>5.0</v>
      </c>
      <c r="AE16" s="8">
        <v>5.0</v>
      </c>
      <c r="AF16" s="8">
        <v>5.0</v>
      </c>
      <c r="AG16" s="8">
        <v>5.0</v>
      </c>
      <c r="AH16" s="8">
        <v>2.0</v>
      </c>
      <c r="AI16" s="8">
        <v>1.0</v>
      </c>
      <c r="AJ16" s="8">
        <v>5.0</v>
      </c>
      <c r="AK16" s="8">
        <v>5.0</v>
      </c>
      <c r="AL16" s="8">
        <v>5.0</v>
      </c>
      <c r="AM16" s="8">
        <v>5.0</v>
      </c>
      <c r="AN16" s="9">
        <v>5.0</v>
      </c>
      <c r="AO16" s="9">
        <v>1.0</v>
      </c>
      <c r="AP16" s="9">
        <v>5.0</v>
      </c>
      <c r="AQ16" s="9">
        <v>4.0</v>
      </c>
      <c r="AR16" s="9">
        <v>3.0</v>
      </c>
      <c r="AS16" s="9">
        <v>2.0</v>
      </c>
      <c r="AT16" s="9">
        <v>1.0</v>
      </c>
      <c r="AU16" s="9">
        <v>1.0</v>
      </c>
      <c r="AV16" s="9">
        <v>5.0</v>
      </c>
      <c r="AW16" s="10">
        <v>38.0</v>
      </c>
      <c r="AX16" s="10">
        <v>36.0</v>
      </c>
      <c r="AY16" s="10">
        <v>49.0</v>
      </c>
      <c r="AZ16" s="10">
        <v>27.0</v>
      </c>
      <c r="BA16" s="10">
        <v>150.0</v>
      </c>
    </row>
    <row r="17">
      <c r="A17" s="11"/>
      <c r="B17" s="11"/>
      <c r="C17" s="11"/>
      <c r="D17" s="11"/>
      <c r="E17" s="11"/>
      <c r="F17" s="11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3"/>
      <c r="T17" s="13"/>
      <c r="U17" s="13"/>
      <c r="V17" s="13"/>
      <c r="W17" s="13"/>
      <c r="X17" s="13"/>
      <c r="Y17" s="13"/>
      <c r="Z17" s="13"/>
      <c r="AA17" s="13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3"/>
      <c r="AO17" s="13"/>
      <c r="AP17" s="13"/>
      <c r="AQ17" s="13"/>
      <c r="AR17" s="13"/>
      <c r="AS17" s="13"/>
      <c r="AT17" s="13"/>
      <c r="AU17" s="13"/>
      <c r="AV17" s="13"/>
      <c r="AW17" s="14"/>
      <c r="AX17" s="14"/>
      <c r="AY17" s="14"/>
      <c r="AZ17" s="14"/>
      <c r="BA17" s="14"/>
    </row>
    <row r="18">
      <c r="A18" s="11"/>
      <c r="B18" s="11"/>
      <c r="C18" s="11"/>
      <c r="D18" s="11"/>
      <c r="E18" s="11"/>
      <c r="F18" s="11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3"/>
      <c r="T18" s="13"/>
      <c r="U18" s="13"/>
      <c r="V18" s="13"/>
      <c r="W18" s="13"/>
      <c r="X18" s="13"/>
      <c r="Y18" s="13"/>
      <c r="Z18" s="13"/>
      <c r="AA18" s="13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3"/>
      <c r="AO18" s="13"/>
      <c r="AP18" s="13"/>
      <c r="AQ18" s="13"/>
      <c r="AR18" s="13"/>
      <c r="AS18" s="13"/>
      <c r="AT18" s="13"/>
      <c r="AU18" s="13"/>
      <c r="AV18" s="13"/>
      <c r="AW18" s="14"/>
      <c r="AX18" s="14"/>
      <c r="AY18" s="14"/>
      <c r="AZ18" s="14"/>
      <c r="BA18" s="14"/>
    </row>
    <row r="19">
      <c r="A19" s="11"/>
      <c r="B19" s="11"/>
      <c r="C19" s="11"/>
      <c r="D19" s="11"/>
      <c r="E19" s="11"/>
      <c r="F19" s="11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3"/>
      <c r="T19" s="13"/>
      <c r="U19" s="13"/>
      <c r="V19" s="13"/>
      <c r="W19" s="13"/>
      <c r="X19" s="13"/>
      <c r="Y19" s="13"/>
      <c r="Z19" s="13"/>
      <c r="AA19" s="13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3"/>
      <c r="AO19" s="13"/>
      <c r="AP19" s="13"/>
      <c r="AQ19" s="13"/>
      <c r="AR19" s="13"/>
      <c r="AS19" s="13"/>
      <c r="AT19" s="13"/>
      <c r="AU19" s="13"/>
      <c r="AV19" s="13"/>
      <c r="AW19" s="14"/>
      <c r="AX19" s="14"/>
      <c r="AY19" s="14"/>
      <c r="AZ19" s="14"/>
      <c r="BA19" s="14"/>
    </row>
    <row r="20">
      <c r="A20" s="11"/>
      <c r="B20" s="11"/>
      <c r="C20" s="11"/>
      <c r="D20" s="11"/>
      <c r="E20" s="11"/>
      <c r="F20" s="11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3"/>
      <c r="T20" s="13"/>
      <c r="U20" s="13"/>
      <c r="V20" s="13"/>
      <c r="W20" s="13"/>
      <c r="X20" s="13"/>
      <c r="Y20" s="13"/>
      <c r="Z20" s="13"/>
      <c r="AA20" s="13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3"/>
      <c r="AO20" s="13"/>
      <c r="AP20" s="13"/>
      <c r="AQ20" s="13"/>
      <c r="AR20" s="13"/>
      <c r="AS20" s="13"/>
      <c r="AT20" s="13"/>
      <c r="AU20" s="13"/>
      <c r="AV20" s="13"/>
      <c r="AW20" s="14"/>
      <c r="AX20" s="14"/>
      <c r="AY20" s="14"/>
      <c r="AZ20" s="14"/>
      <c r="BA20" s="14"/>
    </row>
    <row r="21">
      <c r="A21" s="11"/>
      <c r="B21" s="11"/>
      <c r="C21" s="11"/>
      <c r="D21" s="11"/>
      <c r="E21" s="11"/>
      <c r="F21" s="11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3"/>
      <c r="T21" s="13"/>
      <c r="U21" s="13"/>
      <c r="V21" s="13"/>
      <c r="W21" s="13"/>
      <c r="X21" s="13"/>
      <c r="Y21" s="13"/>
      <c r="Z21" s="13"/>
      <c r="AA21" s="13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3"/>
      <c r="AO21" s="13"/>
      <c r="AP21" s="13"/>
      <c r="AQ21" s="13"/>
      <c r="AR21" s="13"/>
      <c r="AS21" s="13"/>
      <c r="AT21" s="13"/>
      <c r="AU21" s="13"/>
      <c r="AV21" s="13"/>
      <c r="AW21" s="14"/>
      <c r="AX21" s="14"/>
      <c r="AY21" s="14"/>
      <c r="AZ21" s="14"/>
      <c r="BA21" s="14"/>
    </row>
    <row r="22">
      <c r="A22" s="11"/>
      <c r="B22" s="11"/>
      <c r="C22" s="11"/>
      <c r="D22" s="11"/>
      <c r="E22" s="11"/>
      <c r="F22" s="11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3"/>
      <c r="T22" s="13"/>
      <c r="U22" s="13"/>
      <c r="V22" s="13"/>
      <c r="W22" s="13"/>
      <c r="X22" s="13"/>
      <c r="Y22" s="13"/>
      <c r="Z22" s="13"/>
      <c r="AA22" s="13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3"/>
      <c r="AO22" s="13"/>
      <c r="AP22" s="13"/>
      <c r="AQ22" s="13"/>
      <c r="AR22" s="13"/>
      <c r="AS22" s="13"/>
      <c r="AT22" s="13"/>
      <c r="AU22" s="13"/>
      <c r="AV22" s="13"/>
      <c r="AW22" s="14"/>
      <c r="AX22" s="14"/>
      <c r="AY22" s="14"/>
      <c r="AZ22" s="14"/>
      <c r="BA22" s="14"/>
    </row>
    <row r="23">
      <c r="A23" s="11"/>
      <c r="B23" s="11"/>
      <c r="C23" s="11"/>
      <c r="D23" s="11"/>
      <c r="E23" s="11"/>
      <c r="F23" s="11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3"/>
      <c r="T23" s="13"/>
      <c r="U23" s="13"/>
      <c r="V23" s="13"/>
      <c r="W23" s="13"/>
      <c r="X23" s="13"/>
      <c r="Y23" s="13"/>
      <c r="Z23" s="13"/>
      <c r="AA23" s="13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3"/>
      <c r="AO23" s="13"/>
      <c r="AP23" s="13"/>
      <c r="AQ23" s="13"/>
      <c r="AR23" s="13"/>
      <c r="AS23" s="13"/>
      <c r="AT23" s="13"/>
      <c r="AU23" s="13"/>
      <c r="AV23" s="13"/>
      <c r="AW23" s="14"/>
      <c r="AX23" s="14"/>
      <c r="AY23" s="14"/>
      <c r="AZ23" s="14"/>
      <c r="BA23" s="14"/>
    </row>
    <row r="24">
      <c r="A24" s="11"/>
      <c r="B24" s="11"/>
      <c r="C24" s="11"/>
      <c r="D24" s="11"/>
      <c r="E24" s="11"/>
      <c r="F24" s="11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3"/>
      <c r="T24" s="13"/>
      <c r="U24" s="13"/>
      <c r="V24" s="13"/>
      <c r="W24" s="13"/>
      <c r="X24" s="13"/>
      <c r="Y24" s="13"/>
      <c r="Z24" s="13"/>
      <c r="AA24" s="13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3"/>
      <c r="AO24" s="13"/>
      <c r="AP24" s="13"/>
      <c r="AQ24" s="13"/>
      <c r="AR24" s="13"/>
      <c r="AS24" s="13"/>
      <c r="AT24" s="13"/>
      <c r="AU24" s="13"/>
      <c r="AV24" s="13"/>
      <c r="AW24" s="14"/>
      <c r="AX24" s="14"/>
      <c r="AY24" s="14"/>
      <c r="AZ24" s="14"/>
      <c r="BA24" s="14"/>
    </row>
    <row r="25">
      <c r="A25" s="11"/>
      <c r="B25" s="11"/>
      <c r="C25" s="11"/>
      <c r="D25" s="11"/>
      <c r="E25" s="11"/>
      <c r="F25" s="11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3"/>
      <c r="T25" s="13"/>
      <c r="U25" s="13"/>
      <c r="V25" s="13"/>
      <c r="W25" s="13"/>
      <c r="X25" s="13"/>
      <c r="Y25" s="13"/>
      <c r="Z25" s="13"/>
      <c r="AA25" s="13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3"/>
      <c r="AO25" s="13"/>
      <c r="AP25" s="13"/>
      <c r="AQ25" s="13"/>
      <c r="AR25" s="13"/>
      <c r="AS25" s="13"/>
      <c r="AT25" s="13"/>
      <c r="AU25" s="13"/>
      <c r="AV25" s="13"/>
      <c r="AW25" s="14"/>
      <c r="AX25" s="14"/>
      <c r="AY25" s="14"/>
      <c r="AZ25" s="14"/>
      <c r="BA25" s="14"/>
    </row>
    <row r="26">
      <c r="A26" s="11"/>
      <c r="B26" s="11"/>
      <c r="C26" s="11"/>
      <c r="D26" s="11"/>
      <c r="E26" s="11"/>
      <c r="F26" s="11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3"/>
      <c r="T26" s="13"/>
      <c r="U26" s="13"/>
      <c r="V26" s="13"/>
      <c r="W26" s="13"/>
      <c r="X26" s="13"/>
      <c r="Y26" s="13"/>
      <c r="Z26" s="13"/>
      <c r="AA26" s="13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3"/>
      <c r="AO26" s="13"/>
      <c r="AP26" s="13"/>
      <c r="AQ26" s="13"/>
      <c r="AR26" s="13"/>
      <c r="AS26" s="13"/>
      <c r="AT26" s="13"/>
      <c r="AU26" s="13"/>
      <c r="AV26" s="13"/>
      <c r="AW26" s="14"/>
      <c r="AX26" s="14"/>
      <c r="AY26" s="14"/>
      <c r="AZ26" s="14"/>
      <c r="BA26" s="14"/>
    </row>
    <row r="27">
      <c r="A27" s="11"/>
      <c r="B27" s="11"/>
      <c r="C27" s="11"/>
      <c r="D27" s="11"/>
      <c r="E27" s="11"/>
      <c r="F27" s="11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3"/>
      <c r="T27" s="13"/>
      <c r="U27" s="13"/>
      <c r="V27" s="13"/>
      <c r="W27" s="13"/>
      <c r="X27" s="13"/>
      <c r="Y27" s="13"/>
      <c r="Z27" s="13"/>
      <c r="AA27" s="13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3"/>
      <c r="AO27" s="13"/>
      <c r="AP27" s="13"/>
      <c r="AQ27" s="13"/>
      <c r="AR27" s="13"/>
      <c r="AS27" s="13"/>
      <c r="AT27" s="13"/>
      <c r="AU27" s="13"/>
      <c r="AV27" s="13"/>
      <c r="AW27" s="14"/>
      <c r="AX27" s="14"/>
      <c r="AY27" s="14"/>
      <c r="AZ27" s="14"/>
      <c r="BA27" s="14"/>
    </row>
    <row r="28">
      <c r="A28" s="11"/>
      <c r="B28" s="11"/>
      <c r="C28" s="11"/>
      <c r="D28" s="11"/>
      <c r="E28" s="11"/>
      <c r="F28" s="11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3"/>
      <c r="T28" s="13"/>
      <c r="U28" s="13"/>
      <c r="V28" s="13"/>
      <c r="W28" s="13"/>
      <c r="X28" s="13"/>
      <c r="Y28" s="13"/>
      <c r="Z28" s="13"/>
      <c r="AA28" s="13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3"/>
      <c r="AO28" s="13"/>
      <c r="AP28" s="13"/>
      <c r="AQ28" s="13"/>
      <c r="AR28" s="13"/>
      <c r="AS28" s="13"/>
      <c r="AT28" s="13"/>
      <c r="AU28" s="13"/>
      <c r="AV28" s="13"/>
      <c r="AW28" s="14"/>
      <c r="AX28" s="14"/>
      <c r="AY28" s="14"/>
      <c r="AZ28" s="14"/>
      <c r="BA28" s="14"/>
    </row>
    <row r="29">
      <c r="A29" s="11"/>
      <c r="B29" s="11"/>
      <c r="C29" s="11"/>
      <c r="D29" s="11"/>
      <c r="E29" s="11"/>
      <c r="F29" s="11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3"/>
      <c r="T29" s="13"/>
      <c r="U29" s="13"/>
      <c r="V29" s="13"/>
      <c r="W29" s="13"/>
      <c r="X29" s="13"/>
      <c r="Y29" s="13"/>
      <c r="Z29" s="13"/>
      <c r="AA29" s="13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3"/>
      <c r="AO29" s="13"/>
      <c r="AP29" s="13"/>
      <c r="AQ29" s="13"/>
      <c r="AR29" s="13"/>
      <c r="AS29" s="13"/>
      <c r="AT29" s="13"/>
      <c r="AU29" s="13"/>
      <c r="AV29" s="13"/>
      <c r="AW29" s="14"/>
      <c r="AX29" s="14"/>
      <c r="AY29" s="14"/>
      <c r="AZ29" s="14"/>
      <c r="BA29" s="14"/>
    </row>
    <row r="30">
      <c r="A30" s="11"/>
      <c r="B30" s="11"/>
      <c r="C30" s="11"/>
      <c r="D30" s="11"/>
      <c r="E30" s="11"/>
      <c r="F30" s="11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3"/>
      <c r="T30" s="13"/>
      <c r="U30" s="13"/>
      <c r="V30" s="13"/>
      <c r="W30" s="13"/>
      <c r="X30" s="13"/>
      <c r="Y30" s="13"/>
      <c r="Z30" s="13"/>
      <c r="AA30" s="13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3"/>
      <c r="AO30" s="13"/>
      <c r="AP30" s="13"/>
      <c r="AQ30" s="13"/>
      <c r="AR30" s="13"/>
      <c r="AS30" s="13"/>
      <c r="AT30" s="13"/>
      <c r="AU30" s="13"/>
      <c r="AV30" s="13"/>
      <c r="AW30" s="14"/>
      <c r="AX30" s="14"/>
      <c r="AY30" s="14"/>
      <c r="AZ30" s="14"/>
      <c r="BA30" s="14"/>
    </row>
    <row r="31">
      <c r="A31" s="11"/>
      <c r="B31" s="11"/>
      <c r="C31" s="11"/>
      <c r="D31" s="11"/>
      <c r="E31" s="11"/>
      <c r="F31" s="11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3"/>
      <c r="T31" s="13"/>
      <c r="U31" s="13"/>
      <c r="V31" s="13"/>
      <c r="W31" s="13"/>
      <c r="X31" s="13"/>
      <c r="Y31" s="13"/>
      <c r="Z31" s="13"/>
      <c r="AA31" s="13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3"/>
      <c r="AO31" s="13"/>
      <c r="AP31" s="13"/>
      <c r="AQ31" s="13"/>
      <c r="AR31" s="13"/>
      <c r="AS31" s="13"/>
      <c r="AT31" s="13"/>
      <c r="AU31" s="13"/>
      <c r="AV31" s="13"/>
      <c r="AW31" s="14"/>
      <c r="AX31" s="14"/>
      <c r="AY31" s="14"/>
      <c r="AZ31" s="14"/>
      <c r="BA31" s="14"/>
    </row>
    <row r="32">
      <c r="A32" s="11"/>
      <c r="B32" s="11"/>
      <c r="C32" s="11"/>
      <c r="D32" s="11"/>
      <c r="E32" s="11"/>
      <c r="F32" s="11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3"/>
      <c r="T32" s="13"/>
      <c r="U32" s="13"/>
      <c r="V32" s="13"/>
      <c r="W32" s="13"/>
      <c r="X32" s="13"/>
      <c r="Y32" s="13"/>
      <c r="Z32" s="13"/>
      <c r="AA32" s="13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3"/>
      <c r="AO32" s="13"/>
      <c r="AP32" s="13"/>
      <c r="AQ32" s="13"/>
      <c r="AR32" s="13"/>
      <c r="AS32" s="13"/>
      <c r="AT32" s="13"/>
      <c r="AU32" s="13"/>
      <c r="AV32" s="13"/>
      <c r="AW32" s="14"/>
      <c r="AX32" s="14"/>
      <c r="AY32" s="14"/>
      <c r="AZ32" s="14"/>
      <c r="BA32" s="14"/>
    </row>
    <row r="33">
      <c r="A33" s="11"/>
      <c r="B33" s="11"/>
      <c r="C33" s="11"/>
      <c r="D33" s="11"/>
      <c r="E33" s="11"/>
      <c r="F33" s="11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3"/>
      <c r="T33" s="13"/>
      <c r="U33" s="13"/>
      <c r="V33" s="13"/>
      <c r="W33" s="13"/>
      <c r="X33" s="13"/>
      <c r="Y33" s="13"/>
      <c r="Z33" s="13"/>
      <c r="AA33" s="13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3"/>
      <c r="AO33" s="13"/>
      <c r="AP33" s="13"/>
      <c r="AQ33" s="13"/>
      <c r="AR33" s="13"/>
      <c r="AS33" s="13"/>
      <c r="AT33" s="13"/>
      <c r="AU33" s="13"/>
      <c r="AV33" s="13"/>
      <c r="AW33" s="14"/>
      <c r="AX33" s="14"/>
      <c r="AY33" s="14"/>
      <c r="AZ33" s="14"/>
      <c r="BA33" s="14"/>
    </row>
    <row r="34">
      <c r="A34" s="11"/>
      <c r="B34" s="11"/>
      <c r="C34" s="11"/>
      <c r="D34" s="11"/>
      <c r="E34" s="11"/>
      <c r="F34" s="11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3"/>
      <c r="T34" s="13"/>
      <c r="U34" s="13"/>
      <c r="V34" s="13"/>
      <c r="W34" s="13"/>
      <c r="X34" s="13"/>
      <c r="Y34" s="13"/>
      <c r="Z34" s="13"/>
      <c r="AA34" s="13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3"/>
      <c r="AO34" s="13"/>
      <c r="AP34" s="13"/>
      <c r="AQ34" s="13"/>
      <c r="AR34" s="13"/>
      <c r="AS34" s="13"/>
      <c r="AT34" s="13"/>
      <c r="AU34" s="13"/>
      <c r="AV34" s="13"/>
      <c r="AW34" s="14"/>
      <c r="AX34" s="14"/>
      <c r="AY34" s="14"/>
      <c r="AZ34" s="14"/>
      <c r="BA34" s="14"/>
    </row>
    <row r="35">
      <c r="A35" s="11"/>
      <c r="B35" s="11"/>
      <c r="C35" s="11"/>
      <c r="D35" s="11"/>
      <c r="E35" s="11"/>
      <c r="F35" s="11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3"/>
      <c r="T35" s="13"/>
      <c r="U35" s="13"/>
      <c r="V35" s="13"/>
      <c r="W35" s="13"/>
      <c r="X35" s="13"/>
      <c r="Y35" s="13"/>
      <c r="Z35" s="13"/>
      <c r="AA35" s="13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3"/>
      <c r="AO35" s="13"/>
      <c r="AP35" s="13"/>
      <c r="AQ35" s="13"/>
      <c r="AR35" s="13"/>
      <c r="AS35" s="13"/>
      <c r="AT35" s="13"/>
      <c r="AU35" s="13"/>
      <c r="AV35" s="13"/>
      <c r="AW35" s="14"/>
      <c r="AX35" s="14"/>
      <c r="AY35" s="14"/>
      <c r="AZ35" s="14"/>
      <c r="BA35" s="14"/>
    </row>
    <row r="36">
      <c r="A36" s="11"/>
      <c r="B36" s="11"/>
      <c r="C36" s="11"/>
      <c r="D36" s="11"/>
      <c r="E36" s="11"/>
      <c r="F36" s="11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3"/>
      <c r="T36" s="13"/>
      <c r="U36" s="13"/>
      <c r="V36" s="13"/>
      <c r="W36" s="13"/>
      <c r="X36" s="13"/>
      <c r="Y36" s="13"/>
      <c r="Z36" s="13"/>
      <c r="AA36" s="13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3"/>
      <c r="AO36" s="13"/>
      <c r="AP36" s="13"/>
      <c r="AQ36" s="13"/>
      <c r="AR36" s="13"/>
      <c r="AS36" s="13"/>
      <c r="AT36" s="13"/>
      <c r="AU36" s="13"/>
      <c r="AV36" s="13"/>
      <c r="AW36" s="14"/>
      <c r="AX36" s="14"/>
      <c r="AY36" s="14"/>
      <c r="AZ36" s="14"/>
      <c r="BA36" s="14"/>
    </row>
    <row r="37">
      <c r="A37" s="11"/>
      <c r="B37" s="11"/>
      <c r="C37" s="11"/>
      <c r="D37" s="11"/>
      <c r="E37" s="11"/>
      <c r="F37" s="11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3"/>
      <c r="T37" s="13"/>
      <c r="U37" s="13"/>
      <c r="V37" s="13"/>
      <c r="W37" s="13"/>
      <c r="X37" s="13"/>
      <c r="Y37" s="13"/>
      <c r="Z37" s="13"/>
      <c r="AA37" s="13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3"/>
      <c r="AO37" s="13"/>
      <c r="AP37" s="13"/>
      <c r="AQ37" s="13"/>
      <c r="AR37" s="13"/>
      <c r="AS37" s="13"/>
      <c r="AT37" s="13"/>
      <c r="AU37" s="13"/>
      <c r="AV37" s="13"/>
      <c r="AW37" s="14"/>
      <c r="AX37" s="14"/>
      <c r="AY37" s="14"/>
      <c r="AZ37" s="14"/>
      <c r="BA37" s="14"/>
    </row>
    <row r="38">
      <c r="A38" s="11"/>
      <c r="B38" s="11"/>
      <c r="C38" s="11"/>
      <c r="D38" s="11"/>
      <c r="E38" s="11"/>
      <c r="F38" s="11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3"/>
      <c r="T38" s="13"/>
      <c r="U38" s="13"/>
      <c r="V38" s="13"/>
      <c r="W38" s="13"/>
      <c r="X38" s="13"/>
      <c r="Y38" s="13"/>
      <c r="Z38" s="13"/>
      <c r="AA38" s="13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3"/>
      <c r="AO38" s="13"/>
      <c r="AP38" s="13"/>
      <c r="AQ38" s="13"/>
      <c r="AR38" s="13"/>
      <c r="AS38" s="13"/>
      <c r="AT38" s="13"/>
      <c r="AU38" s="13"/>
      <c r="AV38" s="13"/>
      <c r="AW38" s="14"/>
      <c r="AX38" s="14"/>
      <c r="AY38" s="14"/>
      <c r="AZ38" s="14"/>
      <c r="BA38" s="14"/>
    </row>
    <row r="39">
      <c r="A39" s="11"/>
      <c r="B39" s="11"/>
      <c r="C39" s="11"/>
      <c r="D39" s="11"/>
      <c r="E39" s="11"/>
      <c r="F39" s="11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3"/>
      <c r="T39" s="13"/>
      <c r="U39" s="13"/>
      <c r="V39" s="13"/>
      <c r="W39" s="13"/>
      <c r="X39" s="13"/>
      <c r="Y39" s="13"/>
      <c r="Z39" s="13"/>
      <c r="AA39" s="13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3"/>
      <c r="AO39" s="13"/>
      <c r="AP39" s="13"/>
      <c r="AQ39" s="13"/>
      <c r="AR39" s="13"/>
      <c r="AS39" s="13"/>
      <c r="AT39" s="13"/>
      <c r="AU39" s="13"/>
      <c r="AV39" s="13"/>
      <c r="AW39" s="14"/>
      <c r="AX39" s="14"/>
      <c r="AY39" s="14"/>
      <c r="AZ39" s="14"/>
      <c r="BA39" s="14"/>
    </row>
    <row r="40">
      <c r="A40" s="11"/>
      <c r="B40" s="11"/>
      <c r="C40" s="11"/>
      <c r="D40" s="11"/>
      <c r="E40" s="11"/>
      <c r="F40" s="11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3"/>
      <c r="T40" s="13"/>
      <c r="U40" s="13"/>
      <c r="V40" s="13"/>
      <c r="W40" s="13"/>
      <c r="X40" s="13"/>
      <c r="Y40" s="13"/>
      <c r="Z40" s="13"/>
      <c r="AA40" s="13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3"/>
      <c r="AO40" s="13"/>
      <c r="AP40" s="13"/>
      <c r="AQ40" s="13"/>
      <c r="AR40" s="13"/>
      <c r="AS40" s="13"/>
      <c r="AT40" s="13"/>
      <c r="AU40" s="13"/>
      <c r="AV40" s="13"/>
      <c r="AW40" s="14"/>
      <c r="AX40" s="14"/>
      <c r="AY40" s="14"/>
      <c r="AZ40" s="14"/>
      <c r="BA40" s="14"/>
    </row>
    <row r="41">
      <c r="A41" s="11"/>
      <c r="B41" s="11"/>
      <c r="C41" s="11"/>
      <c r="D41" s="11"/>
      <c r="E41" s="11"/>
      <c r="F41" s="11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3"/>
      <c r="T41" s="13"/>
      <c r="U41" s="13"/>
      <c r="V41" s="13"/>
      <c r="W41" s="13"/>
      <c r="X41" s="13"/>
      <c r="Y41" s="13"/>
      <c r="Z41" s="13"/>
      <c r="AA41" s="13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3"/>
      <c r="AO41" s="13"/>
      <c r="AP41" s="13"/>
      <c r="AQ41" s="13"/>
      <c r="AR41" s="13"/>
      <c r="AS41" s="13"/>
      <c r="AT41" s="13"/>
      <c r="AU41" s="13"/>
      <c r="AV41" s="13"/>
      <c r="AW41" s="14"/>
      <c r="AX41" s="14"/>
      <c r="AY41" s="14"/>
      <c r="AZ41" s="14"/>
      <c r="BA41" s="14"/>
    </row>
    <row r="42">
      <c r="A42" s="11"/>
      <c r="B42" s="11"/>
      <c r="C42" s="11"/>
      <c r="D42" s="11"/>
      <c r="E42" s="11"/>
      <c r="F42" s="11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3"/>
      <c r="T42" s="13"/>
      <c r="U42" s="13"/>
      <c r="V42" s="13"/>
      <c r="W42" s="13"/>
      <c r="X42" s="13"/>
      <c r="Y42" s="13"/>
      <c r="Z42" s="13"/>
      <c r="AA42" s="13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3"/>
      <c r="AO42" s="13"/>
      <c r="AP42" s="13"/>
      <c r="AQ42" s="13"/>
      <c r="AR42" s="13"/>
      <c r="AS42" s="13"/>
      <c r="AT42" s="13"/>
      <c r="AU42" s="13"/>
      <c r="AV42" s="13"/>
      <c r="AW42" s="14"/>
      <c r="AX42" s="14"/>
      <c r="AY42" s="14"/>
      <c r="AZ42" s="14"/>
      <c r="BA42" s="14"/>
    </row>
    <row r="43">
      <c r="A43" s="11"/>
      <c r="B43" s="11"/>
      <c r="C43" s="11"/>
      <c r="D43" s="11"/>
      <c r="E43" s="11"/>
      <c r="F43" s="11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3"/>
      <c r="T43" s="13"/>
      <c r="U43" s="13"/>
      <c r="V43" s="13"/>
      <c r="W43" s="13"/>
      <c r="X43" s="13"/>
      <c r="Y43" s="13"/>
      <c r="Z43" s="13"/>
      <c r="AA43" s="13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3"/>
      <c r="AO43" s="13"/>
      <c r="AP43" s="13"/>
      <c r="AQ43" s="13"/>
      <c r="AR43" s="13"/>
      <c r="AS43" s="13"/>
      <c r="AT43" s="13"/>
      <c r="AU43" s="13"/>
      <c r="AV43" s="13"/>
      <c r="AW43" s="14"/>
      <c r="AX43" s="14"/>
      <c r="AY43" s="14"/>
      <c r="AZ43" s="14"/>
      <c r="BA43" s="14"/>
    </row>
    <row r="44">
      <c r="A44" s="11"/>
      <c r="B44" s="11"/>
      <c r="C44" s="11"/>
      <c r="D44" s="11"/>
      <c r="E44" s="11"/>
      <c r="F44" s="11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3"/>
      <c r="T44" s="13"/>
      <c r="U44" s="13"/>
      <c r="V44" s="13"/>
      <c r="W44" s="13"/>
      <c r="X44" s="13"/>
      <c r="Y44" s="13"/>
      <c r="Z44" s="13"/>
      <c r="AA44" s="13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3"/>
      <c r="AO44" s="13"/>
      <c r="AP44" s="13"/>
      <c r="AQ44" s="13"/>
      <c r="AR44" s="13"/>
      <c r="AS44" s="13"/>
      <c r="AT44" s="13"/>
      <c r="AU44" s="13"/>
      <c r="AV44" s="13"/>
      <c r="AW44" s="14"/>
      <c r="AX44" s="14"/>
      <c r="AY44" s="14"/>
      <c r="AZ44" s="14"/>
      <c r="BA44" s="14"/>
    </row>
    <row r="45">
      <c r="A45" s="11"/>
      <c r="B45" s="11"/>
      <c r="C45" s="11"/>
      <c r="D45" s="11"/>
      <c r="E45" s="11"/>
      <c r="F45" s="11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3"/>
      <c r="T45" s="13"/>
      <c r="U45" s="13"/>
      <c r="V45" s="13"/>
      <c r="W45" s="13"/>
      <c r="X45" s="13"/>
      <c r="Y45" s="13"/>
      <c r="Z45" s="13"/>
      <c r="AA45" s="13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3"/>
      <c r="AO45" s="13"/>
      <c r="AP45" s="13"/>
      <c r="AQ45" s="13"/>
      <c r="AR45" s="13"/>
      <c r="AS45" s="13"/>
      <c r="AT45" s="13"/>
      <c r="AU45" s="13"/>
      <c r="AV45" s="13"/>
      <c r="AW45" s="14"/>
      <c r="AX45" s="14"/>
      <c r="AY45" s="14"/>
      <c r="AZ45" s="14"/>
      <c r="BA45" s="14"/>
    </row>
    <row r="46">
      <c r="A46" s="11"/>
      <c r="B46" s="11"/>
      <c r="C46" s="11"/>
      <c r="D46" s="11"/>
      <c r="E46" s="11"/>
      <c r="F46" s="11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3"/>
      <c r="T46" s="13"/>
      <c r="U46" s="13"/>
      <c r="V46" s="13"/>
      <c r="W46" s="13"/>
      <c r="X46" s="13"/>
      <c r="Y46" s="13"/>
      <c r="Z46" s="13"/>
      <c r="AA46" s="13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3"/>
      <c r="AO46" s="13"/>
      <c r="AP46" s="13"/>
      <c r="AQ46" s="13"/>
      <c r="AR46" s="13"/>
      <c r="AS46" s="13"/>
      <c r="AT46" s="13"/>
      <c r="AU46" s="13"/>
      <c r="AV46" s="13"/>
      <c r="AW46" s="14"/>
      <c r="AX46" s="14"/>
      <c r="AY46" s="14"/>
      <c r="AZ46" s="14"/>
      <c r="BA46" s="14"/>
    </row>
    <row r="47">
      <c r="A47" s="11"/>
      <c r="B47" s="11"/>
      <c r="C47" s="11"/>
      <c r="D47" s="11"/>
      <c r="E47" s="11"/>
      <c r="F47" s="11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3"/>
      <c r="T47" s="13"/>
      <c r="U47" s="13"/>
      <c r="V47" s="13"/>
      <c r="W47" s="13"/>
      <c r="X47" s="13"/>
      <c r="Y47" s="13"/>
      <c r="Z47" s="13"/>
      <c r="AA47" s="13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3"/>
      <c r="AO47" s="13"/>
      <c r="AP47" s="13"/>
      <c r="AQ47" s="13"/>
      <c r="AR47" s="13"/>
      <c r="AS47" s="13"/>
      <c r="AT47" s="13"/>
      <c r="AU47" s="13"/>
      <c r="AV47" s="13"/>
      <c r="AW47" s="14"/>
      <c r="AX47" s="14"/>
      <c r="AY47" s="14"/>
      <c r="AZ47" s="14"/>
      <c r="BA47" s="14"/>
    </row>
    <row r="48">
      <c r="A48" s="11"/>
      <c r="B48" s="11"/>
      <c r="C48" s="11"/>
      <c r="D48" s="11"/>
      <c r="E48" s="11"/>
      <c r="F48" s="11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3"/>
      <c r="T48" s="13"/>
      <c r="U48" s="13"/>
      <c r="V48" s="13"/>
      <c r="W48" s="13"/>
      <c r="X48" s="13"/>
      <c r="Y48" s="13"/>
      <c r="Z48" s="13"/>
      <c r="AA48" s="13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3"/>
      <c r="AO48" s="13"/>
      <c r="AP48" s="13"/>
      <c r="AQ48" s="13"/>
      <c r="AR48" s="13"/>
      <c r="AS48" s="13"/>
      <c r="AT48" s="13"/>
      <c r="AU48" s="13"/>
      <c r="AV48" s="13"/>
      <c r="AW48" s="14"/>
      <c r="AX48" s="14"/>
      <c r="AY48" s="14"/>
      <c r="AZ48" s="14"/>
      <c r="BA48" s="14"/>
    </row>
    <row r="49">
      <c r="A49" s="11"/>
      <c r="B49" s="11"/>
      <c r="C49" s="11"/>
      <c r="D49" s="11"/>
      <c r="E49" s="11"/>
      <c r="F49" s="11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3"/>
      <c r="T49" s="13"/>
      <c r="U49" s="13"/>
      <c r="V49" s="13"/>
      <c r="W49" s="13"/>
      <c r="X49" s="13"/>
      <c r="Y49" s="13"/>
      <c r="Z49" s="13"/>
      <c r="AA49" s="13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3"/>
      <c r="AO49" s="13"/>
      <c r="AP49" s="13"/>
      <c r="AQ49" s="13"/>
      <c r="AR49" s="13"/>
      <c r="AS49" s="13"/>
      <c r="AT49" s="13"/>
      <c r="AU49" s="13"/>
      <c r="AV49" s="13"/>
      <c r="AW49" s="14"/>
      <c r="AX49" s="14"/>
      <c r="AY49" s="14"/>
      <c r="AZ49" s="14"/>
      <c r="BA49" s="14"/>
    </row>
    <row r="50">
      <c r="A50" s="11"/>
      <c r="B50" s="11"/>
      <c r="C50" s="11"/>
      <c r="D50" s="11"/>
      <c r="E50" s="11"/>
      <c r="F50" s="11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13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3"/>
      <c r="AO50" s="13"/>
      <c r="AP50" s="13"/>
      <c r="AQ50" s="13"/>
      <c r="AR50" s="13"/>
      <c r="AS50" s="13"/>
      <c r="AT50" s="13"/>
      <c r="AU50" s="13"/>
      <c r="AV50" s="13"/>
      <c r="AW50" s="14"/>
      <c r="AX50" s="14"/>
      <c r="AY50" s="14"/>
      <c r="AZ50" s="14"/>
      <c r="BA50" s="14"/>
    </row>
    <row r="51">
      <c r="A51" s="11"/>
      <c r="B51" s="11"/>
      <c r="C51" s="11"/>
      <c r="D51" s="11"/>
      <c r="E51" s="11"/>
      <c r="F51" s="11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3"/>
      <c r="T51" s="13"/>
      <c r="U51" s="13"/>
      <c r="V51" s="13"/>
      <c r="W51" s="13"/>
      <c r="X51" s="13"/>
      <c r="Y51" s="13"/>
      <c r="Z51" s="13"/>
      <c r="AA51" s="13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3"/>
      <c r="AO51" s="13"/>
      <c r="AP51" s="13"/>
      <c r="AQ51" s="13"/>
      <c r="AR51" s="13"/>
      <c r="AS51" s="13"/>
      <c r="AT51" s="13"/>
      <c r="AU51" s="13"/>
      <c r="AV51" s="13"/>
      <c r="AW51" s="14"/>
      <c r="AX51" s="14"/>
      <c r="AY51" s="14"/>
      <c r="AZ51" s="14"/>
      <c r="BA51" s="14"/>
    </row>
    <row r="52">
      <c r="A52" s="11"/>
      <c r="B52" s="11"/>
      <c r="C52" s="11"/>
      <c r="D52" s="11"/>
      <c r="E52" s="11"/>
      <c r="F52" s="11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3"/>
      <c r="T52" s="13"/>
      <c r="U52" s="13"/>
      <c r="V52" s="13"/>
      <c r="W52" s="13"/>
      <c r="X52" s="13"/>
      <c r="Y52" s="13"/>
      <c r="Z52" s="13"/>
      <c r="AA52" s="13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3"/>
      <c r="AO52" s="13"/>
      <c r="AP52" s="13"/>
      <c r="AQ52" s="13"/>
      <c r="AR52" s="13"/>
      <c r="AS52" s="13"/>
      <c r="AT52" s="13"/>
      <c r="AU52" s="13"/>
      <c r="AV52" s="13"/>
      <c r="AW52" s="14"/>
      <c r="AX52" s="14"/>
      <c r="AY52" s="14"/>
      <c r="AZ52" s="14"/>
      <c r="BA52" s="14"/>
    </row>
    <row r="53">
      <c r="A53" s="11"/>
      <c r="B53" s="11"/>
      <c r="C53" s="11"/>
      <c r="D53" s="11"/>
      <c r="E53" s="11"/>
      <c r="F53" s="11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3"/>
      <c r="T53" s="13"/>
      <c r="U53" s="13"/>
      <c r="V53" s="13"/>
      <c r="W53" s="13"/>
      <c r="X53" s="13"/>
      <c r="Y53" s="13"/>
      <c r="Z53" s="13"/>
      <c r="AA53" s="13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3"/>
      <c r="AO53" s="13"/>
      <c r="AP53" s="13"/>
      <c r="AQ53" s="13"/>
      <c r="AR53" s="13"/>
      <c r="AS53" s="13"/>
      <c r="AT53" s="13"/>
      <c r="AU53" s="13"/>
      <c r="AV53" s="13"/>
      <c r="AW53" s="14"/>
      <c r="AX53" s="14"/>
      <c r="AY53" s="14"/>
      <c r="AZ53" s="14"/>
      <c r="BA53" s="14"/>
    </row>
    <row r="54">
      <c r="A54" s="11"/>
      <c r="B54" s="11"/>
      <c r="C54" s="11"/>
      <c r="D54" s="11"/>
      <c r="E54" s="11"/>
      <c r="F54" s="11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3"/>
      <c r="T54" s="13"/>
      <c r="U54" s="13"/>
      <c r="V54" s="13"/>
      <c r="W54" s="13"/>
      <c r="X54" s="13"/>
      <c r="Y54" s="13"/>
      <c r="Z54" s="13"/>
      <c r="AA54" s="13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3"/>
      <c r="AO54" s="13"/>
      <c r="AP54" s="13"/>
      <c r="AQ54" s="13"/>
      <c r="AR54" s="13"/>
      <c r="AS54" s="13"/>
      <c r="AT54" s="13"/>
      <c r="AU54" s="13"/>
      <c r="AV54" s="13"/>
      <c r="AW54" s="14"/>
      <c r="AX54" s="14"/>
      <c r="AY54" s="14"/>
      <c r="AZ54" s="14"/>
      <c r="BA54" s="14"/>
    </row>
    <row r="55">
      <c r="A55" s="11"/>
      <c r="B55" s="11"/>
      <c r="C55" s="11"/>
      <c r="D55" s="11"/>
      <c r="E55" s="11"/>
      <c r="F55" s="11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3"/>
      <c r="T55" s="13"/>
      <c r="U55" s="13"/>
      <c r="V55" s="13"/>
      <c r="W55" s="13"/>
      <c r="X55" s="13"/>
      <c r="Y55" s="13"/>
      <c r="Z55" s="13"/>
      <c r="AA55" s="13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3"/>
      <c r="AO55" s="13"/>
      <c r="AP55" s="13"/>
      <c r="AQ55" s="13"/>
      <c r="AR55" s="13"/>
      <c r="AS55" s="13"/>
      <c r="AT55" s="13"/>
      <c r="AU55" s="13"/>
      <c r="AV55" s="13"/>
      <c r="AW55" s="14"/>
      <c r="AX55" s="14"/>
      <c r="AY55" s="14"/>
      <c r="AZ55" s="14"/>
      <c r="BA55" s="14"/>
    </row>
    <row r="56">
      <c r="A56" s="11"/>
      <c r="B56" s="11"/>
      <c r="C56" s="11"/>
      <c r="D56" s="11"/>
      <c r="E56" s="11"/>
      <c r="F56" s="11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3"/>
      <c r="T56" s="13"/>
      <c r="U56" s="13"/>
      <c r="V56" s="13"/>
      <c r="W56" s="13"/>
      <c r="X56" s="13"/>
      <c r="Y56" s="13"/>
      <c r="Z56" s="13"/>
      <c r="AA56" s="13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3"/>
      <c r="AO56" s="13"/>
      <c r="AP56" s="13"/>
      <c r="AQ56" s="13"/>
      <c r="AR56" s="13"/>
      <c r="AS56" s="13"/>
      <c r="AT56" s="13"/>
      <c r="AU56" s="13"/>
      <c r="AV56" s="13"/>
      <c r="AW56" s="14"/>
      <c r="AX56" s="14"/>
      <c r="AY56" s="14"/>
      <c r="AZ56" s="14"/>
      <c r="BA56" s="14"/>
    </row>
    <row r="57">
      <c r="A57" s="11"/>
      <c r="B57" s="11"/>
      <c r="C57" s="11"/>
      <c r="D57" s="11"/>
      <c r="E57" s="11"/>
      <c r="F57" s="11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3"/>
      <c r="T57" s="13"/>
      <c r="U57" s="13"/>
      <c r="V57" s="13"/>
      <c r="W57" s="13"/>
      <c r="X57" s="13"/>
      <c r="Y57" s="13"/>
      <c r="Z57" s="13"/>
      <c r="AA57" s="13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3"/>
      <c r="AO57" s="13"/>
      <c r="AP57" s="13"/>
      <c r="AQ57" s="13"/>
      <c r="AR57" s="13"/>
      <c r="AS57" s="13"/>
      <c r="AT57" s="13"/>
      <c r="AU57" s="13"/>
      <c r="AV57" s="13"/>
      <c r="AW57" s="14"/>
      <c r="AX57" s="14"/>
      <c r="AY57" s="14"/>
      <c r="AZ57" s="14"/>
      <c r="BA57" s="14"/>
    </row>
    <row r="58">
      <c r="A58" s="11"/>
      <c r="B58" s="11"/>
      <c r="C58" s="11"/>
      <c r="D58" s="11"/>
      <c r="E58" s="11"/>
      <c r="F58" s="11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3"/>
      <c r="T58" s="13"/>
      <c r="U58" s="13"/>
      <c r="V58" s="13"/>
      <c r="W58" s="13"/>
      <c r="X58" s="13"/>
      <c r="Y58" s="13"/>
      <c r="Z58" s="13"/>
      <c r="AA58" s="13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3"/>
      <c r="AO58" s="13"/>
      <c r="AP58" s="13"/>
      <c r="AQ58" s="13"/>
      <c r="AR58" s="13"/>
      <c r="AS58" s="13"/>
      <c r="AT58" s="13"/>
      <c r="AU58" s="13"/>
      <c r="AV58" s="13"/>
      <c r="AW58" s="14"/>
      <c r="AX58" s="14"/>
      <c r="AY58" s="14"/>
      <c r="AZ58" s="14"/>
      <c r="BA58" s="14"/>
    </row>
    <row r="59">
      <c r="A59" s="11"/>
      <c r="B59" s="11"/>
      <c r="C59" s="11"/>
      <c r="D59" s="11"/>
      <c r="E59" s="11"/>
      <c r="F59" s="11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3"/>
      <c r="T59" s="13"/>
      <c r="U59" s="13"/>
      <c r="V59" s="13"/>
      <c r="W59" s="13"/>
      <c r="X59" s="13"/>
      <c r="Y59" s="13"/>
      <c r="Z59" s="13"/>
      <c r="AA59" s="13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3"/>
      <c r="AO59" s="13"/>
      <c r="AP59" s="13"/>
      <c r="AQ59" s="13"/>
      <c r="AR59" s="13"/>
      <c r="AS59" s="13"/>
      <c r="AT59" s="13"/>
      <c r="AU59" s="13"/>
      <c r="AV59" s="13"/>
      <c r="AW59" s="14"/>
      <c r="AX59" s="14"/>
      <c r="AY59" s="14"/>
      <c r="AZ59" s="14"/>
      <c r="BA59" s="14"/>
    </row>
    <row r="60">
      <c r="A60" s="11"/>
      <c r="B60" s="11"/>
      <c r="C60" s="11"/>
      <c r="D60" s="11"/>
      <c r="E60" s="11"/>
      <c r="F60" s="11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3"/>
      <c r="T60" s="13"/>
      <c r="U60" s="13"/>
      <c r="V60" s="13"/>
      <c r="W60" s="13"/>
      <c r="X60" s="13"/>
      <c r="Y60" s="13"/>
      <c r="Z60" s="13"/>
      <c r="AA60" s="13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3"/>
      <c r="AO60" s="13"/>
      <c r="AP60" s="13"/>
      <c r="AQ60" s="13"/>
      <c r="AR60" s="13"/>
      <c r="AS60" s="13"/>
      <c r="AT60" s="13"/>
      <c r="AU60" s="13"/>
      <c r="AV60" s="13"/>
      <c r="AW60" s="14"/>
      <c r="AX60" s="14"/>
      <c r="AY60" s="14"/>
      <c r="AZ60" s="14"/>
      <c r="BA60" s="14"/>
    </row>
    <row r="61">
      <c r="A61" s="11"/>
      <c r="B61" s="11"/>
      <c r="C61" s="11"/>
      <c r="D61" s="11"/>
      <c r="E61" s="11"/>
      <c r="F61" s="11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3"/>
      <c r="T61" s="13"/>
      <c r="U61" s="13"/>
      <c r="V61" s="13"/>
      <c r="W61" s="13"/>
      <c r="X61" s="13"/>
      <c r="Y61" s="13"/>
      <c r="Z61" s="13"/>
      <c r="AA61" s="13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3"/>
      <c r="AO61" s="13"/>
      <c r="AP61" s="13"/>
      <c r="AQ61" s="13"/>
      <c r="AR61" s="13"/>
      <c r="AS61" s="13"/>
      <c r="AT61" s="13"/>
      <c r="AU61" s="13"/>
      <c r="AV61" s="13"/>
      <c r="AW61" s="14"/>
      <c r="AX61" s="14"/>
      <c r="AY61" s="14"/>
      <c r="AZ61" s="14"/>
      <c r="BA61" s="14"/>
    </row>
    <row r="62">
      <c r="A62" s="11"/>
      <c r="B62" s="11"/>
      <c r="C62" s="11"/>
      <c r="D62" s="11"/>
      <c r="E62" s="11"/>
      <c r="F62" s="11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3"/>
      <c r="T62" s="13"/>
      <c r="U62" s="13"/>
      <c r="V62" s="13"/>
      <c r="W62" s="13"/>
      <c r="X62" s="13"/>
      <c r="Y62" s="13"/>
      <c r="Z62" s="13"/>
      <c r="AA62" s="13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3"/>
      <c r="AO62" s="13"/>
      <c r="AP62" s="13"/>
      <c r="AQ62" s="13"/>
      <c r="AR62" s="13"/>
      <c r="AS62" s="13"/>
      <c r="AT62" s="13"/>
      <c r="AU62" s="13"/>
      <c r="AV62" s="13"/>
      <c r="AW62" s="14"/>
      <c r="AX62" s="14"/>
      <c r="AY62" s="14"/>
      <c r="AZ62" s="14"/>
      <c r="BA62" s="14"/>
    </row>
    <row r="63">
      <c r="A63" s="11"/>
      <c r="B63" s="11"/>
      <c r="C63" s="11"/>
      <c r="D63" s="11"/>
      <c r="E63" s="11"/>
      <c r="F63" s="11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3"/>
      <c r="T63" s="13"/>
      <c r="U63" s="13"/>
      <c r="V63" s="13"/>
      <c r="W63" s="13"/>
      <c r="X63" s="13"/>
      <c r="Y63" s="13"/>
      <c r="Z63" s="13"/>
      <c r="AA63" s="13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3"/>
      <c r="AO63" s="13"/>
      <c r="AP63" s="13"/>
      <c r="AQ63" s="13"/>
      <c r="AR63" s="13"/>
      <c r="AS63" s="13"/>
      <c r="AT63" s="13"/>
      <c r="AU63" s="13"/>
      <c r="AV63" s="13"/>
      <c r="AW63" s="14"/>
      <c r="AX63" s="14"/>
      <c r="AY63" s="14"/>
      <c r="AZ63" s="14"/>
      <c r="BA63" s="14"/>
    </row>
    <row r="64">
      <c r="A64" s="11"/>
      <c r="B64" s="11"/>
      <c r="C64" s="11"/>
      <c r="D64" s="11"/>
      <c r="E64" s="11"/>
      <c r="F64" s="11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3"/>
      <c r="T64" s="13"/>
      <c r="U64" s="13"/>
      <c r="V64" s="13"/>
      <c r="W64" s="13"/>
      <c r="X64" s="13"/>
      <c r="Y64" s="13"/>
      <c r="Z64" s="13"/>
      <c r="AA64" s="13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3"/>
      <c r="AO64" s="13"/>
      <c r="AP64" s="13"/>
      <c r="AQ64" s="13"/>
      <c r="AR64" s="13"/>
      <c r="AS64" s="13"/>
      <c r="AT64" s="13"/>
      <c r="AU64" s="13"/>
      <c r="AV64" s="13"/>
      <c r="AW64" s="14"/>
      <c r="AX64" s="14"/>
      <c r="AY64" s="14"/>
      <c r="AZ64" s="14"/>
      <c r="BA64" s="14"/>
    </row>
    <row r="65">
      <c r="A65" s="11"/>
      <c r="B65" s="11"/>
      <c r="C65" s="11"/>
      <c r="D65" s="11"/>
      <c r="E65" s="11"/>
      <c r="F65" s="11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3"/>
      <c r="T65" s="13"/>
      <c r="U65" s="13"/>
      <c r="V65" s="13"/>
      <c r="W65" s="13"/>
      <c r="X65" s="13"/>
      <c r="Y65" s="13"/>
      <c r="Z65" s="13"/>
      <c r="AA65" s="13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3"/>
      <c r="AO65" s="13"/>
      <c r="AP65" s="13"/>
      <c r="AQ65" s="13"/>
      <c r="AR65" s="13"/>
      <c r="AS65" s="13"/>
      <c r="AT65" s="13"/>
      <c r="AU65" s="13"/>
      <c r="AV65" s="13"/>
      <c r="AW65" s="14"/>
      <c r="AX65" s="14"/>
      <c r="AY65" s="14"/>
      <c r="AZ65" s="14"/>
      <c r="BA65" s="14"/>
    </row>
    <row r="66">
      <c r="A66" s="11"/>
      <c r="B66" s="11"/>
      <c r="C66" s="11"/>
      <c r="D66" s="11"/>
      <c r="E66" s="11"/>
      <c r="F66" s="11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3"/>
      <c r="T66" s="13"/>
      <c r="U66" s="13"/>
      <c r="V66" s="13"/>
      <c r="W66" s="13"/>
      <c r="X66" s="13"/>
      <c r="Y66" s="13"/>
      <c r="Z66" s="13"/>
      <c r="AA66" s="13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3"/>
      <c r="AO66" s="13"/>
      <c r="AP66" s="13"/>
      <c r="AQ66" s="13"/>
      <c r="AR66" s="13"/>
      <c r="AS66" s="13"/>
      <c r="AT66" s="13"/>
      <c r="AU66" s="13"/>
      <c r="AV66" s="13"/>
      <c r="AW66" s="14"/>
      <c r="AX66" s="14"/>
      <c r="AY66" s="14"/>
      <c r="AZ66" s="14"/>
      <c r="BA66" s="14"/>
    </row>
    <row r="67">
      <c r="A67" s="11"/>
      <c r="B67" s="11"/>
      <c r="C67" s="11"/>
      <c r="D67" s="11"/>
      <c r="E67" s="11"/>
      <c r="F67" s="11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3"/>
      <c r="T67" s="13"/>
      <c r="U67" s="13"/>
      <c r="V67" s="13"/>
      <c r="W67" s="13"/>
      <c r="X67" s="13"/>
      <c r="Y67" s="13"/>
      <c r="Z67" s="13"/>
      <c r="AA67" s="13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3"/>
      <c r="AO67" s="13"/>
      <c r="AP67" s="13"/>
      <c r="AQ67" s="13"/>
      <c r="AR67" s="13"/>
      <c r="AS67" s="13"/>
      <c r="AT67" s="13"/>
      <c r="AU67" s="13"/>
      <c r="AV67" s="13"/>
      <c r="AW67" s="14"/>
      <c r="AX67" s="14"/>
      <c r="AY67" s="14"/>
      <c r="AZ67" s="14"/>
      <c r="BA67" s="14"/>
    </row>
    <row r="68">
      <c r="A68" s="11"/>
      <c r="B68" s="11"/>
      <c r="C68" s="11"/>
      <c r="D68" s="11"/>
      <c r="E68" s="11"/>
      <c r="F68" s="11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3"/>
      <c r="T68" s="13"/>
      <c r="U68" s="13"/>
      <c r="V68" s="13"/>
      <c r="W68" s="13"/>
      <c r="X68" s="13"/>
      <c r="Y68" s="13"/>
      <c r="Z68" s="13"/>
      <c r="AA68" s="13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3"/>
      <c r="AO68" s="13"/>
      <c r="AP68" s="13"/>
      <c r="AQ68" s="13"/>
      <c r="AR68" s="13"/>
      <c r="AS68" s="13"/>
      <c r="AT68" s="13"/>
      <c r="AU68" s="13"/>
      <c r="AV68" s="13"/>
      <c r="AW68" s="14"/>
      <c r="AX68" s="14"/>
      <c r="AY68" s="14"/>
      <c r="AZ68" s="14"/>
      <c r="BA68" s="14"/>
    </row>
    <row r="69">
      <c r="A69" s="11"/>
      <c r="B69" s="11"/>
      <c r="C69" s="11"/>
      <c r="D69" s="11"/>
      <c r="E69" s="11"/>
      <c r="F69" s="11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3"/>
      <c r="T69" s="13"/>
      <c r="U69" s="13"/>
      <c r="V69" s="13"/>
      <c r="W69" s="13"/>
      <c r="X69" s="13"/>
      <c r="Y69" s="13"/>
      <c r="Z69" s="13"/>
      <c r="AA69" s="13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3"/>
      <c r="AO69" s="13"/>
      <c r="AP69" s="13"/>
      <c r="AQ69" s="13"/>
      <c r="AR69" s="13"/>
      <c r="AS69" s="13"/>
      <c r="AT69" s="13"/>
      <c r="AU69" s="13"/>
      <c r="AV69" s="13"/>
      <c r="AW69" s="14"/>
      <c r="AX69" s="14"/>
      <c r="AY69" s="14"/>
      <c r="AZ69" s="14"/>
      <c r="BA69" s="14"/>
    </row>
    <row r="70">
      <c r="A70" s="11"/>
      <c r="B70" s="11"/>
      <c r="C70" s="11"/>
      <c r="D70" s="11"/>
      <c r="E70" s="11"/>
      <c r="F70" s="11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3"/>
      <c r="T70" s="13"/>
      <c r="U70" s="13"/>
      <c r="V70" s="13"/>
      <c r="W70" s="13"/>
      <c r="X70" s="13"/>
      <c r="Y70" s="13"/>
      <c r="Z70" s="13"/>
      <c r="AA70" s="13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3"/>
      <c r="AO70" s="13"/>
      <c r="AP70" s="13"/>
      <c r="AQ70" s="13"/>
      <c r="AR70" s="13"/>
      <c r="AS70" s="13"/>
      <c r="AT70" s="13"/>
      <c r="AU70" s="13"/>
      <c r="AV70" s="13"/>
      <c r="AW70" s="14"/>
      <c r="AX70" s="14"/>
      <c r="AY70" s="14"/>
      <c r="AZ70" s="14"/>
      <c r="BA70" s="14"/>
    </row>
    <row r="71">
      <c r="A71" s="11"/>
      <c r="B71" s="11"/>
      <c r="C71" s="11"/>
      <c r="D71" s="11"/>
      <c r="E71" s="11"/>
      <c r="F71" s="11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3"/>
      <c r="T71" s="13"/>
      <c r="U71" s="13"/>
      <c r="V71" s="13"/>
      <c r="W71" s="13"/>
      <c r="X71" s="13"/>
      <c r="Y71" s="13"/>
      <c r="Z71" s="13"/>
      <c r="AA71" s="13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3"/>
      <c r="AO71" s="13"/>
      <c r="AP71" s="13"/>
      <c r="AQ71" s="13"/>
      <c r="AR71" s="13"/>
      <c r="AS71" s="13"/>
      <c r="AT71" s="13"/>
      <c r="AU71" s="13"/>
      <c r="AV71" s="13"/>
      <c r="AW71" s="14"/>
      <c r="AX71" s="14"/>
      <c r="AY71" s="14"/>
      <c r="AZ71" s="14"/>
      <c r="BA71" s="14"/>
    </row>
    <row r="72">
      <c r="A72" s="11"/>
      <c r="B72" s="11"/>
      <c r="C72" s="11"/>
      <c r="D72" s="11"/>
      <c r="E72" s="11"/>
      <c r="F72" s="11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3"/>
      <c r="T72" s="13"/>
      <c r="U72" s="13"/>
      <c r="V72" s="13"/>
      <c r="W72" s="13"/>
      <c r="X72" s="13"/>
      <c r="Y72" s="13"/>
      <c r="Z72" s="13"/>
      <c r="AA72" s="13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3"/>
      <c r="AO72" s="13"/>
      <c r="AP72" s="13"/>
      <c r="AQ72" s="13"/>
      <c r="AR72" s="13"/>
      <c r="AS72" s="13"/>
      <c r="AT72" s="13"/>
      <c r="AU72" s="13"/>
      <c r="AV72" s="13"/>
      <c r="AW72" s="14"/>
      <c r="AX72" s="14"/>
      <c r="AY72" s="14"/>
      <c r="AZ72" s="14"/>
      <c r="BA72" s="14"/>
    </row>
    <row r="73">
      <c r="A73" s="11"/>
      <c r="B73" s="11"/>
      <c r="C73" s="11"/>
      <c r="D73" s="11"/>
      <c r="E73" s="11"/>
      <c r="F73" s="11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3"/>
      <c r="T73" s="13"/>
      <c r="U73" s="13"/>
      <c r="V73" s="13"/>
      <c r="W73" s="13"/>
      <c r="X73" s="13"/>
      <c r="Y73" s="13"/>
      <c r="Z73" s="13"/>
      <c r="AA73" s="13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3"/>
      <c r="AO73" s="13"/>
      <c r="AP73" s="13"/>
      <c r="AQ73" s="13"/>
      <c r="AR73" s="13"/>
      <c r="AS73" s="13"/>
      <c r="AT73" s="13"/>
      <c r="AU73" s="13"/>
      <c r="AV73" s="13"/>
      <c r="AW73" s="14"/>
      <c r="AX73" s="14"/>
      <c r="AY73" s="14"/>
      <c r="AZ73" s="14"/>
      <c r="BA73" s="14"/>
    </row>
    <row r="74">
      <c r="A74" s="11"/>
      <c r="B74" s="11"/>
      <c r="C74" s="11"/>
      <c r="D74" s="11"/>
      <c r="E74" s="11"/>
      <c r="F74" s="11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3"/>
      <c r="T74" s="13"/>
      <c r="U74" s="13"/>
      <c r="V74" s="13"/>
      <c r="W74" s="13"/>
      <c r="X74" s="13"/>
      <c r="Y74" s="13"/>
      <c r="Z74" s="13"/>
      <c r="AA74" s="13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3"/>
      <c r="AO74" s="13"/>
      <c r="AP74" s="13"/>
      <c r="AQ74" s="13"/>
      <c r="AR74" s="13"/>
      <c r="AS74" s="13"/>
      <c r="AT74" s="13"/>
      <c r="AU74" s="13"/>
      <c r="AV74" s="13"/>
      <c r="AW74" s="14"/>
      <c r="AX74" s="14"/>
      <c r="AY74" s="14"/>
      <c r="AZ74" s="14"/>
      <c r="BA74" s="14"/>
    </row>
    <row r="75">
      <c r="A75" s="11"/>
      <c r="B75" s="11"/>
      <c r="C75" s="11"/>
      <c r="D75" s="11"/>
      <c r="E75" s="11"/>
      <c r="F75" s="11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3"/>
      <c r="T75" s="13"/>
      <c r="U75" s="13"/>
      <c r="V75" s="13"/>
      <c r="W75" s="13"/>
      <c r="X75" s="13"/>
      <c r="Y75" s="13"/>
      <c r="Z75" s="13"/>
      <c r="AA75" s="13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3"/>
      <c r="AO75" s="13"/>
      <c r="AP75" s="13"/>
      <c r="AQ75" s="13"/>
      <c r="AR75" s="13"/>
      <c r="AS75" s="13"/>
      <c r="AT75" s="13"/>
      <c r="AU75" s="13"/>
      <c r="AV75" s="13"/>
      <c r="AW75" s="14"/>
      <c r="AX75" s="14"/>
      <c r="AY75" s="14"/>
      <c r="AZ75" s="14"/>
      <c r="BA75" s="14"/>
    </row>
    <row r="76">
      <c r="A76" s="11"/>
      <c r="B76" s="11"/>
      <c r="C76" s="11"/>
      <c r="D76" s="11"/>
      <c r="E76" s="11"/>
      <c r="F76" s="11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3"/>
      <c r="T76" s="13"/>
      <c r="U76" s="13"/>
      <c r="V76" s="13"/>
      <c r="W76" s="13"/>
      <c r="X76" s="13"/>
      <c r="Y76" s="13"/>
      <c r="Z76" s="13"/>
      <c r="AA76" s="13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3"/>
      <c r="AO76" s="13"/>
      <c r="AP76" s="13"/>
      <c r="AQ76" s="13"/>
      <c r="AR76" s="13"/>
      <c r="AS76" s="13"/>
      <c r="AT76" s="13"/>
      <c r="AU76" s="13"/>
      <c r="AV76" s="13"/>
      <c r="AW76" s="14"/>
      <c r="AX76" s="14"/>
      <c r="AY76" s="14"/>
      <c r="AZ76" s="14"/>
      <c r="BA76" s="14"/>
    </row>
    <row r="77">
      <c r="A77" s="11"/>
      <c r="B77" s="11"/>
      <c r="C77" s="11"/>
      <c r="D77" s="11"/>
      <c r="E77" s="11"/>
      <c r="F77" s="11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3"/>
      <c r="T77" s="13"/>
      <c r="U77" s="13"/>
      <c r="V77" s="13"/>
      <c r="W77" s="13"/>
      <c r="X77" s="13"/>
      <c r="Y77" s="13"/>
      <c r="Z77" s="13"/>
      <c r="AA77" s="13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3"/>
      <c r="AO77" s="13"/>
      <c r="AP77" s="13"/>
      <c r="AQ77" s="13"/>
      <c r="AR77" s="13"/>
      <c r="AS77" s="13"/>
      <c r="AT77" s="13"/>
      <c r="AU77" s="13"/>
      <c r="AV77" s="13"/>
      <c r="AW77" s="14"/>
      <c r="AX77" s="14"/>
      <c r="AY77" s="14"/>
      <c r="AZ77" s="14"/>
      <c r="BA77" s="14"/>
    </row>
    <row r="78">
      <c r="A78" s="11"/>
      <c r="B78" s="11"/>
      <c r="C78" s="11"/>
      <c r="D78" s="11"/>
      <c r="E78" s="11"/>
      <c r="F78" s="11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3"/>
      <c r="T78" s="13"/>
      <c r="U78" s="13"/>
      <c r="V78" s="13"/>
      <c r="W78" s="13"/>
      <c r="X78" s="13"/>
      <c r="Y78" s="13"/>
      <c r="Z78" s="13"/>
      <c r="AA78" s="13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3"/>
      <c r="AO78" s="13"/>
      <c r="AP78" s="13"/>
      <c r="AQ78" s="13"/>
      <c r="AR78" s="13"/>
      <c r="AS78" s="13"/>
      <c r="AT78" s="13"/>
      <c r="AU78" s="13"/>
      <c r="AV78" s="13"/>
      <c r="AW78" s="14"/>
      <c r="AX78" s="14"/>
      <c r="AY78" s="14"/>
      <c r="AZ78" s="14"/>
      <c r="BA78" s="14"/>
    </row>
    <row r="79">
      <c r="A79" s="11"/>
      <c r="B79" s="11"/>
      <c r="C79" s="11"/>
      <c r="D79" s="11"/>
      <c r="E79" s="11"/>
      <c r="F79" s="11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3"/>
      <c r="T79" s="13"/>
      <c r="U79" s="13"/>
      <c r="V79" s="13"/>
      <c r="W79" s="13"/>
      <c r="X79" s="13"/>
      <c r="Y79" s="13"/>
      <c r="Z79" s="13"/>
      <c r="AA79" s="13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3"/>
      <c r="AO79" s="13"/>
      <c r="AP79" s="13"/>
      <c r="AQ79" s="13"/>
      <c r="AR79" s="13"/>
      <c r="AS79" s="13"/>
      <c r="AT79" s="13"/>
      <c r="AU79" s="13"/>
      <c r="AV79" s="13"/>
      <c r="AW79" s="14"/>
      <c r="AX79" s="14"/>
      <c r="AY79" s="14"/>
      <c r="AZ79" s="14"/>
      <c r="BA79" s="14"/>
    </row>
    <row r="80">
      <c r="A80" s="11"/>
      <c r="B80" s="11"/>
      <c r="C80" s="11"/>
      <c r="D80" s="11"/>
      <c r="E80" s="11"/>
      <c r="F80" s="11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3"/>
      <c r="T80" s="13"/>
      <c r="U80" s="13"/>
      <c r="V80" s="13"/>
      <c r="W80" s="13"/>
      <c r="X80" s="13"/>
      <c r="Y80" s="13"/>
      <c r="Z80" s="13"/>
      <c r="AA80" s="13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3"/>
      <c r="AO80" s="13"/>
      <c r="AP80" s="13"/>
      <c r="AQ80" s="13"/>
      <c r="AR80" s="13"/>
      <c r="AS80" s="13"/>
      <c r="AT80" s="13"/>
      <c r="AU80" s="13"/>
      <c r="AV80" s="13"/>
      <c r="AW80" s="14"/>
      <c r="AX80" s="14"/>
      <c r="AY80" s="14"/>
      <c r="AZ80" s="14"/>
      <c r="BA80" s="14"/>
    </row>
    <row r="81">
      <c r="A81" s="11"/>
      <c r="B81" s="11"/>
      <c r="C81" s="11"/>
      <c r="D81" s="11"/>
      <c r="E81" s="11"/>
      <c r="F81" s="11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3"/>
      <c r="T81" s="13"/>
      <c r="U81" s="13"/>
      <c r="V81" s="13"/>
      <c r="W81" s="13"/>
      <c r="X81" s="13"/>
      <c r="Y81" s="13"/>
      <c r="Z81" s="13"/>
      <c r="AA81" s="13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3"/>
      <c r="AO81" s="13"/>
      <c r="AP81" s="13"/>
      <c r="AQ81" s="13"/>
      <c r="AR81" s="13"/>
      <c r="AS81" s="13"/>
      <c r="AT81" s="13"/>
      <c r="AU81" s="13"/>
      <c r="AV81" s="13"/>
      <c r="AW81" s="14"/>
      <c r="AX81" s="14"/>
      <c r="AY81" s="14"/>
      <c r="AZ81" s="14"/>
      <c r="BA81" s="14"/>
    </row>
    <row r="82">
      <c r="A82" s="11"/>
      <c r="B82" s="11"/>
      <c r="C82" s="11"/>
      <c r="D82" s="11"/>
      <c r="E82" s="11"/>
      <c r="F82" s="11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3"/>
      <c r="T82" s="13"/>
      <c r="U82" s="13"/>
      <c r="V82" s="13"/>
      <c r="W82" s="13"/>
      <c r="X82" s="13"/>
      <c r="Y82" s="13"/>
      <c r="Z82" s="13"/>
      <c r="AA82" s="13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3"/>
      <c r="AO82" s="13"/>
      <c r="AP82" s="13"/>
      <c r="AQ82" s="13"/>
      <c r="AR82" s="13"/>
      <c r="AS82" s="13"/>
      <c r="AT82" s="13"/>
      <c r="AU82" s="13"/>
      <c r="AV82" s="13"/>
      <c r="AW82" s="14"/>
      <c r="AX82" s="14"/>
      <c r="AY82" s="14"/>
      <c r="AZ82" s="14"/>
      <c r="BA82" s="14"/>
    </row>
    <row r="83">
      <c r="A83" s="11"/>
      <c r="B83" s="11"/>
      <c r="C83" s="11"/>
      <c r="D83" s="11"/>
      <c r="E83" s="11"/>
      <c r="F83" s="11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3"/>
      <c r="T83" s="13"/>
      <c r="U83" s="13"/>
      <c r="V83" s="13"/>
      <c r="W83" s="13"/>
      <c r="X83" s="13"/>
      <c r="Y83" s="13"/>
      <c r="Z83" s="13"/>
      <c r="AA83" s="13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3"/>
      <c r="AO83" s="13"/>
      <c r="AP83" s="13"/>
      <c r="AQ83" s="13"/>
      <c r="AR83" s="13"/>
      <c r="AS83" s="13"/>
      <c r="AT83" s="13"/>
      <c r="AU83" s="13"/>
      <c r="AV83" s="13"/>
      <c r="AW83" s="14"/>
      <c r="AX83" s="14"/>
      <c r="AY83" s="14"/>
      <c r="AZ83" s="14"/>
      <c r="BA83" s="14"/>
    </row>
    <row r="84">
      <c r="A84" s="11"/>
      <c r="B84" s="11"/>
      <c r="C84" s="11"/>
      <c r="D84" s="11"/>
      <c r="E84" s="11"/>
      <c r="F84" s="11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3"/>
      <c r="T84" s="13"/>
      <c r="U84" s="13"/>
      <c r="V84" s="13"/>
      <c r="W84" s="13"/>
      <c r="X84" s="13"/>
      <c r="Y84" s="13"/>
      <c r="Z84" s="13"/>
      <c r="AA84" s="13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3"/>
      <c r="AO84" s="13"/>
      <c r="AP84" s="13"/>
      <c r="AQ84" s="13"/>
      <c r="AR84" s="13"/>
      <c r="AS84" s="13"/>
      <c r="AT84" s="13"/>
      <c r="AU84" s="13"/>
      <c r="AV84" s="13"/>
      <c r="AW84" s="14"/>
      <c r="AX84" s="14"/>
      <c r="AY84" s="14"/>
      <c r="AZ84" s="14"/>
      <c r="BA84" s="14"/>
    </row>
    <row r="85">
      <c r="A85" s="11"/>
      <c r="B85" s="11"/>
      <c r="C85" s="11"/>
      <c r="D85" s="11"/>
      <c r="E85" s="11"/>
      <c r="F85" s="11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3"/>
      <c r="T85" s="13"/>
      <c r="U85" s="13"/>
      <c r="V85" s="13"/>
      <c r="W85" s="13"/>
      <c r="X85" s="13"/>
      <c r="Y85" s="13"/>
      <c r="Z85" s="13"/>
      <c r="AA85" s="13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3"/>
      <c r="AO85" s="13"/>
      <c r="AP85" s="13"/>
      <c r="AQ85" s="13"/>
      <c r="AR85" s="13"/>
      <c r="AS85" s="13"/>
      <c r="AT85" s="13"/>
      <c r="AU85" s="13"/>
      <c r="AV85" s="13"/>
      <c r="AW85" s="14"/>
      <c r="AX85" s="14"/>
      <c r="AY85" s="14"/>
      <c r="AZ85" s="14"/>
      <c r="BA85" s="14"/>
    </row>
    <row r="86">
      <c r="A86" s="11"/>
      <c r="B86" s="11"/>
      <c r="C86" s="11"/>
      <c r="D86" s="11"/>
      <c r="E86" s="11"/>
      <c r="F86" s="11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3"/>
      <c r="T86" s="13"/>
      <c r="U86" s="13"/>
      <c r="V86" s="13"/>
      <c r="W86" s="13"/>
      <c r="X86" s="13"/>
      <c r="Y86" s="13"/>
      <c r="Z86" s="13"/>
      <c r="AA86" s="13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3"/>
      <c r="AO86" s="13"/>
      <c r="AP86" s="13"/>
      <c r="AQ86" s="13"/>
      <c r="AR86" s="13"/>
      <c r="AS86" s="13"/>
      <c r="AT86" s="13"/>
      <c r="AU86" s="13"/>
      <c r="AV86" s="13"/>
      <c r="AW86" s="14"/>
      <c r="AX86" s="14"/>
      <c r="AY86" s="14"/>
      <c r="AZ86" s="14"/>
      <c r="BA86" s="14"/>
    </row>
    <row r="87">
      <c r="A87" s="11"/>
      <c r="B87" s="11"/>
      <c r="C87" s="11"/>
      <c r="D87" s="11"/>
      <c r="E87" s="11"/>
      <c r="F87" s="11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3"/>
      <c r="T87" s="13"/>
      <c r="U87" s="13"/>
      <c r="V87" s="13"/>
      <c r="W87" s="13"/>
      <c r="X87" s="13"/>
      <c r="Y87" s="13"/>
      <c r="Z87" s="13"/>
      <c r="AA87" s="13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3"/>
      <c r="AO87" s="13"/>
      <c r="AP87" s="13"/>
      <c r="AQ87" s="13"/>
      <c r="AR87" s="13"/>
      <c r="AS87" s="13"/>
      <c r="AT87" s="13"/>
      <c r="AU87" s="13"/>
      <c r="AV87" s="13"/>
      <c r="AW87" s="14"/>
      <c r="AX87" s="14"/>
      <c r="AY87" s="14"/>
      <c r="AZ87" s="14"/>
      <c r="BA87" s="14"/>
    </row>
    <row r="88">
      <c r="A88" s="11"/>
      <c r="B88" s="11"/>
      <c r="C88" s="11"/>
      <c r="D88" s="11"/>
      <c r="E88" s="11"/>
      <c r="F88" s="11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3"/>
      <c r="T88" s="13"/>
      <c r="U88" s="13"/>
      <c r="V88" s="13"/>
      <c r="W88" s="13"/>
      <c r="X88" s="13"/>
      <c r="Y88" s="13"/>
      <c r="Z88" s="13"/>
      <c r="AA88" s="13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3"/>
      <c r="AO88" s="13"/>
      <c r="AP88" s="13"/>
      <c r="AQ88" s="13"/>
      <c r="AR88" s="13"/>
      <c r="AS88" s="13"/>
      <c r="AT88" s="13"/>
      <c r="AU88" s="13"/>
      <c r="AV88" s="13"/>
      <c r="AW88" s="14"/>
      <c r="AX88" s="14"/>
      <c r="AY88" s="14"/>
      <c r="AZ88" s="14"/>
      <c r="BA88" s="14"/>
    </row>
    <row r="89">
      <c r="A89" s="11"/>
      <c r="B89" s="11"/>
      <c r="C89" s="11"/>
      <c r="D89" s="11"/>
      <c r="E89" s="11"/>
      <c r="F89" s="11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3"/>
      <c r="T89" s="13"/>
      <c r="U89" s="13"/>
      <c r="V89" s="13"/>
      <c r="W89" s="13"/>
      <c r="X89" s="13"/>
      <c r="Y89" s="13"/>
      <c r="Z89" s="13"/>
      <c r="AA89" s="13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3"/>
      <c r="AO89" s="13"/>
      <c r="AP89" s="13"/>
      <c r="AQ89" s="13"/>
      <c r="AR89" s="13"/>
      <c r="AS89" s="13"/>
      <c r="AT89" s="13"/>
      <c r="AU89" s="13"/>
      <c r="AV89" s="13"/>
      <c r="AW89" s="14"/>
      <c r="AX89" s="14"/>
      <c r="AY89" s="14"/>
      <c r="AZ89" s="14"/>
      <c r="BA89" s="14"/>
    </row>
    <row r="90">
      <c r="A90" s="11"/>
      <c r="B90" s="11"/>
      <c r="C90" s="11"/>
      <c r="D90" s="11"/>
      <c r="E90" s="11"/>
      <c r="F90" s="11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3"/>
      <c r="T90" s="13"/>
      <c r="U90" s="13"/>
      <c r="V90" s="13"/>
      <c r="W90" s="13"/>
      <c r="X90" s="13"/>
      <c r="Y90" s="13"/>
      <c r="Z90" s="13"/>
      <c r="AA90" s="13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3"/>
      <c r="AO90" s="13"/>
      <c r="AP90" s="13"/>
      <c r="AQ90" s="13"/>
      <c r="AR90" s="13"/>
      <c r="AS90" s="13"/>
      <c r="AT90" s="13"/>
      <c r="AU90" s="13"/>
      <c r="AV90" s="13"/>
      <c r="AW90" s="14"/>
      <c r="AX90" s="14"/>
      <c r="AY90" s="14"/>
      <c r="AZ90" s="14"/>
      <c r="BA90" s="14"/>
    </row>
    <row r="91">
      <c r="A91" s="11"/>
      <c r="B91" s="11"/>
      <c r="C91" s="11"/>
      <c r="D91" s="11"/>
      <c r="E91" s="11"/>
      <c r="F91" s="11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3"/>
      <c r="T91" s="13"/>
      <c r="U91" s="13"/>
      <c r="V91" s="13"/>
      <c r="W91" s="13"/>
      <c r="X91" s="13"/>
      <c r="Y91" s="13"/>
      <c r="Z91" s="13"/>
      <c r="AA91" s="13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3"/>
      <c r="AO91" s="13"/>
      <c r="AP91" s="13"/>
      <c r="AQ91" s="13"/>
      <c r="AR91" s="13"/>
      <c r="AS91" s="13"/>
      <c r="AT91" s="13"/>
      <c r="AU91" s="13"/>
      <c r="AV91" s="13"/>
      <c r="AW91" s="14"/>
      <c r="AX91" s="14"/>
      <c r="AY91" s="14"/>
      <c r="AZ91" s="14"/>
      <c r="BA91" s="14"/>
    </row>
    <row r="92">
      <c r="A92" s="11"/>
      <c r="B92" s="11"/>
      <c r="C92" s="11"/>
      <c r="D92" s="11"/>
      <c r="E92" s="11"/>
      <c r="F92" s="11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3"/>
      <c r="T92" s="13"/>
      <c r="U92" s="13"/>
      <c r="V92" s="13"/>
      <c r="W92" s="13"/>
      <c r="X92" s="13"/>
      <c r="Y92" s="13"/>
      <c r="Z92" s="13"/>
      <c r="AA92" s="13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3"/>
      <c r="AO92" s="13"/>
      <c r="AP92" s="13"/>
      <c r="AQ92" s="13"/>
      <c r="AR92" s="13"/>
      <c r="AS92" s="13"/>
      <c r="AT92" s="13"/>
      <c r="AU92" s="13"/>
      <c r="AV92" s="13"/>
      <c r="AW92" s="14"/>
      <c r="AX92" s="14"/>
      <c r="AY92" s="14"/>
      <c r="AZ92" s="14"/>
      <c r="BA92" s="14"/>
    </row>
    <row r="93">
      <c r="A93" s="11"/>
      <c r="B93" s="11"/>
      <c r="C93" s="11"/>
      <c r="D93" s="11"/>
      <c r="E93" s="11"/>
      <c r="F93" s="11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3"/>
      <c r="T93" s="13"/>
      <c r="U93" s="13"/>
      <c r="V93" s="13"/>
      <c r="W93" s="13"/>
      <c r="X93" s="13"/>
      <c r="Y93" s="13"/>
      <c r="Z93" s="13"/>
      <c r="AA93" s="13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3"/>
      <c r="AO93" s="13"/>
      <c r="AP93" s="13"/>
      <c r="AQ93" s="13"/>
      <c r="AR93" s="13"/>
      <c r="AS93" s="13"/>
      <c r="AT93" s="13"/>
      <c r="AU93" s="13"/>
      <c r="AV93" s="13"/>
      <c r="AW93" s="14"/>
      <c r="AX93" s="14"/>
      <c r="AY93" s="14"/>
      <c r="AZ93" s="14"/>
      <c r="BA93" s="14"/>
    </row>
    <row r="94">
      <c r="A94" s="11"/>
      <c r="B94" s="11"/>
      <c r="C94" s="11"/>
      <c r="D94" s="11"/>
      <c r="E94" s="11"/>
      <c r="F94" s="11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3"/>
      <c r="T94" s="13"/>
      <c r="U94" s="13"/>
      <c r="V94" s="13"/>
      <c r="W94" s="13"/>
      <c r="X94" s="13"/>
      <c r="Y94" s="13"/>
      <c r="Z94" s="13"/>
      <c r="AA94" s="13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3"/>
      <c r="AO94" s="13"/>
      <c r="AP94" s="13"/>
      <c r="AQ94" s="13"/>
      <c r="AR94" s="13"/>
      <c r="AS94" s="13"/>
      <c r="AT94" s="13"/>
      <c r="AU94" s="13"/>
      <c r="AV94" s="13"/>
      <c r="AW94" s="14"/>
      <c r="AX94" s="14"/>
      <c r="AY94" s="14"/>
      <c r="AZ94" s="14"/>
      <c r="BA94" s="14"/>
    </row>
    <row r="95">
      <c r="A95" s="11"/>
      <c r="B95" s="11"/>
      <c r="C95" s="11"/>
      <c r="D95" s="11"/>
      <c r="E95" s="11"/>
      <c r="F95" s="11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3"/>
      <c r="T95" s="13"/>
      <c r="U95" s="13"/>
      <c r="V95" s="13"/>
      <c r="W95" s="13"/>
      <c r="X95" s="13"/>
      <c r="Y95" s="13"/>
      <c r="Z95" s="13"/>
      <c r="AA95" s="13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3"/>
      <c r="AO95" s="13"/>
      <c r="AP95" s="13"/>
      <c r="AQ95" s="13"/>
      <c r="AR95" s="13"/>
      <c r="AS95" s="13"/>
      <c r="AT95" s="13"/>
      <c r="AU95" s="13"/>
      <c r="AV95" s="13"/>
      <c r="AW95" s="14"/>
      <c r="AX95" s="14"/>
      <c r="AY95" s="14"/>
      <c r="AZ95" s="14"/>
      <c r="BA95" s="14"/>
    </row>
    <row r="96">
      <c r="A96" s="11"/>
      <c r="B96" s="11"/>
      <c r="C96" s="11"/>
      <c r="D96" s="11"/>
      <c r="E96" s="11"/>
      <c r="F96" s="11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3"/>
      <c r="T96" s="13"/>
      <c r="U96" s="13"/>
      <c r="V96" s="13"/>
      <c r="W96" s="13"/>
      <c r="X96" s="13"/>
      <c r="Y96" s="13"/>
      <c r="Z96" s="13"/>
      <c r="AA96" s="13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3"/>
      <c r="AO96" s="13"/>
      <c r="AP96" s="13"/>
      <c r="AQ96" s="13"/>
      <c r="AR96" s="13"/>
      <c r="AS96" s="13"/>
      <c r="AT96" s="13"/>
      <c r="AU96" s="13"/>
      <c r="AV96" s="13"/>
      <c r="AW96" s="14"/>
      <c r="AX96" s="14"/>
      <c r="AY96" s="14"/>
      <c r="AZ96" s="14"/>
      <c r="BA96" s="14"/>
    </row>
    <row r="97">
      <c r="A97" s="11"/>
      <c r="B97" s="11"/>
      <c r="C97" s="11"/>
      <c r="D97" s="11"/>
      <c r="E97" s="11"/>
      <c r="F97" s="11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3"/>
      <c r="T97" s="13"/>
      <c r="U97" s="13"/>
      <c r="V97" s="13"/>
      <c r="W97" s="13"/>
      <c r="X97" s="13"/>
      <c r="Y97" s="13"/>
      <c r="Z97" s="13"/>
      <c r="AA97" s="13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3"/>
      <c r="AO97" s="13"/>
      <c r="AP97" s="13"/>
      <c r="AQ97" s="13"/>
      <c r="AR97" s="13"/>
      <c r="AS97" s="13"/>
      <c r="AT97" s="13"/>
      <c r="AU97" s="13"/>
      <c r="AV97" s="13"/>
      <c r="AW97" s="14"/>
      <c r="AX97" s="14"/>
      <c r="AY97" s="14"/>
      <c r="AZ97" s="14"/>
      <c r="BA97" s="14"/>
    </row>
    <row r="98">
      <c r="A98" s="11"/>
      <c r="B98" s="11"/>
      <c r="C98" s="11"/>
      <c r="D98" s="11"/>
      <c r="E98" s="11"/>
      <c r="F98" s="11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3"/>
      <c r="T98" s="13"/>
      <c r="U98" s="13"/>
      <c r="V98" s="13"/>
      <c r="W98" s="13"/>
      <c r="X98" s="13"/>
      <c r="Y98" s="13"/>
      <c r="Z98" s="13"/>
      <c r="AA98" s="13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3"/>
      <c r="AO98" s="13"/>
      <c r="AP98" s="13"/>
      <c r="AQ98" s="13"/>
      <c r="AR98" s="13"/>
      <c r="AS98" s="13"/>
      <c r="AT98" s="13"/>
      <c r="AU98" s="13"/>
      <c r="AV98" s="13"/>
      <c r="AW98" s="14"/>
      <c r="AX98" s="14"/>
      <c r="AY98" s="14"/>
      <c r="AZ98" s="14"/>
      <c r="BA98" s="14"/>
    </row>
    <row r="99">
      <c r="A99" s="11"/>
      <c r="B99" s="11"/>
      <c r="C99" s="11"/>
      <c r="D99" s="11"/>
      <c r="E99" s="11"/>
      <c r="F99" s="11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3"/>
      <c r="T99" s="13"/>
      <c r="U99" s="13"/>
      <c r="V99" s="13"/>
      <c r="W99" s="13"/>
      <c r="X99" s="13"/>
      <c r="Y99" s="13"/>
      <c r="Z99" s="13"/>
      <c r="AA99" s="13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3"/>
      <c r="AO99" s="13"/>
      <c r="AP99" s="13"/>
      <c r="AQ99" s="13"/>
      <c r="AR99" s="13"/>
      <c r="AS99" s="13"/>
      <c r="AT99" s="13"/>
      <c r="AU99" s="13"/>
      <c r="AV99" s="13"/>
      <c r="AW99" s="14"/>
      <c r="AX99" s="14"/>
      <c r="AY99" s="14"/>
      <c r="AZ99" s="14"/>
      <c r="BA99" s="14"/>
    </row>
    <row r="100">
      <c r="A100" s="11"/>
      <c r="B100" s="11"/>
      <c r="C100" s="11"/>
      <c r="D100" s="11"/>
      <c r="E100" s="11"/>
      <c r="F100" s="11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3"/>
      <c r="T100" s="13"/>
      <c r="U100" s="13"/>
      <c r="V100" s="13"/>
      <c r="W100" s="13"/>
      <c r="X100" s="13"/>
      <c r="Y100" s="13"/>
      <c r="Z100" s="13"/>
      <c r="AA100" s="13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3"/>
      <c r="AO100" s="13"/>
      <c r="AP100" s="13"/>
      <c r="AQ100" s="13"/>
      <c r="AR100" s="13"/>
      <c r="AS100" s="13"/>
      <c r="AT100" s="13"/>
      <c r="AU100" s="13"/>
      <c r="AV100" s="13"/>
      <c r="AW100" s="14"/>
      <c r="AX100" s="14"/>
      <c r="AY100" s="14"/>
      <c r="AZ100" s="14"/>
      <c r="BA100" s="14"/>
    </row>
    <row r="101">
      <c r="A101" s="11"/>
      <c r="B101" s="11"/>
      <c r="C101" s="11"/>
      <c r="D101" s="11"/>
      <c r="E101" s="11"/>
      <c r="F101" s="11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3"/>
      <c r="T101" s="13"/>
      <c r="U101" s="13"/>
      <c r="V101" s="13"/>
      <c r="W101" s="13"/>
      <c r="X101" s="13"/>
      <c r="Y101" s="13"/>
      <c r="Z101" s="13"/>
      <c r="AA101" s="13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3"/>
      <c r="AO101" s="13"/>
      <c r="AP101" s="13"/>
      <c r="AQ101" s="13"/>
      <c r="AR101" s="13"/>
      <c r="AS101" s="13"/>
      <c r="AT101" s="13"/>
      <c r="AU101" s="13"/>
      <c r="AV101" s="13"/>
      <c r="AW101" s="14"/>
      <c r="AX101" s="14"/>
      <c r="AY101" s="14"/>
      <c r="AZ101" s="14"/>
      <c r="BA101" s="14"/>
    </row>
    <row r="102">
      <c r="A102" s="11"/>
      <c r="B102" s="11"/>
      <c r="C102" s="11"/>
      <c r="D102" s="11"/>
      <c r="E102" s="11"/>
      <c r="F102" s="11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3"/>
      <c r="T102" s="13"/>
      <c r="U102" s="13"/>
      <c r="V102" s="13"/>
      <c r="W102" s="13"/>
      <c r="X102" s="13"/>
      <c r="Y102" s="13"/>
      <c r="Z102" s="13"/>
      <c r="AA102" s="13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3"/>
      <c r="AO102" s="13"/>
      <c r="AP102" s="13"/>
      <c r="AQ102" s="13"/>
      <c r="AR102" s="13"/>
      <c r="AS102" s="13"/>
      <c r="AT102" s="13"/>
      <c r="AU102" s="13"/>
      <c r="AV102" s="13"/>
      <c r="AW102" s="14"/>
      <c r="AX102" s="14"/>
      <c r="AY102" s="14"/>
      <c r="AZ102" s="14"/>
      <c r="BA102" s="14"/>
    </row>
    <row r="103">
      <c r="A103" s="11"/>
      <c r="B103" s="11"/>
      <c r="C103" s="11"/>
      <c r="D103" s="11"/>
      <c r="E103" s="11"/>
      <c r="F103" s="11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3"/>
      <c r="T103" s="13"/>
      <c r="U103" s="13"/>
      <c r="V103" s="13"/>
      <c r="W103" s="13"/>
      <c r="X103" s="13"/>
      <c r="Y103" s="13"/>
      <c r="Z103" s="13"/>
      <c r="AA103" s="13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3"/>
      <c r="AO103" s="13"/>
      <c r="AP103" s="13"/>
      <c r="AQ103" s="13"/>
      <c r="AR103" s="13"/>
      <c r="AS103" s="13"/>
      <c r="AT103" s="13"/>
      <c r="AU103" s="13"/>
      <c r="AV103" s="13"/>
      <c r="AW103" s="14"/>
      <c r="AX103" s="14"/>
      <c r="AY103" s="14"/>
      <c r="AZ103" s="14"/>
      <c r="BA103" s="14"/>
    </row>
    <row r="104">
      <c r="A104" s="11"/>
      <c r="B104" s="11"/>
      <c r="C104" s="11"/>
      <c r="D104" s="11"/>
      <c r="E104" s="11"/>
      <c r="F104" s="11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3"/>
      <c r="T104" s="13"/>
      <c r="U104" s="13"/>
      <c r="V104" s="13"/>
      <c r="W104" s="13"/>
      <c r="X104" s="13"/>
      <c r="Y104" s="13"/>
      <c r="Z104" s="13"/>
      <c r="AA104" s="13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3"/>
      <c r="AO104" s="13"/>
      <c r="AP104" s="13"/>
      <c r="AQ104" s="13"/>
      <c r="AR104" s="13"/>
      <c r="AS104" s="13"/>
      <c r="AT104" s="13"/>
      <c r="AU104" s="13"/>
      <c r="AV104" s="13"/>
      <c r="AW104" s="14"/>
      <c r="AX104" s="14"/>
      <c r="AY104" s="14"/>
      <c r="AZ104" s="14"/>
      <c r="BA104" s="14"/>
    </row>
    <row r="105">
      <c r="A105" s="11"/>
      <c r="B105" s="11"/>
      <c r="C105" s="11"/>
      <c r="D105" s="11"/>
      <c r="E105" s="11"/>
      <c r="F105" s="11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3"/>
      <c r="T105" s="13"/>
      <c r="U105" s="13"/>
      <c r="V105" s="13"/>
      <c r="W105" s="13"/>
      <c r="X105" s="13"/>
      <c r="Y105" s="13"/>
      <c r="Z105" s="13"/>
      <c r="AA105" s="13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3"/>
      <c r="AO105" s="13"/>
      <c r="AP105" s="13"/>
      <c r="AQ105" s="13"/>
      <c r="AR105" s="13"/>
      <c r="AS105" s="13"/>
      <c r="AT105" s="13"/>
      <c r="AU105" s="13"/>
      <c r="AV105" s="13"/>
      <c r="AW105" s="14"/>
      <c r="AX105" s="14"/>
      <c r="AY105" s="14"/>
      <c r="AZ105" s="14"/>
      <c r="BA105" s="14"/>
    </row>
    <row r="106">
      <c r="A106" s="11"/>
      <c r="B106" s="11"/>
      <c r="C106" s="11"/>
      <c r="D106" s="11"/>
      <c r="E106" s="11"/>
      <c r="F106" s="11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3"/>
      <c r="T106" s="13"/>
      <c r="U106" s="13"/>
      <c r="V106" s="13"/>
      <c r="W106" s="13"/>
      <c r="X106" s="13"/>
      <c r="Y106" s="13"/>
      <c r="Z106" s="13"/>
      <c r="AA106" s="13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3"/>
      <c r="AO106" s="13"/>
      <c r="AP106" s="13"/>
      <c r="AQ106" s="13"/>
      <c r="AR106" s="13"/>
      <c r="AS106" s="13"/>
      <c r="AT106" s="13"/>
      <c r="AU106" s="13"/>
      <c r="AV106" s="13"/>
      <c r="AW106" s="14"/>
      <c r="AX106" s="14"/>
      <c r="AY106" s="14"/>
      <c r="AZ106" s="14"/>
      <c r="BA106" s="14"/>
    </row>
    <row r="107">
      <c r="A107" s="11"/>
      <c r="B107" s="11"/>
      <c r="C107" s="11"/>
      <c r="D107" s="11"/>
      <c r="E107" s="11"/>
      <c r="F107" s="11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3"/>
      <c r="T107" s="13"/>
      <c r="U107" s="13"/>
      <c r="V107" s="13"/>
      <c r="W107" s="13"/>
      <c r="X107" s="13"/>
      <c r="Y107" s="13"/>
      <c r="Z107" s="13"/>
      <c r="AA107" s="13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3"/>
      <c r="AO107" s="13"/>
      <c r="AP107" s="13"/>
      <c r="AQ107" s="13"/>
      <c r="AR107" s="13"/>
      <c r="AS107" s="13"/>
      <c r="AT107" s="13"/>
      <c r="AU107" s="13"/>
      <c r="AV107" s="13"/>
      <c r="AW107" s="14"/>
      <c r="AX107" s="14"/>
      <c r="AY107" s="14"/>
      <c r="AZ107" s="14"/>
      <c r="BA107" s="14"/>
    </row>
    <row r="108">
      <c r="A108" s="11"/>
      <c r="B108" s="11"/>
      <c r="C108" s="11"/>
      <c r="D108" s="11"/>
      <c r="E108" s="11"/>
      <c r="F108" s="11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3"/>
      <c r="T108" s="13"/>
      <c r="U108" s="13"/>
      <c r="V108" s="13"/>
      <c r="W108" s="13"/>
      <c r="X108" s="13"/>
      <c r="Y108" s="13"/>
      <c r="Z108" s="13"/>
      <c r="AA108" s="13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3"/>
      <c r="AO108" s="13"/>
      <c r="AP108" s="13"/>
      <c r="AQ108" s="13"/>
      <c r="AR108" s="13"/>
      <c r="AS108" s="13"/>
      <c r="AT108" s="13"/>
      <c r="AU108" s="13"/>
      <c r="AV108" s="13"/>
      <c r="AW108" s="14"/>
      <c r="AX108" s="14"/>
      <c r="AY108" s="14"/>
      <c r="AZ108" s="14"/>
      <c r="BA108" s="14"/>
    </row>
    <row r="109">
      <c r="A109" s="11"/>
      <c r="B109" s="11"/>
      <c r="C109" s="11"/>
      <c r="D109" s="11"/>
      <c r="E109" s="11"/>
      <c r="F109" s="11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3"/>
      <c r="T109" s="13"/>
      <c r="U109" s="13"/>
      <c r="V109" s="13"/>
      <c r="W109" s="13"/>
      <c r="X109" s="13"/>
      <c r="Y109" s="13"/>
      <c r="Z109" s="13"/>
      <c r="AA109" s="13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3"/>
      <c r="AO109" s="13"/>
      <c r="AP109" s="13"/>
      <c r="AQ109" s="13"/>
      <c r="AR109" s="13"/>
      <c r="AS109" s="13"/>
      <c r="AT109" s="13"/>
      <c r="AU109" s="13"/>
      <c r="AV109" s="13"/>
      <c r="AW109" s="14"/>
      <c r="AX109" s="14"/>
      <c r="AY109" s="14"/>
      <c r="AZ109" s="14"/>
      <c r="BA109" s="14"/>
    </row>
    <row r="110">
      <c r="A110" s="11"/>
      <c r="B110" s="11"/>
      <c r="C110" s="11"/>
      <c r="D110" s="11"/>
      <c r="E110" s="11"/>
      <c r="F110" s="11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3"/>
      <c r="T110" s="13"/>
      <c r="U110" s="13"/>
      <c r="V110" s="13"/>
      <c r="W110" s="13"/>
      <c r="X110" s="13"/>
      <c r="Y110" s="13"/>
      <c r="Z110" s="13"/>
      <c r="AA110" s="13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3"/>
      <c r="AO110" s="13"/>
      <c r="AP110" s="13"/>
      <c r="AQ110" s="13"/>
      <c r="AR110" s="13"/>
      <c r="AS110" s="13"/>
      <c r="AT110" s="13"/>
      <c r="AU110" s="13"/>
      <c r="AV110" s="13"/>
      <c r="AW110" s="14"/>
      <c r="AX110" s="14"/>
      <c r="AY110" s="14"/>
      <c r="AZ110" s="14"/>
      <c r="BA110" s="14"/>
    </row>
    <row r="111">
      <c r="A111" s="11"/>
      <c r="B111" s="11"/>
      <c r="C111" s="11"/>
      <c r="D111" s="11"/>
      <c r="E111" s="11"/>
      <c r="F111" s="11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3"/>
      <c r="T111" s="13"/>
      <c r="U111" s="13"/>
      <c r="V111" s="13"/>
      <c r="W111" s="13"/>
      <c r="X111" s="13"/>
      <c r="Y111" s="13"/>
      <c r="Z111" s="13"/>
      <c r="AA111" s="13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3"/>
      <c r="AO111" s="13"/>
      <c r="AP111" s="13"/>
      <c r="AQ111" s="13"/>
      <c r="AR111" s="13"/>
      <c r="AS111" s="13"/>
      <c r="AT111" s="13"/>
      <c r="AU111" s="13"/>
      <c r="AV111" s="13"/>
      <c r="AW111" s="14"/>
      <c r="AX111" s="14"/>
      <c r="AY111" s="14"/>
      <c r="AZ111" s="14"/>
      <c r="BA111" s="14"/>
    </row>
    <row r="112">
      <c r="A112" s="11"/>
      <c r="B112" s="11"/>
      <c r="C112" s="11"/>
      <c r="D112" s="11"/>
      <c r="E112" s="11"/>
      <c r="F112" s="11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3"/>
      <c r="T112" s="13"/>
      <c r="U112" s="13"/>
      <c r="V112" s="13"/>
      <c r="W112" s="13"/>
      <c r="X112" s="13"/>
      <c r="Y112" s="13"/>
      <c r="Z112" s="13"/>
      <c r="AA112" s="13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3"/>
      <c r="AO112" s="13"/>
      <c r="AP112" s="13"/>
      <c r="AQ112" s="13"/>
      <c r="AR112" s="13"/>
      <c r="AS112" s="13"/>
      <c r="AT112" s="13"/>
      <c r="AU112" s="13"/>
      <c r="AV112" s="13"/>
      <c r="AW112" s="14"/>
      <c r="AX112" s="14"/>
      <c r="AY112" s="14"/>
      <c r="AZ112" s="14"/>
      <c r="BA112" s="14"/>
    </row>
    <row r="113">
      <c r="A113" s="11"/>
      <c r="B113" s="11"/>
      <c r="C113" s="11"/>
      <c r="D113" s="11"/>
      <c r="E113" s="11"/>
      <c r="F113" s="11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3"/>
      <c r="T113" s="13"/>
      <c r="U113" s="13"/>
      <c r="V113" s="13"/>
      <c r="W113" s="13"/>
      <c r="X113" s="13"/>
      <c r="Y113" s="13"/>
      <c r="Z113" s="13"/>
      <c r="AA113" s="13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3"/>
      <c r="AO113" s="13"/>
      <c r="AP113" s="13"/>
      <c r="AQ113" s="13"/>
      <c r="AR113" s="13"/>
      <c r="AS113" s="13"/>
      <c r="AT113" s="13"/>
      <c r="AU113" s="13"/>
      <c r="AV113" s="13"/>
      <c r="AW113" s="14"/>
      <c r="AX113" s="14"/>
      <c r="AY113" s="14"/>
      <c r="AZ113" s="14"/>
      <c r="BA113" s="14"/>
    </row>
    <row r="114">
      <c r="A114" s="11"/>
      <c r="B114" s="11"/>
      <c r="C114" s="11"/>
      <c r="D114" s="11"/>
      <c r="E114" s="11"/>
      <c r="F114" s="11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3"/>
      <c r="T114" s="13"/>
      <c r="U114" s="13"/>
      <c r="V114" s="13"/>
      <c r="W114" s="13"/>
      <c r="X114" s="13"/>
      <c r="Y114" s="13"/>
      <c r="Z114" s="13"/>
      <c r="AA114" s="13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3"/>
      <c r="AO114" s="13"/>
      <c r="AP114" s="13"/>
      <c r="AQ114" s="13"/>
      <c r="AR114" s="13"/>
      <c r="AS114" s="13"/>
      <c r="AT114" s="13"/>
      <c r="AU114" s="13"/>
      <c r="AV114" s="13"/>
      <c r="AW114" s="14"/>
      <c r="AX114" s="14"/>
      <c r="AY114" s="14"/>
      <c r="AZ114" s="14"/>
      <c r="BA114" s="14"/>
    </row>
    <row r="115">
      <c r="A115" s="11"/>
      <c r="B115" s="11"/>
      <c r="C115" s="11"/>
      <c r="D115" s="11"/>
      <c r="E115" s="11"/>
      <c r="F115" s="11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3"/>
      <c r="T115" s="13"/>
      <c r="U115" s="13"/>
      <c r="V115" s="13"/>
      <c r="W115" s="13"/>
      <c r="X115" s="13"/>
      <c r="Y115" s="13"/>
      <c r="Z115" s="13"/>
      <c r="AA115" s="13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3"/>
      <c r="AO115" s="13"/>
      <c r="AP115" s="13"/>
      <c r="AQ115" s="13"/>
      <c r="AR115" s="13"/>
      <c r="AS115" s="13"/>
      <c r="AT115" s="13"/>
      <c r="AU115" s="13"/>
      <c r="AV115" s="13"/>
      <c r="AW115" s="14"/>
      <c r="AX115" s="14"/>
      <c r="AY115" s="14"/>
      <c r="AZ115" s="14"/>
      <c r="BA115" s="14"/>
    </row>
    <row r="116">
      <c r="A116" s="11"/>
      <c r="B116" s="11"/>
      <c r="C116" s="11"/>
      <c r="D116" s="11"/>
      <c r="E116" s="11"/>
      <c r="F116" s="11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3"/>
      <c r="T116" s="13"/>
      <c r="U116" s="13"/>
      <c r="V116" s="13"/>
      <c r="W116" s="13"/>
      <c r="X116" s="13"/>
      <c r="Y116" s="13"/>
      <c r="Z116" s="13"/>
      <c r="AA116" s="13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3"/>
      <c r="AO116" s="13"/>
      <c r="AP116" s="13"/>
      <c r="AQ116" s="13"/>
      <c r="AR116" s="13"/>
      <c r="AS116" s="13"/>
      <c r="AT116" s="13"/>
      <c r="AU116" s="13"/>
      <c r="AV116" s="13"/>
      <c r="AW116" s="14"/>
      <c r="AX116" s="14"/>
      <c r="AY116" s="14"/>
      <c r="AZ116" s="14"/>
      <c r="BA116" s="14"/>
    </row>
    <row r="117">
      <c r="A117" s="11"/>
      <c r="B117" s="11"/>
      <c r="C117" s="11"/>
      <c r="D117" s="11"/>
      <c r="E117" s="11"/>
      <c r="F117" s="11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3"/>
      <c r="T117" s="13"/>
      <c r="U117" s="13"/>
      <c r="V117" s="13"/>
      <c r="W117" s="13"/>
      <c r="X117" s="13"/>
      <c r="Y117" s="13"/>
      <c r="Z117" s="13"/>
      <c r="AA117" s="13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3"/>
      <c r="AO117" s="13"/>
      <c r="AP117" s="13"/>
      <c r="AQ117" s="13"/>
      <c r="AR117" s="13"/>
      <c r="AS117" s="13"/>
      <c r="AT117" s="13"/>
      <c r="AU117" s="13"/>
      <c r="AV117" s="13"/>
      <c r="AW117" s="14"/>
      <c r="AX117" s="14"/>
      <c r="AY117" s="14"/>
      <c r="AZ117" s="14"/>
      <c r="BA117" s="14"/>
    </row>
    <row r="118">
      <c r="A118" s="11"/>
      <c r="B118" s="11"/>
      <c r="C118" s="11"/>
      <c r="D118" s="11"/>
      <c r="E118" s="11"/>
      <c r="F118" s="11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3"/>
      <c r="T118" s="13"/>
      <c r="U118" s="13"/>
      <c r="V118" s="13"/>
      <c r="W118" s="13"/>
      <c r="X118" s="13"/>
      <c r="Y118" s="13"/>
      <c r="Z118" s="13"/>
      <c r="AA118" s="13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3"/>
      <c r="AO118" s="13"/>
      <c r="AP118" s="13"/>
      <c r="AQ118" s="13"/>
      <c r="AR118" s="13"/>
      <c r="AS118" s="13"/>
      <c r="AT118" s="13"/>
      <c r="AU118" s="13"/>
      <c r="AV118" s="13"/>
      <c r="AW118" s="14"/>
      <c r="AX118" s="14"/>
      <c r="AY118" s="14"/>
      <c r="AZ118" s="14"/>
      <c r="BA118" s="14"/>
    </row>
    <row r="119">
      <c r="A119" s="11"/>
      <c r="B119" s="11"/>
      <c r="C119" s="11"/>
      <c r="D119" s="11"/>
      <c r="E119" s="11"/>
      <c r="F119" s="11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3"/>
      <c r="T119" s="13"/>
      <c r="U119" s="13"/>
      <c r="V119" s="13"/>
      <c r="W119" s="13"/>
      <c r="X119" s="13"/>
      <c r="Y119" s="13"/>
      <c r="Z119" s="13"/>
      <c r="AA119" s="13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3"/>
      <c r="AO119" s="13"/>
      <c r="AP119" s="13"/>
      <c r="AQ119" s="13"/>
      <c r="AR119" s="13"/>
      <c r="AS119" s="13"/>
      <c r="AT119" s="13"/>
      <c r="AU119" s="13"/>
      <c r="AV119" s="13"/>
      <c r="AW119" s="14"/>
      <c r="AX119" s="14"/>
      <c r="AY119" s="14"/>
      <c r="AZ119" s="14"/>
      <c r="BA119" s="14"/>
    </row>
    <row r="120">
      <c r="A120" s="11"/>
      <c r="B120" s="11"/>
      <c r="C120" s="11"/>
      <c r="D120" s="11"/>
      <c r="E120" s="11"/>
      <c r="F120" s="11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3"/>
      <c r="T120" s="13"/>
      <c r="U120" s="13"/>
      <c r="V120" s="13"/>
      <c r="W120" s="13"/>
      <c r="X120" s="13"/>
      <c r="Y120" s="13"/>
      <c r="Z120" s="13"/>
      <c r="AA120" s="13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3"/>
      <c r="AO120" s="13"/>
      <c r="AP120" s="13"/>
      <c r="AQ120" s="13"/>
      <c r="AR120" s="13"/>
      <c r="AS120" s="13"/>
      <c r="AT120" s="13"/>
      <c r="AU120" s="13"/>
      <c r="AV120" s="13"/>
      <c r="AW120" s="14"/>
      <c r="AX120" s="14"/>
      <c r="AY120" s="14"/>
      <c r="AZ120" s="14"/>
      <c r="BA120" s="14"/>
    </row>
    <row r="121">
      <c r="A121" s="11"/>
      <c r="B121" s="11"/>
      <c r="C121" s="11"/>
      <c r="D121" s="11"/>
      <c r="E121" s="11"/>
      <c r="F121" s="11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3"/>
      <c r="T121" s="13"/>
      <c r="U121" s="13"/>
      <c r="V121" s="13"/>
      <c r="W121" s="13"/>
      <c r="X121" s="13"/>
      <c r="Y121" s="13"/>
      <c r="Z121" s="13"/>
      <c r="AA121" s="13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3"/>
      <c r="AO121" s="13"/>
      <c r="AP121" s="13"/>
      <c r="AQ121" s="13"/>
      <c r="AR121" s="13"/>
      <c r="AS121" s="13"/>
      <c r="AT121" s="13"/>
      <c r="AU121" s="13"/>
      <c r="AV121" s="13"/>
      <c r="AW121" s="14"/>
      <c r="AX121" s="14"/>
      <c r="AY121" s="14"/>
      <c r="AZ121" s="14"/>
      <c r="BA121" s="14"/>
    </row>
    <row r="122">
      <c r="A122" s="11"/>
      <c r="B122" s="11"/>
      <c r="C122" s="11"/>
      <c r="D122" s="11"/>
      <c r="E122" s="11"/>
      <c r="F122" s="11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3"/>
      <c r="T122" s="13"/>
      <c r="U122" s="13"/>
      <c r="V122" s="13"/>
      <c r="W122" s="13"/>
      <c r="X122" s="13"/>
      <c r="Y122" s="13"/>
      <c r="Z122" s="13"/>
      <c r="AA122" s="13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3"/>
      <c r="AO122" s="13"/>
      <c r="AP122" s="13"/>
      <c r="AQ122" s="13"/>
      <c r="AR122" s="13"/>
      <c r="AS122" s="13"/>
      <c r="AT122" s="13"/>
      <c r="AU122" s="13"/>
      <c r="AV122" s="13"/>
      <c r="AW122" s="14"/>
      <c r="AX122" s="14"/>
      <c r="AY122" s="14"/>
      <c r="AZ122" s="14"/>
      <c r="BA122" s="14"/>
    </row>
    <row r="123">
      <c r="A123" s="11"/>
      <c r="B123" s="11"/>
      <c r="C123" s="11"/>
      <c r="D123" s="11"/>
      <c r="E123" s="11"/>
      <c r="F123" s="11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3"/>
      <c r="T123" s="13"/>
      <c r="U123" s="13"/>
      <c r="V123" s="13"/>
      <c r="W123" s="13"/>
      <c r="X123" s="13"/>
      <c r="Y123" s="13"/>
      <c r="Z123" s="13"/>
      <c r="AA123" s="13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3"/>
      <c r="AO123" s="13"/>
      <c r="AP123" s="13"/>
      <c r="AQ123" s="13"/>
      <c r="AR123" s="13"/>
      <c r="AS123" s="13"/>
      <c r="AT123" s="13"/>
      <c r="AU123" s="13"/>
      <c r="AV123" s="13"/>
      <c r="AW123" s="14"/>
      <c r="AX123" s="14"/>
      <c r="AY123" s="14"/>
      <c r="AZ123" s="14"/>
      <c r="BA123" s="14"/>
    </row>
    <row r="124">
      <c r="A124" s="11"/>
      <c r="B124" s="11"/>
      <c r="C124" s="11"/>
      <c r="D124" s="11"/>
      <c r="E124" s="11"/>
      <c r="F124" s="11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3"/>
      <c r="T124" s="13"/>
      <c r="U124" s="13"/>
      <c r="V124" s="13"/>
      <c r="W124" s="13"/>
      <c r="X124" s="13"/>
      <c r="Y124" s="13"/>
      <c r="Z124" s="13"/>
      <c r="AA124" s="13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3"/>
      <c r="AO124" s="13"/>
      <c r="AP124" s="13"/>
      <c r="AQ124" s="13"/>
      <c r="AR124" s="13"/>
      <c r="AS124" s="13"/>
      <c r="AT124" s="13"/>
      <c r="AU124" s="13"/>
      <c r="AV124" s="13"/>
      <c r="AW124" s="14"/>
      <c r="AX124" s="14"/>
      <c r="AY124" s="14"/>
      <c r="AZ124" s="14"/>
      <c r="BA124" s="14"/>
    </row>
    <row r="125">
      <c r="A125" s="11"/>
      <c r="B125" s="11"/>
      <c r="C125" s="11"/>
      <c r="D125" s="11"/>
      <c r="E125" s="11"/>
      <c r="F125" s="11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3"/>
      <c r="T125" s="13"/>
      <c r="U125" s="13"/>
      <c r="V125" s="13"/>
      <c r="W125" s="13"/>
      <c r="X125" s="13"/>
      <c r="Y125" s="13"/>
      <c r="Z125" s="13"/>
      <c r="AA125" s="13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3"/>
      <c r="AO125" s="13"/>
      <c r="AP125" s="13"/>
      <c r="AQ125" s="13"/>
      <c r="AR125" s="13"/>
      <c r="AS125" s="13"/>
      <c r="AT125" s="13"/>
      <c r="AU125" s="13"/>
      <c r="AV125" s="13"/>
      <c r="AW125" s="14"/>
      <c r="AX125" s="14"/>
      <c r="AY125" s="14"/>
      <c r="AZ125" s="14"/>
      <c r="BA125" s="14"/>
    </row>
    <row r="126">
      <c r="A126" s="11"/>
      <c r="B126" s="11"/>
      <c r="C126" s="11"/>
      <c r="D126" s="11"/>
      <c r="E126" s="11"/>
      <c r="F126" s="11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3"/>
      <c r="T126" s="13"/>
      <c r="U126" s="13"/>
      <c r="V126" s="13"/>
      <c r="W126" s="13"/>
      <c r="X126" s="13"/>
      <c r="Y126" s="13"/>
      <c r="Z126" s="13"/>
      <c r="AA126" s="13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3"/>
      <c r="AO126" s="13"/>
      <c r="AP126" s="13"/>
      <c r="AQ126" s="13"/>
      <c r="AR126" s="13"/>
      <c r="AS126" s="13"/>
      <c r="AT126" s="13"/>
      <c r="AU126" s="13"/>
      <c r="AV126" s="13"/>
      <c r="AW126" s="14"/>
      <c r="AX126" s="14"/>
      <c r="AY126" s="14"/>
      <c r="AZ126" s="14"/>
      <c r="BA126" s="14"/>
    </row>
    <row r="127">
      <c r="A127" s="11"/>
      <c r="B127" s="11"/>
      <c r="C127" s="11"/>
      <c r="D127" s="11"/>
      <c r="E127" s="11"/>
      <c r="F127" s="11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3"/>
      <c r="T127" s="13"/>
      <c r="U127" s="13"/>
      <c r="V127" s="13"/>
      <c r="W127" s="13"/>
      <c r="X127" s="13"/>
      <c r="Y127" s="13"/>
      <c r="Z127" s="13"/>
      <c r="AA127" s="13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3"/>
      <c r="AO127" s="13"/>
      <c r="AP127" s="13"/>
      <c r="AQ127" s="13"/>
      <c r="AR127" s="13"/>
      <c r="AS127" s="13"/>
      <c r="AT127" s="13"/>
      <c r="AU127" s="13"/>
      <c r="AV127" s="13"/>
      <c r="AW127" s="14"/>
      <c r="AX127" s="14"/>
      <c r="AY127" s="14"/>
      <c r="AZ127" s="14"/>
      <c r="BA127" s="14"/>
    </row>
    <row r="128">
      <c r="A128" s="11"/>
      <c r="B128" s="11"/>
      <c r="C128" s="11"/>
      <c r="D128" s="11"/>
      <c r="E128" s="11"/>
      <c r="F128" s="11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3"/>
      <c r="T128" s="13"/>
      <c r="U128" s="13"/>
      <c r="V128" s="13"/>
      <c r="W128" s="13"/>
      <c r="X128" s="13"/>
      <c r="Y128" s="13"/>
      <c r="Z128" s="13"/>
      <c r="AA128" s="13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3"/>
      <c r="AO128" s="13"/>
      <c r="AP128" s="13"/>
      <c r="AQ128" s="13"/>
      <c r="AR128" s="13"/>
      <c r="AS128" s="13"/>
      <c r="AT128" s="13"/>
      <c r="AU128" s="13"/>
      <c r="AV128" s="13"/>
      <c r="AW128" s="14"/>
      <c r="AX128" s="14"/>
      <c r="AY128" s="14"/>
      <c r="AZ128" s="14"/>
      <c r="BA128" s="14"/>
    </row>
    <row r="129">
      <c r="A129" s="11"/>
      <c r="B129" s="11"/>
      <c r="C129" s="11"/>
      <c r="D129" s="11"/>
      <c r="E129" s="11"/>
      <c r="F129" s="11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3"/>
      <c r="T129" s="13"/>
      <c r="U129" s="13"/>
      <c r="V129" s="13"/>
      <c r="W129" s="13"/>
      <c r="X129" s="13"/>
      <c r="Y129" s="13"/>
      <c r="Z129" s="13"/>
      <c r="AA129" s="13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3"/>
      <c r="AO129" s="13"/>
      <c r="AP129" s="13"/>
      <c r="AQ129" s="13"/>
      <c r="AR129" s="13"/>
      <c r="AS129" s="13"/>
      <c r="AT129" s="13"/>
      <c r="AU129" s="13"/>
      <c r="AV129" s="13"/>
      <c r="AW129" s="14"/>
      <c r="AX129" s="14"/>
      <c r="AY129" s="14"/>
      <c r="AZ129" s="14"/>
      <c r="BA129" s="14"/>
    </row>
    <row r="130">
      <c r="A130" s="11"/>
      <c r="B130" s="11"/>
      <c r="C130" s="11"/>
      <c r="D130" s="11"/>
      <c r="E130" s="11"/>
      <c r="F130" s="11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3"/>
      <c r="T130" s="13"/>
      <c r="U130" s="13"/>
      <c r="V130" s="13"/>
      <c r="W130" s="13"/>
      <c r="X130" s="13"/>
      <c r="Y130" s="13"/>
      <c r="Z130" s="13"/>
      <c r="AA130" s="13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3"/>
      <c r="AO130" s="13"/>
      <c r="AP130" s="13"/>
      <c r="AQ130" s="13"/>
      <c r="AR130" s="13"/>
      <c r="AS130" s="13"/>
      <c r="AT130" s="13"/>
      <c r="AU130" s="13"/>
      <c r="AV130" s="13"/>
      <c r="AW130" s="14"/>
      <c r="AX130" s="14"/>
      <c r="AY130" s="14"/>
      <c r="AZ130" s="14"/>
      <c r="BA130" s="14"/>
    </row>
    <row r="131">
      <c r="A131" s="11"/>
      <c r="B131" s="11"/>
      <c r="C131" s="11"/>
      <c r="D131" s="11"/>
      <c r="E131" s="11"/>
      <c r="F131" s="11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3"/>
      <c r="T131" s="13"/>
      <c r="U131" s="13"/>
      <c r="V131" s="13"/>
      <c r="W131" s="13"/>
      <c r="X131" s="13"/>
      <c r="Y131" s="13"/>
      <c r="Z131" s="13"/>
      <c r="AA131" s="13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3"/>
      <c r="AO131" s="13"/>
      <c r="AP131" s="13"/>
      <c r="AQ131" s="13"/>
      <c r="AR131" s="13"/>
      <c r="AS131" s="13"/>
      <c r="AT131" s="13"/>
      <c r="AU131" s="13"/>
      <c r="AV131" s="13"/>
      <c r="AW131" s="14"/>
      <c r="AX131" s="14"/>
      <c r="AY131" s="14"/>
      <c r="AZ131" s="14"/>
      <c r="BA131" s="14"/>
    </row>
    <row r="132">
      <c r="A132" s="11"/>
      <c r="B132" s="11"/>
      <c r="C132" s="11"/>
      <c r="D132" s="11"/>
      <c r="E132" s="11"/>
      <c r="F132" s="11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3"/>
      <c r="T132" s="13"/>
      <c r="U132" s="13"/>
      <c r="V132" s="13"/>
      <c r="W132" s="13"/>
      <c r="X132" s="13"/>
      <c r="Y132" s="13"/>
      <c r="Z132" s="13"/>
      <c r="AA132" s="13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3"/>
      <c r="AO132" s="13"/>
      <c r="AP132" s="13"/>
      <c r="AQ132" s="13"/>
      <c r="AR132" s="13"/>
      <c r="AS132" s="13"/>
      <c r="AT132" s="13"/>
      <c r="AU132" s="13"/>
      <c r="AV132" s="13"/>
      <c r="AW132" s="14"/>
      <c r="AX132" s="14"/>
      <c r="AY132" s="14"/>
      <c r="AZ132" s="14"/>
      <c r="BA132" s="14"/>
    </row>
    <row r="133">
      <c r="A133" s="11"/>
      <c r="B133" s="11"/>
      <c r="C133" s="11"/>
      <c r="D133" s="11"/>
      <c r="E133" s="11"/>
      <c r="F133" s="11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3"/>
      <c r="T133" s="13"/>
      <c r="U133" s="13"/>
      <c r="V133" s="13"/>
      <c r="W133" s="13"/>
      <c r="X133" s="13"/>
      <c r="Y133" s="13"/>
      <c r="Z133" s="13"/>
      <c r="AA133" s="13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3"/>
      <c r="AO133" s="13"/>
      <c r="AP133" s="13"/>
      <c r="AQ133" s="13"/>
      <c r="AR133" s="13"/>
      <c r="AS133" s="13"/>
      <c r="AT133" s="13"/>
      <c r="AU133" s="13"/>
      <c r="AV133" s="13"/>
      <c r="AW133" s="14"/>
      <c r="AX133" s="14"/>
      <c r="AY133" s="14"/>
      <c r="AZ133" s="14"/>
      <c r="BA133" s="14"/>
    </row>
    <row r="134">
      <c r="A134" s="11"/>
      <c r="B134" s="11"/>
      <c r="C134" s="11"/>
      <c r="D134" s="11"/>
      <c r="E134" s="11"/>
      <c r="F134" s="11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3"/>
      <c r="T134" s="13"/>
      <c r="U134" s="13"/>
      <c r="V134" s="13"/>
      <c r="W134" s="13"/>
      <c r="X134" s="13"/>
      <c r="Y134" s="13"/>
      <c r="Z134" s="13"/>
      <c r="AA134" s="13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3"/>
      <c r="AO134" s="13"/>
      <c r="AP134" s="13"/>
      <c r="AQ134" s="13"/>
      <c r="AR134" s="13"/>
      <c r="AS134" s="13"/>
      <c r="AT134" s="13"/>
      <c r="AU134" s="13"/>
      <c r="AV134" s="13"/>
      <c r="AW134" s="14"/>
      <c r="AX134" s="14"/>
      <c r="AY134" s="14"/>
      <c r="AZ134" s="14"/>
      <c r="BA134" s="14"/>
    </row>
    <row r="135">
      <c r="A135" s="11"/>
      <c r="B135" s="11"/>
      <c r="C135" s="11"/>
      <c r="D135" s="11"/>
      <c r="E135" s="11"/>
      <c r="F135" s="11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3"/>
      <c r="T135" s="13"/>
      <c r="U135" s="13"/>
      <c r="V135" s="13"/>
      <c r="W135" s="13"/>
      <c r="X135" s="13"/>
      <c r="Y135" s="13"/>
      <c r="Z135" s="13"/>
      <c r="AA135" s="13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3"/>
      <c r="AO135" s="13"/>
      <c r="AP135" s="13"/>
      <c r="AQ135" s="13"/>
      <c r="AR135" s="13"/>
      <c r="AS135" s="13"/>
      <c r="AT135" s="13"/>
      <c r="AU135" s="13"/>
      <c r="AV135" s="13"/>
      <c r="AW135" s="14"/>
      <c r="AX135" s="14"/>
      <c r="AY135" s="14"/>
      <c r="AZ135" s="14"/>
      <c r="BA135" s="14"/>
    </row>
    <row r="136">
      <c r="A136" s="11"/>
      <c r="B136" s="11"/>
      <c r="C136" s="11"/>
      <c r="D136" s="11"/>
      <c r="E136" s="11"/>
      <c r="F136" s="11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3"/>
      <c r="T136" s="13"/>
      <c r="U136" s="13"/>
      <c r="V136" s="13"/>
      <c r="W136" s="13"/>
      <c r="X136" s="13"/>
      <c r="Y136" s="13"/>
      <c r="Z136" s="13"/>
      <c r="AA136" s="13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3"/>
      <c r="AO136" s="13"/>
      <c r="AP136" s="13"/>
      <c r="AQ136" s="13"/>
      <c r="AR136" s="13"/>
      <c r="AS136" s="13"/>
      <c r="AT136" s="13"/>
      <c r="AU136" s="13"/>
      <c r="AV136" s="13"/>
      <c r="AW136" s="14"/>
      <c r="AX136" s="14"/>
      <c r="AY136" s="14"/>
      <c r="AZ136" s="14"/>
      <c r="BA136" s="14"/>
    </row>
    <row r="137">
      <c r="A137" s="11"/>
      <c r="B137" s="11"/>
      <c r="C137" s="11"/>
      <c r="D137" s="11"/>
      <c r="E137" s="11"/>
      <c r="F137" s="11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3"/>
      <c r="T137" s="13"/>
      <c r="U137" s="13"/>
      <c r="V137" s="13"/>
      <c r="W137" s="13"/>
      <c r="X137" s="13"/>
      <c r="Y137" s="13"/>
      <c r="Z137" s="13"/>
      <c r="AA137" s="13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3"/>
      <c r="AO137" s="13"/>
      <c r="AP137" s="13"/>
      <c r="AQ137" s="13"/>
      <c r="AR137" s="13"/>
      <c r="AS137" s="13"/>
      <c r="AT137" s="13"/>
      <c r="AU137" s="13"/>
      <c r="AV137" s="13"/>
      <c r="AW137" s="14"/>
      <c r="AX137" s="14"/>
      <c r="AY137" s="14"/>
      <c r="AZ137" s="14"/>
      <c r="BA137" s="14"/>
    </row>
    <row r="138">
      <c r="A138" s="11"/>
      <c r="B138" s="11"/>
      <c r="C138" s="11"/>
      <c r="D138" s="11"/>
      <c r="E138" s="11"/>
      <c r="F138" s="11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3"/>
      <c r="T138" s="13"/>
      <c r="U138" s="13"/>
      <c r="V138" s="13"/>
      <c r="W138" s="13"/>
      <c r="X138" s="13"/>
      <c r="Y138" s="13"/>
      <c r="Z138" s="13"/>
      <c r="AA138" s="13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3"/>
      <c r="AO138" s="13"/>
      <c r="AP138" s="13"/>
      <c r="AQ138" s="13"/>
      <c r="AR138" s="13"/>
      <c r="AS138" s="13"/>
      <c r="AT138" s="13"/>
      <c r="AU138" s="13"/>
      <c r="AV138" s="13"/>
      <c r="AW138" s="14"/>
      <c r="AX138" s="14"/>
      <c r="AY138" s="14"/>
      <c r="AZ138" s="14"/>
      <c r="BA138" s="14"/>
    </row>
    <row r="139">
      <c r="A139" s="11"/>
      <c r="B139" s="11"/>
      <c r="C139" s="11"/>
      <c r="D139" s="11"/>
      <c r="E139" s="11"/>
      <c r="F139" s="11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3"/>
      <c r="T139" s="13"/>
      <c r="U139" s="13"/>
      <c r="V139" s="13"/>
      <c r="W139" s="13"/>
      <c r="X139" s="13"/>
      <c r="Y139" s="13"/>
      <c r="Z139" s="13"/>
      <c r="AA139" s="13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3"/>
      <c r="AO139" s="13"/>
      <c r="AP139" s="13"/>
      <c r="AQ139" s="13"/>
      <c r="AR139" s="13"/>
      <c r="AS139" s="13"/>
      <c r="AT139" s="13"/>
      <c r="AU139" s="13"/>
      <c r="AV139" s="13"/>
      <c r="AW139" s="14"/>
      <c r="AX139" s="14"/>
      <c r="AY139" s="14"/>
      <c r="AZ139" s="14"/>
      <c r="BA139" s="14"/>
    </row>
    <row r="140">
      <c r="A140" s="11"/>
      <c r="B140" s="11"/>
      <c r="C140" s="11"/>
      <c r="D140" s="11"/>
      <c r="E140" s="11"/>
      <c r="F140" s="11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3"/>
      <c r="T140" s="13"/>
      <c r="U140" s="13"/>
      <c r="V140" s="13"/>
      <c r="W140" s="13"/>
      <c r="X140" s="13"/>
      <c r="Y140" s="13"/>
      <c r="Z140" s="13"/>
      <c r="AA140" s="13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3"/>
      <c r="AO140" s="13"/>
      <c r="AP140" s="13"/>
      <c r="AQ140" s="13"/>
      <c r="AR140" s="13"/>
      <c r="AS140" s="13"/>
      <c r="AT140" s="13"/>
      <c r="AU140" s="13"/>
      <c r="AV140" s="13"/>
      <c r="AW140" s="14"/>
      <c r="AX140" s="14"/>
      <c r="AY140" s="14"/>
      <c r="AZ140" s="14"/>
      <c r="BA140" s="14"/>
    </row>
    <row r="141">
      <c r="A141" s="11"/>
      <c r="B141" s="11"/>
      <c r="C141" s="11"/>
      <c r="D141" s="11"/>
      <c r="E141" s="11"/>
      <c r="F141" s="11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3"/>
      <c r="T141" s="13"/>
      <c r="U141" s="13"/>
      <c r="V141" s="13"/>
      <c r="W141" s="13"/>
      <c r="X141" s="13"/>
      <c r="Y141" s="13"/>
      <c r="Z141" s="13"/>
      <c r="AA141" s="13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3"/>
      <c r="AO141" s="13"/>
      <c r="AP141" s="13"/>
      <c r="AQ141" s="13"/>
      <c r="AR141" s="13"/>
      <c r="AS141" s="13"/>
      <c r="AT141" s="13"/>
      <c r="AU141" s="13"/>
      <c r="AV141" s="13"/>
      <c r="AW141" s="14"/>
      <c r="AX141" s="14"/>
      <c r="AY141" s="14"/>
      <c r="AZ141" s="14"/>
      <c r="BA141" s="14"/>
    </row>
    <row r="142">
      <c r="A142" s="11"/>
      <c r="B142" s="11"/>
      <c r="C142" s="11"/>
      <c r="D142" s="11"/>
      <c r="E142" s="11"/>
      <c r="F142" s="11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3"/>
      <c r="T142" s="13"/>
      <c r="U142" s="13"/>
      <c r="V142" s="13"/>
      <c r="W142" s="13"/>
      <c r="X142" s="13"/>
      <c r="Y142" s="13"/>
      <c r="Z142" s="13"/>
      <c r="AA142" s="13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3"/>
      <c r="AO142" s="13"/>
      <c r="AP142" s="13"/>
      <c r="AQ142" s="13"/>
      <c r="AR142" s="13"/>
      <c r="AS142" s="13"/>
      <c r="AT142" s="13"/>
      <c r="AU142" s="13"/>
      <c r="AV142" s="13"/>
      <c r="AW142" s="14"/>
      <c r="AX142" s="14"/>
      <c r="AY142" s="14"/>
      <c r="AZ142" s="14"/>
      <c r="BA142" s="14"/>
    </row>
    <row r="143">
      <c r="A143" s="11"/>
      <c r="B143" s="11"/>
      <c r="C143" s="11"/>
      <c r="D143" s="11"/>
      <c r="E143" s="11"/>
      <c r="F143" s="11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3"/>
      <c r="T143" s="13"/>
      <c r="U143" s="13"/>
      <c r="V143" s="13"/>
      <c r="W143" s="13"/>
      <c r="X143" s="13"/>
      <c r="Y143" s="13"/>
      <c r="Z143" s="13"/>
      <c r="AA143" s="13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3"/>
      <c r="AO143" s="13"/>
      <c r="AP143" s="13"/>
      <c r="AQ143" s="13"/>
      <c r="AR143" s="13"/>
      <c r="AS143" s="13"/>
      <c r="AT143" s="13"/>
      <c r="AU143" s="13"/>
      <c r="AV143" s="13"/>
      <c r="AW143" s="14"/>
      <c r="AX143" s="14"/>
      <c r="AY143" s="14"/>
      <c r="AZ143" s="14"/>
      <c r="BA143" s="14"/>
    </row>
    <row r="144">
      <c r="A144" s="11"/>
      <c r="B144" s="11"/>
      <c r="C144" s="11"/>
      <c r="D144" s="11"/>
      <c r="E144" s="11"/>
      <c r="F144" s="11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3"/>
      <c r="T144" s="13"/>
      <c r="U144" s="13"/>
      <c r="V144" s="13"/>
      <c r="W144" s="13"/>
      <c r="X144" s="13"/>
      <c r="Y144" s="13"/>
      <c r="Z144" s="13"/>
      <c r="AA144" s="13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3"/>
      <c r="AO144" s="13"/>
      <c r="AP144" s="13"/>
      <c r="AQ144" s="13"/>
      <c r="AR144" s="13"/>
      <c r="AS144" s="13"/>
      <c r="AT144" s="13"/>
      <c r="AU144" s="13"/>
      <c r="AV144" s="13"/>
      <c r="AW144" s="14"/>
      <c r="AX144" s="14"/>
      <c r="AY144" s="14"/>
      <c r="AZ144" s="14"/>
      <c r="BA144" s="14"/>
    </row>
    <row r="145">
      <c r="A145" s="11"/>
      <c r="B145" s="11"/>
      <c r="C145" s="11"/>
      <c r="D145" s="11"/>
      <c r="E145" s="11"/>
      <c r="F145" s="11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3"/>
      <c r="T145" s="13"/>
      <c r="U145" s="13"/>
      <c r="V145" s="13"/>
      <c r="W145" s="13"/>
      <c r="X145" s="13"/>
      <c r="Y145" s="13"/>
      <c r="Z145" s="13"/>
      <c r="AA145" s="13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3"/>
      <c r="AO145" s="13"/>
      <c r="AP145" s="13"/>
      <c r="AQ145" s="13"/>
      <c r="AR145" s="13"/>
      <c r="AS145" s="13"/>
      <c r="AT145" s="13"/>
      <c r="AU145" s="13"/>
      <c r="AV145" s="13"/>
      <c r="AW145" s="14"/>
      <c r="AX145" s="14"/>
      <c r="AY145" s="14"/>
      <c r="AZ145" s="14"/>
      <c r="BA145" s="14"/>
    </row>
    <row r="146">
      <c r="A146" s="11"/>
      <c r="B146" s="11"/>
      <c r="C146" s="11"/>
      <c r="D146" s="11"/>
      <c r="E146" s="11"/>
      <c r="F146" s="11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3"/>
      <c r="T146" s="13"/>
      <c r="U146" s="13"/>
      <c r="V146" s="13"/>
      <c r="W146" s="13"/>
      <c r="X146" s="13"/>
      <c r="Y146" s="13"/>
      <c r="Z146" s="13"/>
      <c r="AA146" s="13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3"/>
      <c r="AO146" s="13"/>
      <c r="AP146" s="13"/>
      <c r="AQ146" s="13"/>
      <c r="AR146" s="13"/>
      <c r="AS146" s="13"/>
      <c r="AT146" s="13"/>
      <c r="AU146" s="13"/>
      <c r="AV146" s="13"/>
      <c r="AW146" s="14"/>
      <c r="AX146" s="14"/>
      <c r="AY146" s="14"/>
      <c r="AZ146" s="14"/>
      <c r="BA146" s="14"/>
    </row>
    <row r="147">
      <c r="A147" s="11"/>
      <c r="B147" s="11"/>
      <c r="C147" s="11"/>
      <c r="D147" s="11"/>
      <c r="E147" s="11"/>
      <c r="F147" s="11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3"/>
      <c r="T147" s="13"/>
      <c r="U147" s="13"/>
      <c r="V147" s="13"/>
      <c r="W147" s="13"/>
      <c r="X147" s="13"/>
      <c r="Y147" s="13"/>
      <c r="Z147" s="13"/>
      <c r="AA147" s="13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3"/>
      <c r="AO147" s="13"/>
      <c r="AP147" s="13"/>
      <c r="AQ147" s="13"/>
      <c r="AR147" s="13"/>
      <c r="AS147" s="13"/>
      <c r="AT147" s="13"/>
      <c r="AU147" s="13"/>
      <c r="AV147" s="13"/>
      <c r="AW147" s="14"/>
      <c r="AX147" s="14"/>
      <c r="AY147" s="14"/>
      <c r="AZ147" s="14"/>
      <c r="BA147" s="14"/>
    </row>
    <row r="148">
      <c r="A148" s="11"/>
      <c r="B148" s="11"/>
      <c r="C148" s="11"/>
      <c r="D148" s="11"/>
      <c r="E148" s="11"/>
      <c r="F148" s="11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3"/>
      <c r="T148" s="13"/>
      <c r="U148" s="13"/>
      <c r="V148" s="13"/>
      <c r="W148" s="13"/>
      <c r="X148" s="13"/>
      <c r="Y148" s="13"/>
      <c r="Z148" s="13"/>
      <c r="AA148" s="13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3"/>
      <c r="AO148" s="13"/>
      <c r="AP148" s="13"/>
      <c r="AQ148" s="13"/>
      <c r="AR148" s="13"/>
      <c r="AS148" s="13"/>
      <c r="AT148" s="13"/>
      <c r="AU148" s="13"/>
      <c r="AV148" s="13"/>
      <c r="AW148" s="14"/>
      <c r="AX148" s="14"/>
      <c r="AY148" s="14"/>
      <c r="AZ148" s="14"/>
      <c r="BA148" s="14"/>
    </row>
    <row r="149">
      <c r="A149" s="11"/>
      <c r="B149" s="11"/>
      <c r="C149" s="11"/>
      <c r="D149" s="11"/>
      <c r="E149" s="11"/>
      <c r="F149" s="11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3"/>
      <c r="T149" s="13"/>
      <c r="U149" s="13"/>
      <c r="V149" s="13"/>
      <c r="W149" s="13"/>
      <c r="X149" s="13"/>
      <c r="Y149" s="13"/>
      <c r="Z149" s="13"/>
      <c r="AA149" s="13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3"/>
      <c r="AO149" s="13"/>
      <c r="AP149" s="13"/>
      <c r="AQ149" s="13"/>
      <c r="AR149" s="13"/>
      <c r="AS149" s="13"/>
      <c r="AT149" s="13"/>
      <c r="AU149" s="13"/>
      <c r="AV149" s="13"/>
      <c r="AW149" s="14"/>
      <c r="AX149" s="14"/>
      <c r="AY149" s="14"/>
      <c r="AZ149" s="14"/>
      <c r="BA149" s="14"/>
    </row>
    <row r="150">
      <c r="A150" s="11"/>
      <c r="B150" s="11"/>
      <c r="C150" s="11"/>
      <c r="D150" s="11"/>
      <c r="E150" s="11"/>
      <c r="F150" s="11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3"/>
      <c r="T150" s="13"/>
      <c r="U150" s="13"/>
      <c r="V150" s="13"/>
      <c r="W150" s="13"/>
      <c r="X150" s="13"/>
      <c r="Y150" s="13"/>
      <c r="Z150" s="13"/>
      <c r="AA150" s="13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3"/>
      <c r="AO150" s="13"/>
      <c r="AP150" s="13"/>
      <c r="AQ150" s="13"/>
      <c r="AR150" s="13"/>
      <c r="AS150" s="13"/>
      <c r="AT150" s="13"/>
      <c r="AU150" s="13"/>
      <c r="AV150" s="13"/>
      <c r="AW150" s="14"/>
      <c r="AX150" s="14"/>
      <c r="AY150" s="14"/>
      <c r="AZ150" s="14"/>
      <c r="BA150" s="14"/>
    </row>
    <row r="151">
      <c r="A151" s="11"/>
      <c r="B151" s="11"/>
      <c r="C151" s="11"/>
      <c r="D151" s="11"/>
      <c r="E151" s="11"/>
      <c r="F151" s="11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3"/>
      <c r="T151" s="13"/>
      <c r="U151" s="13"/>
      <c r="V151" s="13"/>
      <c r="W151" s="13"/>
      <c r="X151" s="13"/>
      <c r="Y151" s="13"/>
      <c r="Z151" s="13"/>
      <c r="AA151" s="13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3"/>
      <c r="AO151" s="13"/>
      <c r="AP151" s="13"/>
      <c r="AQ151" s="13"/>
      <c r="AR151" s="13"/>
      <c r="AS151" s="13"/>
      <c r="AT151" s="13"/>
      <c r="AU151" s="13"/>
      <c r="AV151" s="13"/>
      <c r="AW151" s="14"/>
      <c r="AX151" s="14"/>
      <c r="AY151" s="14"/>
      <c r="AZ151" s="14"/>
      <c r="BA151" s="14"/>
    </row>
    <row r="152">
      <c r="A152" s="11"/>
      <c r="B152" s="11"/>
      <c r="C152" s="11"/>
      <c r="D152" s="11"/>
      <c r="E152" s="11"/>
      <c r="F152" s="11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3"/>
      <c r="T152" s="13"/>
      <c r="U152" s="13"/>
      <c r="V152" s="13"/>
      <c r="W152" s="13"/>
      <c r="X152" s="13"/>
      <c r="Y152" s="13"/>
      <c r="Z152" s="13"/>
      <c r="AA152" s="13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3"/>
      <c r="AO152" s="13"/>
      <c r="AP152" s="13"/>
      <c r="AQ152" s="13"/>
      <c r="AR152" s="13"/>
      <c r="AS152" s="13"/>
      <c r="AT152" s="13"/>
      <c r="AU152" s="13"/>
      <c r="AV152" s="13"/>
      <c r="AW152" s="14"/>
      <c r="AX152" s="14"/>
      <c r="AY152" s="14"/>
      <c r="AZ152" s="14"/>
      <c r="BA152" s="14"/>
    </row>
    <row r="153">
      <c r="A153" s="11"/>
      <c r="B153" s="11"/>
      <c r="C153" s="11"/>
      <c r="D153" s="11"/>
      <c r="E153" s="11"/>
      <c r="F153" s="11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3"/>
      <c r="T153" s="13"/>
      <c r="U153" s="13"/>
      <c r="V153" s="13"/>
      <c r="W153" s="13"/>
      <c r="X153" s="13"/>
      <c r="Y153" s="13"/>
      <c r="Z153" s="13"/>
      <c r="AA153" s="13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3"/>
      <c r="AO153" s="13"/>
      <c r="AP153" s="13"/>
      <c r="AQ153" s="13"/>
      <c r="AR153" s="13"/>
      <c r="AS153" s="13"/>
      <c r="AT153" s="13"/>
      <c r="AU153" s="13"/>
      <c r="AV153" s="13"/>
      <c r="AW153" s="14"/>
      <c r="AX153" s="14"/>
      <c r="AY153" s="14"/>
      <c r="AZ153" s="14"/>
      <c r="BA153" s="14"/>
    </row>
    <row r="154">
      <c r="A154" s="11"/>
      <c r="B154" s="11"/>
      <c r="C154" s="11"/>
      <c r="D154" s="11"/>
      <c r="E154" s="11"/>
      <c r="F154" s="11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3"/>
      <c r="T154" s="13"/>
      <c r="U154" s="13"/>
      <c r="V154" s="13"/>
      <c r="W154" s="13"/>
      <c r="X154" s="13"/>
      <c r="Y154" s="13"/>
      <c r="Z154" s="13"/>
      <c r="AA154" s="13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3"/>
      <c r="AO154" s="13"/>
      <c r="AP154" s="13"/>
      <c r="AQ154" s="13"/>
      <c r="AR154" s="13"/>
      <c r="AS154" s="13"/>
      <c r="AT154" s="13"/>
      <c r="AU154" s="13"/>
      <c r="AV154" s="13"/>
      <c r="AW154" s="14"/>
      <c r="AX154" s="14"/>
      <c r="AY154" s="14"/>
      <c r="AZ154" s="14"/>
      <c r="BA154" s="14"/>
    </row>
    <row r="155">
      <c r="A155" s="11"/>
      <c r="B155" s="11"/>
      <c r="C155" s="11"/>
      <c r="D155" s="11"/>
      <c r="E155" s="11"/>
      <c r="F155" s="11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3"/>
      <c r="T155" s="13"/>
      <c r="U155" s="13"/>
      <c r="V155" s="13"/>
      <c r="W155" s="13"/>
      <c r="X155" s="13"/>
      <c r="Y155" s="13"/>
      <c r="Z155" s="13"/>
      <c r="AA155" s="13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3"/>
      <c r="AO155" s="13"/>
      <c r="AP155" s="13"/>
      <c r="AQ155" s="13"/>
      <c r="AR155" s="13"/>
      <c r="AS155" s="13"/>
      <c r="AT155" s="13"/>
      <c r="AU155" s="13"/>
      <c r="AV155" s="13"/>
      <c r="AW155" s="14"/>
      <c r="AX155" s="14"/>
      <c r="AY155" s="14"/>
      <c r="AZ155" s="14"/>
      <c r="BA155" s="14"/>
    </row>
    <row r="156">
      <c r="A156" s="11"/>
      <c r="B156" s="11"/>
      <c r="C156" s="11"/>
      <c r="D156" s="11"/>
      <c r="E156" s="11"/>
      <c r="F156" s="11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3"/>
      <c r="T156" s="13"/>
      <c r="U156" s="13"/>
      <c r="V156" s="13"/>
      <c r="W156" s="13"/>
      <c r="X156" s="13"/>
      <c r="Y156" s="13"/>
      <c r="Z156" s="13"/>
      <c r="AA156" s="13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3"/>
      <c r="AO156" s="13"/>
      <c r="AP156" s="13"/>
      <c r="AQ156" s="13"/>
      <c r="AR156" s="13"/>
      <c r="AS156" s="13"/>
      <c r="AT156" s="13"/>
      <c r="AU156" s="13"/>
      <c r="AV156" s="13"/>
      <c r="AW156" s="14"/>
      <c r="AX156" s="14"/>
      <c r="AY156" s="14"/>
      <c r="AZ156" s="14"/>
      <c r="BA156" s="14"/>
    </row>
    <row r="157">
      <c r="A157" s="11"/>
      <c r="B157" s="11"/>
      <c r="C157" s="11"/>
      <c r="D157" s="11"/>
      <c r="E157" s="11"/>
      <c r="F157" s="11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3"/>
      <c r="T157" s="13"/>
      <c r="U157" s="13"/>
      <c r="V157" s="13"/>
      <c r="W157" s="13"/>
      <c r="X157" s="13"/>
      <c r="Y157" s="13"/>
      <c r="Z157" s="13"/>
      <c r="AA157" s="13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3"/>
      <c r="AO157" s="13"/>
      <c r="AP157" s="13"/>
      <c r="AQ157" s="13"/>
      <c r="AR157" s="13"/>
      <c r="AS157" s="13"/>
      <c r="AT157" s="13"/>
      <c r="AU157" s="13"/>
      <c r="AV157" s="13"/>
      <c r="AW157" s="14"/>
      <c r="AX157" s="14"/>
      <c r="AY157" s="14"/>
      <c r="AZ157" s="14"/>
      <c r="BA157" s="14"/>
    </row>
    <row r="158">
      <c r="A158" s="11"/>
      <c r="B158" s="11"/>
      <c r="C158" s="11"/>
      <c r="D158" s="11"/>
      <c r="E158" s="11"/>
      <c r="F158" s="11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3"/>
      <c r="T158" s="13"/>
      <c r="U158" s="13"/>
      <c r="V158" s="13"/>
      <c r="W158" s="13"/>
      <c r="X158" s="13"/>
      <c r="Y158" s="13"/>
      <c r="Z158" s="13"/>
      <c r="AA158" s="13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3"/>
      <c r="AO158" s="13"/>
      <c r="AP158" s="13"/>
      <c r="AQ158" s="13"/>
      <c r="AR158" s="13"/>
      <c r="AS158" s="13"/>
      <c r="AT158" s="13"/>
      <c r="AU158" s="13"/>
      <c r="AV158" s="13"/>
      <c r="AW158" s="14"/>
      <c r="AX158" s="14"/>
      <c r="AY158" s="14"/>
      <c r="AZ158" s="14"/>
      <c r="BA158" s="14"/>
    </row>
    <row r="159">
      <c r="A159" s="11"/>
      <c r="B159" s="11"/>
      <c r="C159" s="11"/>
      <c r="D159" s="11"/>
      <c r="E159" s="11"/>
      <c r="F159" s="11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3"/>
      <c r="T159" s="13"/>
      <c r="U159" s="13"/>
      <c r="V159" s="13"/>
      <c r="W159" s="13"/>
      <c r="X159" s="13"/>
      <c r="Y159" s="13"/>
      <c r="Z159" s="13"/>
      <c r="AA159" s="13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3"/>
      <c r="AO159" s="13"/>
      <c r="AP159" s="13"/>
      <c r="AQ159" s="13"/>
      <c r="AR159" s="13"/>
      <c r="AS159" s="13"/>
      <c r="AT159" s="13"/>
      <c r="AU159" s="13"/>
      <c r="AV159" s="13"/>
      <c r="AW159" s="14"/>
      <c r="AX159" s="14"/>
      <c r="AY159" s="14"/>
      <c r="AZ159" s="14"/>
      <c r="BA159" s="14"/>
    </row>
    <row r="160">
      <c r="A160" s="11"/>
      <c r="B160" s="11"/>
      <c r="C160" s="11"/>
      <c r="D160" s="11"/>
      <c r="E160" s="11"/>
      <c r="F160" s="11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3"/>
      <c r="T160" s="13"/>
      <c r="U160" s="13"/>
      <c r="V160" s="13"/>
      <c r="W160" s="13"/>
      <c r="X160" s="13"/>
      <c r="Y160" s="13"/>
      <c r="Z160" s="13"/>
      <c r="AA160" s="13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3"/>
      <c r="AO160" s="13"/>
      <c r="AP160" s="13"/>
      <c r="AQ160" s="13"/>
      <c r="AR160" s="13"/>
      <c r="AS160" s="13"/>
      <c r="AT160" s="13"/>
      <c r="AU160" s="13"/>
      <c r="AV160" s="13"/>
      <c r="AW160" s="14"/>
      <c r="AX160" s="14"/>
      <c r="AY160" s="14"/>
      <c r="AZ160" s="14"/>
      <c r="BA160" s="14"/>
    </row>
    <row r="161">
      <c r="A161" s="11"/>
      <c r="B161" s="11"/>
      <c r="C161" s="11"/>
      <c r="D161" s="11"/>
      <c r="E161" s="11"/>
      <c r="F161" s="11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3"/>
      <c r="T161" s="13"/>
      <c r="U161" s="13"/>
      <c r="V161" s="13"/>
      <c r="W161" s="13"/>
      <c r="X161" s="13"/>
      <c r="Y161" s="13"/>
      <c r="Z161" s="13"/>
      <c r="AA161" s="13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3"/>
      <c r="AO161" s="13"/>
      <c r="AP161" s="13"/>
      <c r="AQ161" s="13"/>
      <c r="AR161" s="13"/>
      <c r="AS161" s="13"/>
      <c r="AT161" s="13"/>
      <c r="AU161" s="13"/>
      <c r="AV161" s="13"/>
      <c r="AW161" s="14"/>
      <c r="AX161" s="14"/>
      <c r="AY161" s="14"/>
      <c r="AZ161" s="14"/>
      <c r="BA161" s="14"/>
    </row>
    <row r="162">
      <c r="A162" s="11"/>
      <c r="B162" s="11"/>
      <c r="C162" s="11"/>
      <c r="D162" s="11"/>
      <c r="E162" s="11"/>
      <c r="F162" s="11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3"/>
      <c r="T162" s="13"/>
      <c r="U162" s="13"/>
      <c r="V162" s="13"/>
      <c r="W162" s="13"/>
      <c r="X162" s="13"/>
      <c r="Y162" s="13"/>
      <c r="Z162" s="13"/>
      <c r="AA162" s="13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3"/>
      <c r="AO162" s="13"/>
      <c r="AP162" s="13"/>
      <c r="AQ162" s="13"/>
      <c r="AR162" s="13"/>
      <c r="AS162" s="13"/>
      <c r="AT162" s="13"/>
      <c r="AU162" s="13"/>
      <c r="AV162" s="13"/>
      <c r="AW162" s="14"/>
      <c r="AX162" s="14"/>
      <c r="AY162" s="14"/>
      <c r="AZ162" s="14"/>
      <c r="BA162" s="14"/>
    </row>
    <row r="163">
      <c r="A163" s="11"/>
      <c r="B163" s="11"/>
      <c r="C163" s="11"/>
      <c r="D163" s="11"/>
      <c r="E163" s="11"/>
      <c r="F163" s="11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3"/>
      <c r="T163" s="13"/>
      <c r="U163" s="13"/>
      <c r="V163" s="13"/>
      <c r="W163" s="13"/>
      <c r="X163" s="13"/>
      <c r="Y163" s="13"/>
      <c r="Z163" s="13"/>
      <c r="AA163" s="13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3"/>
      <c r="AO163" s="13"/>
      <c r="AP163" s="13"/>
      <c r="AQ163" s="13"/>
      <c r="AR163" s="13"/>
      <c r="AS163" s="13"/>
      <c r="AT163" s="13"/>
      <c r="AU163" s="13"/>
      <c r="AV163" s="13"/>
      <c r="AW163" s="14"/>
      <c r="AX163" s="14"/>
      <c r="AY163" s="14"/>
      <c r="AZ163" s="14"/>
      <c r="BA163" s="14"/>
    </row>
    <row r="164">
      <c r="A164" s="11"/>
      <c r="B164" s="11"/>
      <c r="C164" s="11"/>
      <c r="D164" s="11"/>
      <c r="E164" s="11"/>
      <c r="F164" s="11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3"/>
      <c r="T164" s="13"/>
      <c r="U164" s="13"/>
      <c r="V164" s="13"/>
      <c r="W164" s="13"/>
      <c r="X164" s="13"/>
      <c r="Y164" s="13"/>
      <c r="Z164" s="13"/>
      <c r="AA164" s="13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3"/>
      <c r="AO164" s="13"/>
      <c r="AP164" s="13"/>
      <c r="AQ164" s="13"/>
      <c r="AR164" s="13"/>
      <c r="AS164" s="13"/>
      <c r="AT164" s="13"/>
      <c r="AU164" s="13"/>
      <c r="AV164" s="13"/>
      <c r="AW164" s="14"/>
      <c r="AX164" s="14"/>
      <c r="AY164" s="14"/>
      <c r="AZ164" s="14"/>
      <c r="BA164" s="14"/>
    </row>
    <row r="165">
      <c r="A165" s="11"/>
      <c r="B165" s="11"/>
      <c r="C165" s="11"/>
      <c r="D165" s="11"/>
      <c r="E165" s="11"/>
      <c r="F165" s="11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3"/>
      <c r="T165" s="13"/>
      <c r="U165" s="13"/>
      <c r="V165" s="13"/>
      <c r="W165" s="13"/>
      <c r="X165" s="13"/>
      <c r="Y165" s="13"/>
      <c r="Z165" s="13"/>
      <c r="AA165" s="13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3"/>
      <c r="AO165" s="13"/>
      <c r="AP165" s="13"/>
      <c r="AQ165" s="13"/>
      <c r="AR165" s="13"/>
      <c r="AS165" s="13"/>
      <c r="AT165" s="13"/>
      <c r="AU165" s="13"/>
      <c r="AV165" s="13"/>
      <c r="AW165" s="14"/>
      <c r="AX165" s="14"/>
      <c r="AY165" s="14"/>
      <c r="AZ165" s="14"/>
      <c r="BA165" s="14"/>
    </row>
    <row r="166">
      <c r="A166" s="11"/>
      <c r="B166" s="11"/>
      <c r="C166" s="11"/>
      <c r="D166" s="11"/>
      <c r="E166" s="11"/>
      <c r="F166" s="11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3"/>
      <c r="T166" s="13"/>
      <c r="U166" s="13"/>
      <c r="V166" s="13"/>
      <c r="W166" s="13"/>
      <c r="X166" s="13"/>
      <c r="Y166" s="13"/>
      <c r="Z166" s="13"/>
      <c r="AA166" s="13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3"/>
      <c r="AO166" s="13"/>
      <c r="AP166" s="13"/>
      <c r="AQ166" s="13"/>
      <c r="AR166" s="13"/>
      <c r="AS166" s="13"/>
      <c r="AT166" s="13"/>
      <c r="AU166" s="13"/>
      <c r="AV166" s="13"/>
      <c r="AW166" s="14"/>
      <c r="AX166" s="14"/>
      <c r="AY166" s="14"/>
      <c r="AZ166" s="14"/>
      <c r="BA166" s="14"/>
    </row>
    <row r="167">
      <c r="A167" s="11"/>
      <c r="B167" s="11"/>
      <c r="C167" s="11"/>
      <c r="D167" s="11"/>
      <c r="E167" s="11"/>
      <c r="F167" s="11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3"/>
      <c r="T167" s="13"/>
      <c r="U167" s="13"/>
      <c r="V167" s="13"/>
      <c r="W167" s="13"/>
      <c r="X167" s="13"/>
      <c r="Y167" s="13"/>
      <c r="Z167" s="13"/>
      <c r="AA167" s="13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3"/>
      <c r="AO167" s="13"/>
      <c r="AP167" s="13"/>
      <c r="AQ167" s="13"/>
      <c r="AR167" s="13"/>
      <c r="AS167" s="13"/>
      <c r="AT167" s="13"/>
      <c r="AU167" s="13"/>
      <c r="AV167" s="13"/>
      <c r="AW167" s="14"/>
      <c r="AX167" s="14"/>
      <c r="AY167" s="14"/>
      <c r="AZ167" s="14"/>
      <c r="BA167" s="14"/>
    </row>
    <row r="168">
      <c r="A168" s="11"/>
      <c r="B168" s="11"/>
      <c r="C168" s="11"/>
      <c r="D168" s="11"/>
      <c r="E168" s="11"/>
      <c r="F168" s="11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3"/>
      <c r="T168" s="13"/>
      <c r="U168" s="13"/>
      <c r="V168" s="13"/>
      <c r="W168" s="13"/>
      <c r="X168" s="13"/>
      <c r="Y168" s="13"/>
      <c r="Z168" s="13"/>
      <c r="AA168" s="13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3"/>
      <c r="AO168" s="13"/>
      <c r="AP168" s="13"/>
      <c r="AQ168" s="13"/>
      <c r="AR168" s="13"/>
      <c r="AS168" s="13"/>
      <c r="AT168" s="13"/>
      <c r="AU168" s="13"/>
      <c r="AV168" s="13"/>
      <c r="AW168" s="14"/>
      <c r="AX168" s="14"/>
      <c r="AY168" s="14"/>
      <c r="AZ168" s="14"/>
      <c r="BA168" s="14"/>
    </row>
    <row r="169">
      <c r="A169" s="11"/>
      <c r="B169" s="11"/>
      <c r="C169" s="11"/>
      <c r="D169" s="11"/>
      <c r="E169" s="11"/>
      <c r="F169" s="11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3"/>
      <c r="T169" s="13"/>
      <c r="U169" s="13"/>
      <c r="V169" s="13"/>
      <c r="W169" s="13"/>
      <c r="X169" s="13"/>
      <c r="Y169" s="13"/>
      <c r="Z169" s="13"/>
      <c r="AA169" s="13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3"/>
      <c r="AO169" s="13"/>
      <c r="AP169" s="13"/>
      <c r="AQ169" s="13"/>
      <c r="AR169" s="13"/>
      <c r="AS169" s="13"/>
      <c r="AT169" s="13"/>
      <c r="AU169" s="13"/>
      <c r="AV169" s="13"/>
      <c r="AW169" s="14"/>
      <c r="AX169" s="14"/>
      <c r="AY169" s="14"/>
      <c r="AZ169" s="14"/>
      <c r="BA169" s="14"/>
    </row>
    <row r="170">
      <c r="A170" s="11"/>
      <c r="B170" s="11"/>
      <c r="C170" s="11"/>
      <c r="D170" s="11"/>
      <c r="E170" s="11"/>
      <c r="F170" s="11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3"/>
      <c r="T170" s="13"/>
      <c r="U170" s="13"/>
      <c r="V170" s="13"/>
      <c r="W170" s="13"/>
      <c r="X170" s="13"/>
      <c r="Y170" s="13"/>
      <c r="Z170" s="13"/>
      <c r="AA170" s="13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3"/>
      <c r="AO170" s="13"/>
      <c r="AP170" s="13"/>
      <c r="AQ170" s="13"/>
      <c r="AR170" s="13"/>
      <c r="AS170" s="13"/>
      <c r="AT170" s="13"/>
      <c r="AU170" s="13"/>
      <c r="AV170" s="13"/>
      <c r="AW170" s="14"/>
      <c r="AX170" s="14"/>
      <c r="AY170" s="14"/>
      <c r="AZ170" s="14"/>
      <c r="BA170" s="14"/>
    </row>
    <row r="171">
      <c r="A171" s="11"/>
      <c r="B171" s="11"/>
      <c r="C171" s="11"/>
      <c r="D171" s="11"/>
      <c r="E171" s="11"/>
      <c r="F171" s="11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3"/>
      <c r="T171" s="13"/>
      <c r="U171" s="13"/>
      <c r="V171" s="13"/>
      <c r="W171" s="13"/>
      <c r="X171" s="13"/>
      <c r="Y171" s="13"/>
      <c r="Z171" s="13"/>
      <c r="AA171" s="13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3"/>
      <c r="AO171" s="13"/>
      <c r="AP171" s="13"/>
      <c r="AQ171" s="13"/>
      <c r="AR171" s="13"/>
      <c r="AS171" s="13"/>
      <c r="AT171" s="13"/>
      <c r="AU171" s="13"/>
      <c r="AV171" s="13"/>
      <c r="AW171" s="14"/>
      <c r="AX171" s="14"/>
      <c r="AY171" s="14"/>
      <c r="AZ171" s="14"/>
      <c r="BA171" s="14"/>
    </row>
    <row r="172">
      <c r="A172" s="11"/>
      <c r="B172" s="11"/>
      <c r="C172" s="11"/>
      <c r="D172" s="11"/>
      <c r="E172" s="11"/>
      <c r="F172" s="11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3"/>
      <c r="T172" s="13"/>
      <c r="U172" s="13"/>
      <c r="V172" s="13"/>
      <c r="W172" s="13"/>
      <c r="X172" s="13"/>
      <c r="Y172" s="13"/>
      <c r="Z172" s="13"/>
      <c r="AA172" s="13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3"/>
      <c r="AO172" s="13"/>
      <c r="AP172" s="13"/>
      <c r="AQ172" s="13"/>
      <c r="AR172" s="13"/>
      <c r="AS172" s="13"/>
      <c r="AT172" s="13"/>
      <c r="AU172" s="13"/>
      <c r="AV172" s="13"/>
      <c r="AW172" s="14"/>
      <c r="AX172" s="14"/>
      <c r="AY172" s="14"/>
      <c r="AZ172" s="14"/>
      <c r="BA172" s="14"/>
    </row>
    <row r="173">
      <c r="A173" s="11"/>
      <c r="B173" s="11"/>
      <c r="C173" s="11"/>
      <c r="D173" s="11"/>
      <c r="E173" s="11"/>
      <c r="F173" s="11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3"/>
      <c r="T173" s="13"/>
      <c r="U173" s="13"/>
      <c r="V173" s="13"/>
      <c r="W173" s="13"/>
      <c r="X173" s="13"/>
      <c r="Y173" s="13"/>
      <c r="Z173" s="13"/>
      <c r="AA173" s="13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3"/>
      <c r="AO173" s="13"/>
      <c r="AP173" s="13"/>
      <c r="AQ173" s="13"/>
      <c r="AR173" s="13"/>
      <c r="AS173" s="13"/>
      <c r="AT173" s="13"/>
      <c r="AU173" s="13"/>
      <c r="AV173" s="13"/>
      <c r="AW173" s="14"/>
      <c r="AX173" s="14"/>
      <c r="AY173" s="14"/>
      <c r="AZ173" s="14"/>
      <c r="BA173" s="14"/>
    </row>
    <row r="174">
      <c r="A174" s="11"/>
      <c r="B174" s="11"/>
      <c r="C174" s="11"/>
      <c r="D174" s="11"/>
      <c r="E174" s="11"/>
      <c r="F174" s="11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3"/>
      <c r="T174" s="13"/>
      <c r="U174" s="13"/>
      <c r="V174" s="13"/>
      <c r="W174" s="13"/>
      <c r="X174" s="13"/>
      <c r="Y174" s="13"/>
      <c r="Z174" s="13"/>
      <c r="AA174" s="13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3"/>
      <c r="AO174" s="13"/>
      <c r="AP174" s="13"/>
      <c r="AQ174" s="13"/>
      <c r="AR174" s="13"/>
      <c r="AS174" s="13"/>
      <c r="AT174" s="13"/>
      <c r="AU174" s="13"/>
      <c r="AV174" s="13"/>
      <c r="AW174" s="14"/>
      <c r="AX174" s="14"/>
      <c r="AY174" s="14"/>
      <c r="AZ174" s="14"/>
      <c r="BA174" s="14"/>
    </row>
    <row r="175">
      <c r="A175" s="11"/>
      <c r="B175" s="11"/>
      <c r="C175" s="11"/>
      <c r="D175" s="11"/>
      <c r="E175" s="11"/>
      <c r="F175" s="11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3"/>
      <c r="T175" s="13"/>
      <c r="U175" s="13"/>
      <c r="V175" s="13"/>
      <c r="W175" s="13"/>
      <c r="X175" s="13"/>
      <c r="Y175" s="13"/>
      <c r="Z175" s="13"/>
      <c r="AA175" s="13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3"/>
      <c r="AO175" s="13"/>
      <c r="AP175" s="13"/>
      <c r="AQ175" s="13"/>
      <c r="AR175" s="13"/>
      <c r="AS175" s="13"/>
      <c r="AT175" s="13"/>
      <c r="AU175" s="13"/>
      <c r="AV175" s="13"/>
      <c r="AW175" s="14"/>
      <c r="AX175" s="14"/>
      <c r="AY175" s="14"/>
      <c r="AZ175" s="14"/>
      <c r="BA175" s="14"/>
    </row>
    <row r="176">
      <c r="A176" s="11"/>
      <c r="B176" s="11"/>
      <c r="C176" s="11"/>
      <c r="D176" s="11"/>
      <c r="E176" s="11"/>
      <c r="F176" s="11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3"/>
      <c r="T176" s="13"/>
      <c r="U176" s="13"/>
      <c r="V176" s="13"/>
      <c r="W176" s="13"/>
      <c r="X176" s="13"/>
      <c r="Y176" s="13"/>
      <c r="Z176" s="13"/>
      <c r="AA176" s="13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3"/>
      <c r="AO176" s="13"/>
      <c r="AP176" s="13"/>
      <c r="AQ176" s="13"/>
      <c r="AR176" s="13"/>
      <c r="AS176" s="13"/>
      <c r="AT176" s="13"/>
      <c r="AU176" s="13"/>
      <c r="AV176" s="13"/>
      <c r="AW176" s="14"/>
      <c r="AX176" s="14"/>
      <c r="AY176" s="14"/>
      <c r="AZ176" s="14"/>
      <c r="BA176" s="14"/>
    </row>
    <row r="177">
      <c r="A177" s="11"/>
      <c r="B177" s="11"/>
      <c r="C177" s="11"/>
      <c r="D177" s="11"/>
      <c r="E177" s="11"/>
      <c r="F177" s="11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3"/>
      <c r="T177" s="13"/>
      <c r="U177" s="13"/>
      <c r="V177" s="13"/>
      <c r="W177" s="13"/>
      <c r="X177" s="13"/>
      <c r="Y177" s="13"/>
      <c r="Z177" s="13"/>
      <c r="AA177" s="13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3"/>
      <c r="AO177" s="13"/>
      <c r="AP177" s="13"/>
      <c r="AQ177" s="13"/>
      <c r="AR177" s="13"/>
      <c r="AS177" s="13"/>
      <c r="AT177" s="13"/>
      <c r="AU177" s="13"/>
      <c r="AV177" s="13"/>
      <c r="AW177" s="14"/>
      <c r="AX177" s="14"/>
      <c r="AY177" s="14"/>
      <c r="AZ177" s="14"/>
      <c r="BA177" s="14"/>
    </row>
    <row r="178">
      <c r="A178" s="11"/>
      <c r="B178" s="11"/>
      <c r="C178" s="11"/>
      <c r="D178" s="11"/>
      <c r="E178" s="11"/>
      <c r="F178" s="11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3"/>
      <c r="T178" s="13"/>
      <c r="U178" s="13"/>
      <c r="V178" s="13"/>
      <c r="W178" s="13"/>
      <c r="X178" s="13"/>
      <c r="Y178" s="13"/>
      <c r="Z178" s="13"/>
      <c r="AA178" s="13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3"/>
      <c r="AO178" s="13"/>
      <c r="AP178" s="13"/>
      <c r="AQ178" s="13"/>
      <c r="AR178" s="13"/>
      <c r="AS178" s="13"/>
      <c r="AT178" s="13"/>
      <c r="AU178" s="13"/>
      <c r="AV178" s="13"/>
      <c r="AW178" s="14"/>
      <c r="AX178" s="14"/>
      <c r="AY178" s="14"/>
      <c r="AZ178" s="14"/>
      <c r="BA178" s="14"/>
    </row>
    <row r="179">
      <c r="A179" s="11"/>
      <c r="B179" s="11"/>
      <c r="C179" s="11"/>
      <c r="D179" s="11"/>
      <c r="E179" s="11"/>
      <c r="F179" s="11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3"/>
      <c r="T179" s="13"/>
      <c r="U179" s="13"/>
      <c r="V179" s="13"/>
      <c r="W179" s="13"/>
      <c r="X179" s="13"/>
      <c r="Y179" s="13"/>
      <c r="Z179" s="13"/>
      <c r="AA179" s="13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3"/>
      <c r="AO179" s="13"/>
      <c r="AP179" s="13"/>
      <c r="AQ179" s="13"/>
      <c r="AR179" s="13"/>
      <c r="AS179" s="13"/>
      <c r="AT179" s="13"/>
      <c r="AU179" s="13"/>
      <c r="AV179" s="13"/>
      <c r="AW179" s="14"/>
      <c r="AX179" s="14"/>
      <c r="AY179" s="14"/>
      <c r="AZ179" s="14"/>
      <c r="BA179" s="14"/>
    </row>
    <row r="180">
      <c r="A180" s="11"/>
      <c r="B180" s="11"/>
      <c r="C180" s="11"/>
      <c r="D180" s="11"/>
      <c r="E180" s="11"/>
      <c r="F180" s="11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3"/>
      <c r="T180" s="13"/>
      <c r="U180" s="13"/>
      <c r="V180" s="13"/>
      <c r="W180" s="13"/>
      <c r="X180" s="13"/>
      <c r="Y180" s="13"/>
      <c r="Z180" s="13"/>
      <c r="AA180" s="13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3"/>
      <c r="AO180" s="13"/>
      <c r="AP180" s="13"/>
      <c r="AQ180" s="13"/>
      <c r="AR180" s="13"/>
      <c r="AS180" s="13"/>
      <c r="AT180" s="13"/>
      <c r="AU180" s="13"/>
      <c r="AV180" s="13"/>
      <c r="AW180" s="14"/>
      <c r="AX180" s="14"/>
      <c r="AY180" s="14"/>
      <c r="AZ180" s="14"/>
      <c r="BA180" s="14"/>
    </row>
    <row r="181">
      <c r="A181" s="11"/>
      <c r="B181" s="11"/>
      <c r="C181" s="11"/>
      <c r="D181" s="11"/>
      <c r="E181" s="11"/>
      <c r="F181" s="11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3"/>
      <c r="T181" s="13"/>
      <c r="U181" s="13"/>
      <c r="V181" s="13"/>
      <c r="W181" s="13"/>
      <c r="X181" s="13"/>
      <c r="Y181" s="13"/>
      <c r="Z181" s="13"/>
      <c r="AA181" s="13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3"/>
      <c r="AO181" s="13"/>
      <c r="AP181" s="13"/>
      <c r="AQ181" s="13"/>
      <c r="AR181" s="13"/>
      <c r="AS181" s="13"/>
      <c r="AT181" s="13"/>
      <c r="AU181" s="13"/>
      <c r="AV181" s="13"/>
      <c r="AW181" s="14"/>
      <c r="AX181" s="14"/>
      <c r="AY181" s="14"/>
      <c r="AZ181" s="14"/>
      <c r="BA181" s="14"/>
    </row>
    <row r="182">
      <c r="A182" s="11"/>
      <c r="B182" s="11"/>
      <c r="C182" s="11"/>
      <c r="D182" s="11"/>
      <c r="E182" s="11"/>
      <c r="F182" s="11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3"/>
      <c r="T182" s="13"/>
      <c r="U182" s="13"/>
      <c r="V182" s="13"/>
      <c r="W182" s="13"/>
      <c r="X182" s="13"/>
      <c r="Y182" s="13"/>
      <c r="Z182" s="13"/>
      <c r="AA182" s="13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3"/>
      <c r="AO182" s="13"/>
      <c r="AP182" s="13"/>
      <c r="AQ182" s="13"/>
      <c r="AR182" s="13"/>
      <c r="AS182" s="13"/>
      <c r="AT182" s="13"/>
      <c r="AU182" s="13"/>
      <c r="AV182" s="13"/>
      <c r="AW182" s="14"/>
      <c r="AX182" s="14"/>
      <c r="AY182" s="14"/>
      <c r="AZ182" s="14"/>
      <c r="BA182" s="14"/>
    </row>
    <row r="183">
      <c r="A183" s="11"/>
      <c r="B183" s="11"/>
      <c r="C183" s="11"/>
      <c r="D183" s="11"/>
      <c r="E183" s="11"/>
      <c r="F183" s="11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3"/>
      <c r="T183" s="13"/>
      <c r="U183" s="13"/>
      <c r="V183" s="13"/>
      <c r="W183" s="13"/>
      <c r="X183" s="13"/>
      <c r="Y183" s="13"/>
      <c r="Z183" s="13"/>
      <c r="AA183" s="13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3"/>
      <c r="AO183" s="13"/>
      <c r="AP183" s="13"/>
      <c r="AQ183" s="13"/>
      <c r="AR183" s="13"/>
      <c r="AS183" s="13"/>
      <c r="AT183" s="13"/>
      <c r="AU183" s="13"/>
      <c r="AV183" s="13"/>
      <c r="AW183" s="14"/>
      <c r="AX183" s="14"/>
      <c r="AY183" s="14"/>
      <c r="AZ183" s="14"/>
      <c r="BA183" s="14"/>
    </row>
    <row r="184">
      <c r="A184" s="11"/>
      <c r="B184" s="11"/>
      <c r="C184" s="11"/>
      <c r="D184" s="11"/>
      <c r="E184" s="11"/>
      <c r="F184" s="11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3"/>
      <c r="T184" s="13"/>
      <c r="U184" s="13"/>
      <c r="V184" s="13"/>
      <c r="W184" s="13"/>
      <c r="X184" s="13"/>
      <c r="Y184" s="13"/>
      <c r="Z184" s="13"/>
      <c r="AA184" s="13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3"/>
      <c r="AO184" s="13"/>
      <c r="AP184" s="13"/>
      <c r="AQ184" s="13"/>
      <c r="AR184" s="13"/>
      <c r="AS184" s="13"/>
      <c r="AT184" s="13"/>
      <c r="AU184" s="13"/>
      <c r="AV184" s="13"/>
      <c r="AW184" s="14"/>
      <c r="AX184" s="14"/>
      <c r="AY184" s="14"/>
      <c r="AZ184" s="14"/>
      <c r="BA184" s="14"/>
    </row>
    <row r="185">
      <c r="A185" s="11"/>
      <c r="B185" s="11"/>
      <c r="C185" s="11"/>
      <c r="D185" s="11"/>
      <c r="E185" s="11"/>
      <c r="F185" s="11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3"/>
      <c r="T185" s="13"/>
      <c r="U185" s="13"/>
      <c r="V185" s="13"/>
      <c r="W185" s="13"/>
      <c r="X185" s="13"/>
      <c r="Y185" s="13"/>
      <c r="Z185" s="13"/>
      <c r="AA185" s="13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3"/>
      <c r="AO185" s="13"/>
      <c r="AP185" s="13"/>
      <c r="AQ185" s="13"/>
      <c r="AR185" s="13"/>
      <c r="AS185" s="13"/>
      <c r="AT185" s="13"/>
      <c r="AU185" s="13"/>
      <c r="AV185" s="13"/>
      <c r="AW185" s="14"/>
      <c r="AX185" s="14"/>
      <c r="AY185" s="14"/>
      <c r="AZ185" s="14"/>
      <c r="BA185" s="14"/>
    </row>
    <row r="186">
      <c r="A186" s="11"/>
      <c r="B186" s="11"/>
      <c r="C186" s="11"/>
      <c r="D186" s="11"/>
      <c r="E186" s="11"/>
      <c r="F186" s="11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3"/>
      <c r="T186" s="13"/>
      <c r="U186" s="13"/>
      <c r="V186" s="13"/>
      <c r="W186" s="13"/>
      <c r="X186" s="13"/>
      <c r="Y186" s="13"/>
      <c r="Z186" s="13"/>
      <c r="AA186" s="13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3"/>
      <c r="AO186" s="13"/>
      <c r="AP186" s="13"/>
      <c r="AQ186" s="13"/>
      <c r="AR186" s="13"/>
      <c r="AS186" s="13"/>
      <c r="AT186" s="13"/>
      <c r="AU186" s="13"/>
      <c r="AV186" s="13"/>
      <c r="AW186" s="14"/>
      <c r="AX186" s="14"/>
      <c r="AY186" s="14"/>
      <c r="AZ186" s="14"/>
      <c r="BA186" s="14"/>
    </row>
    <row r="187">
      <c r="A187" s="11"/>
      <c r="B187" s="11"/>
      <c r="C187" s="11"/>
      <c r="D187" s="11"/>
      <c r="E187" s="11"/>
      <c r="F187" s="11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3"/>
      <c r="T187" s="13"/>
      <c r="U187" s="13"/>
      <c r="V187" s="13"/>
      <c r="W187" s="13"/>
      <c r="X187" s="13"/>
      <c r="Y187" s="13"/>
      <c r="Z187" s="13"/>
      <c r="AA187" s="13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3"/>
      <c r="AO187" s="13"/>
      <c r="AP187" s="13"/>
      <c r="AQ187" s="13"/>
      <c r="AR187" s="13"/>
      <c r="AS187" s="13"/>
      <c r="AT187" s="13"/>
      <c r="AU187" s="13"/>
      <c r="AV187" s="13"/>
      <c r="AW187" s="14"/>
      <c r="AX187" s="14"/>
      <c r="AY187" s="14"/>
      <c r="AZ187" s="14"/>
      <c r="BA187" s="14"/>
    </row>
    <row r="188">
      <c r="A188" s="11"/>
      <c r="B188" s="11"/>
      <c r="C188" s="11"/>
      <c r="D188" s="11"/>
      <c r="E188" s="11"/>
      <c r="F188" s="11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3"/>
      <c r="T188" s="13"/>
      <c r="U188" s="13"/>
      <c r="V188" s="13"/>
      <c r="W188" s="13"/>
      <c r="X188" s="13"/>
      <c r="Y188" s="13"/>
      <c r="Z188" s="13"/>
      <c r="AA188" s="13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3"/>
      <c r="AO188" s="13"/>
      <c r="AP188" s="13"/>
      <c r="AQ188" s="13"/>
      <c r="AR188" s="13"/>
      <c r="AS188" s="13"/>
      <c r="AT188" s="13"/>
      <c r="AU188" s="13"/>
      <c r="AV188" s="13"/>
      <c r="AW188" s="14"/>
      <c r="AX188" s="14"/>
      <c r="AY188" s="14"/>
      <c r="AZ188" s="14"/>
      <c r="BA188" s="14"/>
    </row>
    <row r="189">
      <c r="A189" s="11"/>
      <c r="B189" s="11"/>
      <c r="C189" s="11"/>
      <c r="D189" s="11"/>
      <c r="E189" s="11"/>
      <c r="F189" s="11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3"/>
      <c r="T189" s="13"/>
      <c r="U189" s="13"/>
      <c r="V189" s="13"/>
      <c r="W189" s="13"/>
      <c r="X189" s="13"/>
      <c r="Y189" s="13"/>
      <c r="Z189" s="13"/>
      <c r="AA189" s="13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3"/>
      <c r="AO189" s="13"/>
      <c r="AP189" s="13"/>
      <c r="AQ189" s="13"/>
      <c r="AR189" s="13"/>
      <c r="AS189" s="13"/>
      <c r="AT189" s="13"/>
      <c r="AU189" s="13"/>
      <c r="AV189" s="13"/>
      <c r="AW189" s="14"/>
      <c r="AX189" s="14"/>
      <c r="AY189" s="14"/>
      <c r="AZ189" s="14"/>
      <c r="BA189" s="14"/>
    </row>
    <row r="190">
      <c r="A190" s="11"/>
      <c r="B190" s="11"/>
      <c r="C190" s="11"/>
      <c r="D190" s="11"/>
      <c r="E190" s="11"/>
      <c r="F190" s="11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3"/>
      <c r="T190" s="13"/>
      <c r="U190" s="13"/>
      <c r="V190" s="13"/>
      <c r="W190" s="13"/>
      <c r="X190" s="13"/>
      <c r="Y190" s="13"/>
      <c r="Z190" s="13"/>
      <c r="AA190" s="13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3"/>
      <c r="AO190" s="13"/>
      <c r="AP190" s="13"/>
      <c r="AQ190" s="13"/>
      <c r="AR190" s="13"/>
      <c r="AS190" s="13"/>
      <c r="AT190" s="13"/>
      <c r="AU190" s="13"/>
      <c r="AV190" s="13"/>
      <c r="AW190" s="14"/>
      <c r="AX190" s="14"/>
      <c r="AY190" s="14"/>
      <c r="AZ190" s="14"/>
      <c r="BA190" s="14"/>
    </row>
    <row r="191">
      <c r="A191" s="11"/>
      <c r="B191" s="11"/>
      <c r="C191" s="11"/>
      <c r="D191" s="11"/>
      <c r="E191" s="11"/>
      <c r="F191" s="11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3"/>
      <c r="T191" s="13"/>
      <c r="U191" s="13"/>
      <c r="V191" s="13"/>
      <c r="W191" s="13"/>
      <c r="X191" s="13"/>
      <c r="Y191" s="13"/>
      <c r="Z191" s="13"/>
      <c r="AA191" s="13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3"/>
      <c r="AO191" s="13"/>
      <c r="AP191" s="13"/>
      <c r="AQ191" s="13"/>
      <c r="AR191" s="13"/>
      <c r="AS191" s="13"/>
      <c r="AT191" s="13"/>
      <c r="AU191" s="13"/>
      <c r="AV191" s="13"/>
      <c r="AW191" s="14"/>
      <c r="AX191" s="14"/>
      <c r="AY191" s="14"/>
      <c r="AZ191" s="14"/>
      <c r="BA191" s="14"/>
    </row>
    <row r="192">
      <c r="A192" s="11"/>
      <c r="B192" s="11"/>
      <c r="C192" s="11"/>
      <c r="D192" s="11"/>
      <c r="E192" s="11"/>
      <c r="F192" s="11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3"/>
      <c r="T192" s="13"/>
      <c r="U192" s="13"/>
      <c r="V192" s="13"/>
      <c r="W192" s="13"/>
      <c r="X192" s="13"/>
      <c r="Y192" s="13"/>
      <c r="Z192" s="13"/>
      <c r="AA192" s="13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3"/>
      <c r="AO192" s="13"/>
      <c r="AP192" s="13"/>
      <c r="AQ192" s="13"/>
      <c r="AR192" s="13"/>
      <c r="AS192" s="13"/>
      <c r="AT192" s="13"/>
      <c r="AU192" s="13"/>
      <c r="AV192" s="13"/>
      <c r="AW192" s="14"/>
      <c r="AX192" s="14"/>
      <c r="AY192" s="14"/>
      <c r="AZ192" s="14"/>
      <c r="BA192" s="14"/>
    </row>
    <row r="193">
      <c r="A193" s="11"/>
      <c r="B193" s="11"/>
      <c r="C193" s="11"/>
      <c r="D193" s="11"/>
      <c r="E193" s="11"/>
      <c r="F193" s="11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3"/>
      <c r="T193" s="13"/>
      <c r="U193" s="13"/>
      <c r="V193" s="13"/>
      <c r="W193" s="13"/>
      <c r="X193" s="13"/>
      <c r="Y193" s="13"/>
      <c r="Z193" s="13"/>
      <c r="AA193" s="13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3"/>
      <c r="AO193" s="13"/>
      <c r="AP193" s="13"/>
      <c r="AQ193" s="13"/>
      <c r="AR193" s="13"/>
      <c r="AS193" s="13"/>
      <c r="AT193" s="13"/>
      <c r="AU193" s="13"/>
      <c r="AV193" s="13"/>
      <c r="AW193" s="14"/>
      <c r="AX193" s="14"/>
      <c r="AY193" s="14"/>
      <c r="AZ193" s="14"/>
      <c r="BA193" s="14"/>
    </row>
    <row r="194">
      <c r="A194" s="11"/>
      <c r="B194" s="11"/>
      <c r="C194" s="11"/>
      <c r="D194" s="11"/>
      <c r="E194" s="11"/>
      <c r="F194" s="11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3"/>
      <c r="T194" s="13"/>
      <c r="U194" s="13"/>
      <c r="V194" s="13"/>
      <c r="W194" s="13"/>
      <c r="X194" s="13"/>
      <c r="Y194" s="13"/>
      <c r="Z194" s="13"/>
      <c r="AA194" s="13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3"/>
      <c r="AO194" s="13"/>
      <c r="AP194" s="13"/>
      <c r="AQ194" s="13"/>
      <c r="AR194" s="13"/>
      <c r="AS194" s="13"/>
      <c r="AT194" s="13"/>
      <c r="AU194" s="13"/>
      <c r="AV194" s="13"/>
      <c r="AW194" s="14"/>
      <c r="AX194" s="14"/>
      <c r="AY194" s="14"/>
      <c r="AZ194" s="14"/>
      <c r="BA194" s="14"/>
    </row>
    <row r="195">
      <c r="A195" s="11"/>
      <c r="B195" s="11"/>
      <c r="C195" s="11"/>
      <c r="D195" s="11"/>
      <c r="E195" s="11"/>
      <c r="F195" s="11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3"/>
      <c r="T195" s="13"/>
      <c r="U195" s="13"/>
      <c r="V195" s="13"/>
      <c r="W195" s="13"/>
      <c r="X195" s="13"/>
      <c r="Y195" s="13"/>
      <c r="Z195" s="13"/>
      <c r="AA195" s="13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3"/>
      <c r="AO195" s="13"/>
      <c r="AP195" s="13"/>
      <c r="AQ195" s="13"/>
      <c r="AR195" s="13"/>
      <c r="AS195" s="13"/>
      <c r="AT195" s="13"/>
      <c r="AU195" s="13"/>
      <c r="AV195" s="13"/>
      <c r="AW195" s="14"/>
      <c r="AX195" s="14"/>
      <c r="AY195" s="14"/>
      <c r="AZ195" s="14"/>
      <c r="BA195" s="14"/>
    </row>
    <row r="196">
      <c r="A196" s="11"/>
      <c r="B196" s="11"/>
      <c r="C196" s="11"/>
      <c r="D196" s="11"/>
      <c r="E196" s="11"/>
      <c r="F196" s="11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3"/>
      <c r="T196" s="13"/>
      <c r="U196" s="13"/>
      <c r="V196" s="13"/>
      <c r="W196" s="13"/>
      <c r="X196" s="13"/>
      <c r="Y196" s="13"/>
      <c r="Z196" s="13"/>
      <c r="AA196" s="13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3"/>
      <c r="AO196" s="13"/>
      <c r="AP196" s="13"/>
      <c r="AQ196" s="13"/>
      <c r="AR196" s="13"/>
      <c r="AS196" s="13"/>
      <c r="AT196" s="13"/>
      <c r="AU196" s="13"/>
      <c r="AV196" s="13"/>
      <c r="AW196" s="14"/>
      <c r="AX196" s="14"/>
      <c r="AY196" s="14"/>
      <c r="AZ196" s="14"/>
      <c r="BA196" s="14"/>
    </row>
    <row r="197">
      <c r="A197" s="11"/>
      <c r="B197" s="11"/>
      <c r="C197" s="11"/>
      <c r="D197" s="11"/>
      <c r="E197" s="11"/>
      <c r="F197" s="11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3"/>
      <c r="T197" s="13"/>
      <c r="U197" s="13"/>
      <c r="V197" s="13"/>
      <c r="W197" s="13"/>
      <c r="X197" s="13"/>
      <c r="Y197" s="13"/>
      <c r="Z197" s="13"/>
      <c r="AA197" s="13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3"/>
      <c r="AO197" s="13"/>
      <c r="AP197" s="13"/>
      <c r="AQ197" s="13"/>
      <c r="AR197" s="13"/>
      <c r="AS197" s="13"/>
      <c r="AT197" s="13"/>
      <c r="AU197" s="13"/>
      <c r="AV197" s="13"/>
      <c r="AW197" s="14"/>
      <c r="AX197" s="14"/>
      <c r="AY197" s="14"/>
      <c r="AZ197" s="14"/>
      <c r="BA197" s="14"/>
    </row>
    <row r="198">
      <c r="A198" s="11"/>
      <c r="B198" s="11"/>
      <c r="C198" s="11"/>
      <c r="D198" s="11"/>
      <c r="E198" s="11"/>
      <c r="F198" s="11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3"/>
      <c r="T198" s="13"/>
      <c r="U198" s="13"/>
      <c r="V198" s="13"/>
      <c r="W198" s="13"/>
      <c r="X198" s="13"/>
      <c r="Y198" s="13"/>
      <c r="Z198" s="13"/>
      <c r="AA198" s="13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3"/>
      <c r="AO198" s="13"/>
      <c r="AP198" s="13"/>
      <c r="AQ198" s="13"/>
      <c r="AR198" s="13"/>
      <c r="AS198" s="13"/>
      <c r="AT198" s="13"/>
      <c r="AU198" s="13"/>
      <c r="AV198" s="13"/>
      <c r="AW198" s="14"/>
      <c r="AX198" s="14"/>
      <c r="AY198" s="14"/>
      <c r="AZ198" s="14"/>
      <c r="BA198" s="14"/>
    </row>
    <row r="199">
      <c r="A199" s="11"/>
      <c r="B199" s="11"/>
      <c r="C199" s="11"/>
      <c r="D199" s="11"/>
      <c r="E199" s="11"/>
      <c r="F199" s="11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3"/>
      <c r="T199" s="13"/>
      <c r="U199" s="13"/>
      <c r="V199" s="13"/>
      <c r="W199" s="13"/>
      <c r="X199" s="13"/>
      <c r="Y199" s="13"/>
      <c r="Z199" s="13"/>
      <c r="AA199" s="13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3"/>
      <c r="AO199" s="13"/>
      <c r="AP199" s="13"/>
      <c r="AQ199" s="13"/>
      <c r="AR199" s="13"/>
      <c r="AS199" s="13"/>
      <c r="AT199" s="13"/>
      <c r="AU199" s="13"/>
      <c r="AV199" s="13"/>
      <c r="AW199" s="14"/>
      <c r="AX199" s="14"/>
      <c r="AY199" s="14"/>
      <c r="AZ199" s="14"/>
      <c r="BA199" s="14"/>
    </row>
    <row r="200">
      <c r="A200" s="11"/>
      <c r="B200" s="11"/>
      <c r="C200" s="11"/>
      <c r="D200" s="11"/>
      <c r="E200" s="11"/>
      <c r="F200" s="11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3"/>
      <c r="T200" s="13"/>
      <c r="U200" s="13"/>
      <c r="V200" s="13"/>
      <c r="W200" s="13"/>
      <c r="X200" s="13"/>
      <c r="Y200" s="13"/>
      <c r="Z200" s="13"/>
      <c r="AA200" s="13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3"/>
      <c r="AO200" s="13"/>
      <c r="AP200" s="13"/>
      <c r="AQ200" s="13"/>
      <c r="AR200" s="13"/>
      <c r="AS200" s="13"/>
      <c r="AT200" s="13"/>
      <c r="AU200" s="13"/>
      <c r="AV200" s="13"/>
      <c r="AW200" s="14"/>
      <c r="AX200" s="14"/>
      <c r="AY200" s="14"/>
      <c r="AZ200" s="14"/>
      <c r="BA200" s="14"/>
    </row>
    <row r="201">
      <c r="A201" s="11"/>
      <c r="B201" s="11"/>
      <c r="C201" s="11"/>
      <c r="D201" s="11"/>
      <c r="E201" s="11"/>
      <c r="F201" s="11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3"/>
      <c r="T201" s="13"/>
      <c r="U201" s="13"/>
      <c r="V201" s="13"/>
      <c r="W201" s="13"/>
      <c r="X201" s="13"/>
      <c r="Y201" s="13"/>
      <c r="Z201" s="13"/>
      <c r="AA201" s="13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3"/>
      <c r="AO201" s="13"/>
      <c r="AP201" s="13"/>
      <c r="AQ201" s="13"/>
      <c r="AR201" s="13"/>
      <c r="AS201" s="13"/>
      <c r="AT201" s="13"/>
      <c r="AU201" s="13"/>
      <c r="AV201" s="13"/>
      <c r="AW201" s="14"/>
      <c r="AX201" s="14"/>
      <c r="AY201" s="14"/>
      <c r="AZ201" s="14"/>
      <c r="BA201" s="14"/>
    </row>
    <row r="202">
      <c r="A202" s="11"/>
      <c r="B202" s="11"/>
      <c r="C202" s="11"/>
      <c r="D202" s="11"/>
      <c r="E202" s="11"/>
      <c r="F202" s="11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3"/>
      <c r="T202" s="13"/>
      <c r="U202" s="13"/>
      <c r="V202" s="13"/>
      <c r="W202" s="13"/>
      <c r="X202" s="13"/>
      <c r="Y202" s="13"/>
      <c r="Z202" s="13"/>
      <c r="AA202" s="13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3"/>
      <c r="AO202" s="13"/>
      <c r="AP202" s="13"/>
      <c r="AQ202" s="13"/>
      <c r="AR202" s="13"/>
      <c r="AS202" s="13"/>
      <c r="AT202" s="13"/>
      <c r="AU202" s="13"/>
      <c r="AV202" s="13"/>
      <c r="AW202" s="14"/>
      <c r="AX202" s="14"/>
      <c r="AY202" s="14"/>
      <c r="AZ202" s="14"/>
      <c r="BA202" s="14"/>
    </row>
    <row r="203">
      <c r="A203" s="11"/>
      <c r="B203" s="11"/>
      <c r="C203" s="11"/>
      <c r="D203" s="11"/>
      <c r="E203" s="11"/>
      <c r="F203" s="11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3"/>
      <c r="T203" s="13"/>
      <c r="U203" s="13"/>
      <c r="V203" s="13"/>
      <c r="W203" s="13"/>
      <c r="X203" s="13"/>
      <c r="Y203" s="13"/>
      <c r="Z203" s="13"/>
      <c r="AA203" s="13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3"/>
      <c r="AO203" s="13"/>
      <c r="AP203" s="13"/>
      <c r="AQ203" s="13"/>
      <c r="AR203" s="13"/>
      <c r="AS203" s="13"/>
      <c r="AT203" s="13"/>
      <c r="AU203" s="13"/>
      <c r="AV203" s="13"/>
      <c r="AW203" s="14"/>
      <c r="AX203" s="14"/>
      <c r="AY203" s="14"/>
      <c r="AZ203" s="14"/>
      <c r="BA203" s="14"/>
    </row>
    <row r="204">
      <c r="A204" s="11"/>
      <c r="B204" s="11"/>
      <c r="C204" s="11"/>
      <c r="D204" s="11"/>
      <c r="E204" s="11"/>
      <c r="F204" s="11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3"/>
      <c r="T204" s="13"/>
      <c r="U204" s="13"/>
      <c r="V204" s="13"/>
      <c r="W204" s="13"/>
      <c r="X204" s="13"/>
      <c r="Y204" s="13"/>
      <c r="Z204" s="13"/>
      <c r="AA204" s="13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3"/>
      <c r="AO204" s="13"/>
      <c r="AP204" s="13"/>
      <c r="AQ204" s="13"/>
      <c r="AR204" s="13"/>
      <c r="AS204" s="13"/>
      <c r="AT204" s="13"/>
      <c r="AU204" s="13"/>
      <c r="AV204" s="13"/>
      <c r="AW204" s="14"/>
      <c r="AX204" s="14"/>
      <c r="AY204" s="14"/>
      <c r="AZ204" s="14"/>
      <c r="BA204" s="14"/>
    </row>
    <row r="205">
      <c r="A205" s="11"/>
      <c r="B205" s="11"/>
      <c r="C205" s="11"/>
      <c r="D205" s="11"/>
      <c r="E205" s="11"/>
      <c r="F205" s="11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3"/>
      <c r="T205" s="13"/>
      <c r="U205" s="13"/>
      <c r="V205" s="13"/>
      <c r="W205" s="13"/>
      <c r="X205" s="13"/>
      <c r="Y205" s="13"/>
      <c r="Z205" s="13"/>
      <c r="AA205" s="13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3"/>
      <c r="AO205" s="13"/>
      <c r="AP205" s="13"/>
      <c r="AQ205" s="13"/>
      <c r="AR205" s="13"/>
      <c r="AS205" s="13"/>
      <c r="AT205" s="13"/>
      <c r="AU205" s="13"/>
      <c r="AV205" s="13"/>
      <c r="AW205" s="14"/>
      <c r="AX205" s="14"/>
      <c r="AY205" s="14"/>
      <c r="AZ205" s="14"/>
      <c r="BA205" s="14"/>
    </row>
    <row r="206">
      <c r="A206" s="11"/>
      <c r="B206" s="11"/>
      <c r="C206" s="11"/>
      <c r="D206" s="11"/>
      <c r="E206" s="11"/>
      <c r="F206" s="11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3"/>
      <c r="T206" s="13"/>
      <c r="U206" s="13"/>
      <c r="V206" s="13"/>
      <c r="W206" s="13"/>
      <c r="X206" s="13"/>
      <c r="Y206" s="13"/>
      <c r="Z206" s="13"/>
      <c r="AA206" s="13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3"/>
      <c r="AO206" s="13"/>
      <c r="AP206" s="13"/>
      <c r="AQ206" s="13"/>
      <c r="AR206" s="13"/>
      <c r="AS206" s="13"/>
      <c r="AT206" s="13"/>
      <c r="AU206" s="13"/>
      <c r="AV206" s="13"/>
      <c r="AW206" s="14"/>
      <c r="AX206" s="14"/>
      <c r="AY206" s="14"/>
      <c r="AZ206" s="14"/>
      <c r="BA206" s="14"/>
    </row>
    <row r="207">
      <c r="A207" s="11"/>
      <c r="B207" s="11"/>
      <c r="C207" s="11"/>
      <c r="D207" s="11"/>
      <c r="E207" s="11"/>
      <c r="F207" s="11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3"/>
      <c r="T207" s="13"/>
      <c r="U207" s="13"/>
      <c r="V207" s="13"/>
      <c r="W207" s="13"/>
      <c r="X207" s="13"/>
      <c r="Y207" s="13"/>
      <c r="Z207" s="13"/>
      <c r="AA207" s="13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3"/>
      <c r="AO207" s="13"/>
      <c r="AP207" s="13"/>
      <c r="AQ207" s="13"/>
      <c r="AR207" s="13"/>
      <c r="AS207" s="13"/>
      <c r="AT207" s="13"/>
      <c r="AU207" s="13"/>
      <c r="AV207" s="13"/>
      <c r="AW207" s="14"/>
      <c r="AX207" s="14"/>
      <c r="AY207" s="14"/>
      <c r="AZ207" s="14"/>
      <c r="BA207" s="14"/>
    </row>
    <row r="208">
      <c r="A208" s="11"/>
      <c r="B208" s="11"/>
      <c r="C208" s="11"/>
      <c r="D208" s="11"/>
      <c r="E208" s="11"/>
      <c r="F208" s="11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3"/>
      <c r="T208" s="13"/>
      <c r="U208" s="13"/>
      <c r="V208" s="13"/>
      <c r="W208" s="13"/>
      <c r="X208" s="13"/>
      <c r="Y208" s="13"/>
      <c r="Z208" s="13"/>
      <c r="AA208" s="13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3"/>
      <c r="AO208" s="13"/>
      <c r="AP208" s="13"/>
      <c r="AQ208" s="13"/>
      <c r="AR208" s="13"/>
      <c r="AS208" s="13"/>
      <c r="AT208" s="13"/>
      <c r="AU208" s="13"/>
      <c r="AV208" s="13"/>
      <c r="AW208" s="14"/>
      <c r="AX208" s="14"/>
      <c r="AY208" s="14"/>
      <c r="AZ208" s="14"/>
      <c r="BA208" s="14"/>
    </row>
    <row r="209">
      <c r="A209" s="11"/>
      <c r="B209" s="11"/>
      <c r="C209" s="11"/>
      <c r="D209" s="11"/>
      <c r="E209" s="11"/>
      <c r="F209" s="11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3"/>
      <c r="T209" s="13"/>
      <c r="U209" s="13"/>
      <c r="V209" s="13"/>
      <c r="W209" s="13"/>
      <c r="X209" s="13"/>
      <c r="Y209" s="13"/>
      <c r="Z209" s="13"/>
      <c r="AA209" s="13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3"/>
      <c r="AO209" s="13"/>
      <c r="AP209" s="13"/>
      <c r="AQ209" s="13"/>
      <c r="AR209" s="13"/>
      <c r="AS209" s="13"/>
      <c r="AT209" s="13"/>
      <c r="AU209" s="13"/>
      <c r="AV209" s="13"/>
      <c r="AW209" s="14"/>
      <c r="AX209" s="14"/>
      <c r="AY209" s="14"/>
      <c r="AZ209" s="14"/>
      <c r="BA209" s="14"/>
    </row>
    <row r="210">
      <c r="A210" s="11"/>
      <c r="B210" s="11"/>
      <c r="C210" s="11"/>
      <c r="D210" s="11"/>
      <c r="E210" s="11"/>
      <c r="F210" s="11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3"/>
      <c r="T210" s="13"/>
      <c r="U210" s="13"/>
      <c r="V210" s="13"/>
      <c r="W210" s="13"/>
      <c r="X210" s="13"/>
      <c r="Y210" s="13"/>
      <c r="Z210" s="13"/>
      <c r="AA210" s="13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3"/>
      <c r="AO210" s="13"/>
      <c r="AP210" s="13"/>
      <c r="AQ210" s="13"/>
      <c r="AR210" s="13"/>
      <c r="AS210" s="13"/>
      <c r="AT210" s="13"/>
      <c r="AU210" s="13"/>
      <c r="AV210" s="13"/>
      <c r="AW210" s="14"/>
      <c r="AX210" s="14"/>
      <c r="AY210" s="14"/>
      <c r="AZ210" s="14"/>
      <c r="BA210" s="14"/>
    </row>
    <row r="211">
      <c r="A211" s="11"/>
      <c r="B211" s="11"/>
      <c r="C211" s="11"/>
      <c r="D211" s="11"/>
      <c r="E211" s="11"/>
      <c r="F211" s="11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3"/>
      <c r="T211" s="13"/>
      <c r="U211" s="13"/>
      <c r="V211" s="13"/>
      <c r="W211" s="13"/>
      <c r="X211" s="13"/>
      <c r="Y211" s="13"/>
      <c r="Z211" s="13"/>
      <c r="AA211" s="13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3"/>
      <c r="AO211" s="13"/>
      <c r="AP211" s="13"/>
      <c r="AQ211" s="13"/>
      <c r="AR211" s="13"/>
      <c r="AS211" s="13"/>
      <c r="AT211" s="13"/>
      <c r="AU211" s="13"/>
      <c r="AV211" s="13"/>
      <c r="AW211" s="14"/>
      <c r="AX211" s="14"/>
      <c r="AY211" s="14"/>
      <c r="AZ211" s="14"/>
      <c r="BA211" s="14"/>
    </row>
    <row r="212">
      <c r="A212" s="11"/>
      <c r="B212" s="11"/>
      <c r="C212" s="11"/>
      <c r="D212" s="11"/>
      <c r="E212" s="11"/>
      <c r="F212" s="11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3"/>
      <c r="T212" s="13"/>
      <c r="U212" s="13"/>
      <c r="V212" s="13"/>
      <c r="W212" s="13"/>
      <c r="X212" s="13"/>
      <c r="Y212" s="13"/>
      <c r="Z212" s="13"/>
      <c r="AA212" s="13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3"/>
      <c r="AO212" s="13"/>
      <c r="AP212" s="13"/>
      <c r="AQ212" s="13"/>
      <c r="AR212" s="13"/>
      <c r="AS212" s="13"/>
      <c r="AT212" s="13"/>
      <c r="AU212" s="13"/>
      <c r="AV212" s="13"/>
      <c r="AW212" s="14"/>
      <c r="AX212" s="14"/>
      <c r="AY212" s="14"/>
      <c r="AZ212" s="14"/>
      <c r="BA212" s="14"/>
    </row>
    <row r="213">
      <c r="A213" s="11"/>
      <c r="B213" s="11"/>
      <c r="C213" s="11"/>
      <c r="D213" s="11"/>
      <c r="E213" s="11"/>
      <c r="F213" s="11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3"/>
      <c r="T213" s="13"/>
      <c r="U213" s="13"/>
      <c r="V213" s="13"/>
      <c r="W213" s="13"/>
      <c r="X213" s="13"/>
      <c r="Y213" s="13"/>
      <c r="Z213" s="13"/>
      <c r="AA213" s="13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3"/>
      <c r="AO213" s="13"/>
      <c r="AP213" s="13"/>
      <c r="AQ213" s="13"/>
      <c r="AR213" s="13"/>
      <c r="AS213" s="13"/>
      <c r="AT213" s="13"/>
      <c r="AU213" s="13"/>
      <c r="AV213" s="13"/>
      <c r="AW213" s="14"/>
      <c r="AX213" s="14"/>
      <c r="AY213" s="14"/>
      <c r="AZ213" s="14"/>
      <c r="BA213" s="14"/>
    </row>
    <row r="214">
      <c r="A214" s="11"/>
      <c r="B214" s="11"/>
      <c r="C214" s="11"/>
      <c r="D214" s="11"/>
      <c r="E214" s="11"/>
      <c r="F214" s="11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3"/>
      <c r="T214" s="13"/>
      <c r="U214" s="13"/>
      <c r="V214" s="13"/>
      <c r="W214" s="13"/>
      <c r="X214" s="13"/>
      <c r="Y214" s="13"/>
      <c r="Z214" s="13"/>
      <c r="AA214" s="13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3"/>
      <c r="AO214" s="13"/>
      <c r="AP214" s="13"/>
      <c r="AQ214" s="13"/>
      <c r="AR214" s="13"/>
      <c r="AS214" s="13"/>
      <c r="AT214" s="13"/>
      <c r="AU214" s="13"/>
      <c r="AV214" s="13"/>
      <c r="AW214" s="14"/>
      <c r="AX214" s="14"/>
      <c r="AY214" s="14"/>
      <c r="AZ214" s="14"/>
      <c r="BA214" s="14"/>
    </row>
    <row r="215">
      <c r="A215" s="11"/>
      <c r="B215" s="11"/>
      <c r="C215" s="11"/>
      <c r="D215" s="11"/>
      <c r="E215" s="11"/>
      <c r="F215" s="11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3"/>
      <c r="T215" s="13"/>
      <c r="U215" s="13"/>
      <c r="V215" s="13"/>
      <c r="W215" s="13"/>
      <c r="X215" s="13"/>
      <c r="Y215" s="13"/>
      <c r="Z215" s="13"/>
      <c r="AA215" s="13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3"/>
      <c r="AO215" s="13"/>
      <c r="AP215" s="13"/>
      <c r="AQ215" s="13"/>
      <c r="AR215" s="13"/>
      <c r="AS215" s="13"/>
      <c r="AT215" s="13"/>
      <c r="AU215" s="13"/>
      <c r="AV215" s="13"/>
      <c r="AW215" s="14"/>
      <c r="AX215" s="14"/>
      <c r="AY215" s="14"/>
      <c r="AZ215" s="14"/>
      <c r="BA215" s="14"/>
    </row>
    <row r="216">
      <c r="A216" s="11"/>
      <c r="B216" s="11"/>
      <c r="C216" s="11"/>
      <c r="D216" s="11"/>
      <c r="E216" s="11"/>
      <c r="F216" s="11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3"/>
      <c r="T216" s="13"/>
      <c r="U216" s="13"/>
      <c r="V216" s="13"/>
      <c r="W216" s="13"/>
      <c r="X216" s="13"/>
      <c r="Y216" s="13"/>
      <c r="Z216" s="13"/>
      <c r="AA216" s="13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3"/>
      <c r="AO216" s="13"/>
      <c r="AP216" s="13"/>
      <c r="AQ216" s="13"/>
      <c r="AR216" s="13"/>
      <c r="AS216" s="13"/>
      <c r="AT216" s="13"/>
      <c r="AU216" s="13"/>
      <c r="AV216" s="13"/>
      <c r="AW216" s="14"/>
      <c r="AX216" s="14"/>
      <c r="AY216" s="14"/>
      <c r="AZ216" s="14"/>
      <c r="BA216" s="14"/>
    </row>
    <row r="217">
      <c r="A217" s="11"/>
      <c r="B217" s="11"/>
      <c r="C217" s="11"/>
      <c r="D217" s="11"/>
      <c r="E217" s="11"/>
      <c r="F217" s="11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3"/>
      <c r="T217" s="13"/>
      <c r="U217" s="13"/>
      <c r="V217" s="13"/>
      <c r="W217" s="13"/>
      <c r="X217" s="13"/>
      <c r="Y217" s="13"/>
      <c r="Z217" s="13"/>
      <c r="AA217" s="13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3"/>
      <c r="AO217" s="13"/>
      <c r="AP217" s="13"/>
      <c r="AQ217" s="13"/>
      <c r="AR217" s="13"/>
      <c r="AS217" s="13"/>
      <c r="AT217" s="13"/>
      <c r="AU217" s="13"/>
      <c r="AV217" s="13"/>
      <c r="AW217" s="14"/>
      <c r="AX217" s="14"/>
      <c r="AY217" s="14"/>
      <c r="AZ217" s="14"/>
      <c r="BA217" s="14"/>
    </row>
    <row r="218">
      <c r="A218" s="11"/>
      <c r="B218" s="11"/>
      <c r="C218" s="11"/>
      <c r="D218" s="11"/>
      <c r="E218" s="11"/>
      <c r="F218" s="11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3"/>
      <c r="T218" s="13"/>
      <c r="U218" s="13"/>
      <c r="V218" s="13"/>
      <c r="W218" s="13"/>
      <c r="X218" s="13"/>
      <c r="Y218" s="13"/>
      <c r="Z218" s="13"/>
      <c r="AA218" s="13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3"/>
      <c r="AO218" s="13"/>
      <c r="AP218" s="13"/>
      <c r="AQ218" s="13"/>
      <c r="AR218" s="13"/>
      <c r="AS218" s="13"/>
      <c r="AT218" s="13"/>
      <c r="AU218" s="13"/>
      <c r="AV218" s="13"/>
      <c r="AW218" s="14"/>
      <c r="AX218" s="14"/>
      <c r="AY218" s="14"/>
      <c r="AZ218" s="14"/>
      <c r="BA218" s="14"/>
    </row>
    <row r="219">
      <c r="A219" s="11"/>
      <c r="B219" s="11"/>
      <c r="C219" s="11"/>
      <c r="D219" s="11"/>
      <c r="E219" s="11"/>
      <c r="F219" s="11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3"/>
      <c r="T219" s="13"/>
      <c r="U219" s="13"/>
      <c r="V219" s="13"/>
      <c r="W219" s="13"/>
      <c r="X219" s="13"/>
      <c r="Y219" s="13"/>
      <c r="Z219" s="13"/>
      <c r="AA219" s="13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3"/>
      <c r="AO219" s="13"/>
      <c r="AP219" s="13"/>
      <c r="AQ219" s="13"/>
      <c r="AR219" s="13"/>
      <c r="AS219" s="13"/>
      <c r="AT219" s="13"/>
      <c r="AU219" s="13"/>
      <c r="AV219" s="13"/>
      <c r="AW219" s="14"/>
      <c r="AX219" s="14"/>
      <c r="AY219" s="14"/>
      <c r="AZ219" s="14"/>
      <c r="BA219" s="14"/>
    </row>
    <row r="220">
      <c r="A220" s="11"/>
      <c r="B220" s="11"/>
      <c r="C220" s="11"/>
      <c r="D220" s="11"/>
      <c r="E220" s="11"/>
      <c r="F220" s="11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3"/>
      <c r="T220" s="13"/>
      <c r="U220" s="13"/>
      <c r="V220" s="13"/>
      <c r="W220" s="13"/>
      <c r="X220" s="13"/>
      <c r="Y220" s="13"/>
      <c r="Z220" s="13"/>
      <c r="AA220" s="13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3"/>
      <c r="AO220" s="13"/>
      <c r="AP220" s="13"/>
      <c r="AQ220" s="13"/>
      <c r="AR220" s="13"/>
      <c r="AS220" s="13"/>
      <c r="AT220" s="13"/>
      <c r="AU220" s="13"/>
      <c r="AV220" s="13"/>
      <c r="AW220" s="14"/>
      <c r="AX220" s="14"/>
      <c r="AY220" s="14"/>
      <c r="AZ220" s="14"/>
      <c r="BA220" s="14"/>
    </row>
    <row r="221">
      <c r="A221" s="11"/>
      <c r="B221" s="11"/>
      <c r="C221" s="11"/>
      <c r="D221" s="11"/>
      <c r="E221" s="11"/>
      <c r="F221" s="11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3"/>
      <c r="T221" s="13"/>
      <c r="U221" s="13"/>
      <c r="V221" s="13"/>
      <c r="W221" s="13"/>
      <c r="X221" s="13"/>
      <c r="Y221" s="13"/>
      <c r="Z221" s="13"/>
      <c r="AA221" s="13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3"/>
      <c r="AO221" s="13"/>
      <c r="AP221" s="13"/>
      <c r="AQ221" s="13"/>
      <c r="AR221" s="13"/>
      <c r="AS221" s="13"/>
      <c r="AT221" s="13"/>
      <c r="AU221" s="13"/>
      <c r="AV221" s="13"/>
      <c r="AW221" s="14"/>
      <c r="AX221" s="14"/>
      <c r="AY221" s="14"/>
      <c r="AZ221" s="14"/>
      <c r="BA221" s="14"/>
    </row>
    <row r="222">
      <c r="A222" s="11"/>
      <c r="B222" s="11"/>
      <c r="C222" s="11"/>
      <c r="D222" s="11"/>
      <c r="E222" s="11"/>
      <c r="F222" s="11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3"/>
      <c r="T222" s="13"/>
      <c r="U222" s="13"/>
      <c r="V222" s="13"/>
      <c r="W222" s="13"/>
      <c r="X222" s="13"/>
      <c r="Y222" s="13"/>
      <c r="Z222" s="13"/>
      <c r="AA222" s="13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3"/>
      <c r="AO222" s="13"/>
      <c r="AP222" s="13"/>
      <c r="AQ222" s="13"/>
      <c r="AR222" s="13"/>
      <c r="AS222" s="13"/>
      <c r="AT222" s="13"/>
      <c r="AU222" s="13"/>
      <c r="AV222" s="13"/>
      <c r="AW222" s="14"/>
      <c r="AX222" s="14"/>
      <c r="AY222" s="14"/>
      <c r="AZ222" s="14"/>
      <c r="BA222" s="14"/>
    </row>
    <row r="223">
      <c r="A223" s="11"/>
      <c r="B223" s="11"/>
      <c r="C223" s="11"/>
      <c r="D223" s="11"/>
      <c r="E223" s="11"/>
      <c r="F223" s="11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3"/>
      <c r="T223" s="13"/>
      <c r="U223" s="13"/>
      <c r="V223" s="13"/>
      <c r="W223" s="13"/>
      <c r="X223" s="13"/>
      <c r="Y223" s="13"/>
      <c r="Z223" s="13"/>
      <c r="AA223" s="13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3"/>
      <c r="AO223" s="13"/>
      <c r="AP223" s="13"/>
      <c r="AQ223" s="13"/>
      <c r="AR223" s="13"/>
      <c r="AS223" s="13"/>
      <c r="AT223" s="13"/>
      <c r="AU223" s="13"/>
      <c r="AV223" s="13"/>
      <c r="AW223" s="14"/>
      <c r="AX223" s="14"/>
      <c r="AY223" s="14"/>
      <c r="AZ223" s="14"/>
      <c r="BA223" s="14"/>
    </row>
    <row r="224">
      <c r="A224" s="11"/>
      <c r="B224" s="11"/>
      <c r="C224" s="11"/>
      <c r="D224" s="11"/>
      <c r="E224" s="11"/>
      <c r="F224" s="11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3"/>
      <c r="T224" s="13"/>
      <c r="U224" s="13"/>
      <c r="V224" s="13"/>
      <c r="W224" s="13"/>
      <c r="X224" s="13"/>
      <c r="Y224" s="13"/>
      <c r="Z224" s="13"/>
      <c r="AA224" s="13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3"/>
      <c r="AO224" s="13"/>
      <c r="AP224" s="13"/>
      <c r="AQ224" s="13"/>
      <c r="AR224" s="13"/>
      <c r="AS224" s="13"/>
      <c r="AT224" s="13"/>
      <c r="AU224" s="13"/>
      <c r="AV224" s="13"/>
      <c r="AW224" s="14"/>
      <c r="AX224" s="14"/>
      <c r="AY224" s="14"/>
      <c r="AZ224" s="14"/>
      <c r="BA224" s="14"/>
    </row>
    <row r="225">
      <c r="A225" s="11"/>
      <c r="B225" s="11"/>
      <c r="C225" s="11"/>
      <c r="D225" s="11"/>
      <c r="E225" s="11"/>
      <c r="F225" s="11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3"/>
      <c r="T225" s="13"/>
      <c r="U225" s="13"/>
      <c r="V225" s="13"/>
      <c r="W225" s="13"/>
      <c r="X225" s="13"/>
      <c r="Y225" s="13"/>
      <c r="Z225" s="13"/>
      <c r="AA225" s="13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3"/>
      <c r="AO225" s="13"/>
      <c r="AP225" s="13"/>
      <c r="AQ225" s="13"/>
      <c r="AR225" s="13"/>
      <c r="AS225" s="13"/>
      <c r="AT225" s="13"/>
      <c r="AU225" s="13"/>
      <c r="AV225" s="13"/>
      <c r="AW225" s="14"/>
      <c r="AX225" s="14"/>
      <c r="AY225" s="14"/>
      <c r="AZ225" s="14"/>
      <c r="BA225" s="14"/>
    </row>
    <row r="226">
      <c r="A226" s="11"/>
      <c r="B226" s="11"/>
      <c r="C226" s="11"/>
      <c r="D226" s="11"/>
      <c r="E226" s="11"/>
      <c r="F226" s="11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3"/>
      <c r="T226" s="13"/>
      <c r="U226" s="13"/>
      <c r="V226" s="13"/>
      <c r="W226" s="13"/>
      <c r="X226" s="13"/>
      <c r="Y226" s="13"/>
      <c r="Z226" s="13"/>
      <c r="AA226" s="13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3"/>
      <c r="AO226" s="13"/>
      <c r="AP226" s="13"/>
      <c r="AQ226" s="13"/>
      <c r="AR226" s="13"/>
      <c r="AS226" s="13"/>
      <c r="AT226" s="13"/>
      <c r="AU226" s="13"/>
      <c r="AV226" s="13"/>
      <c r="AW226" s="14"/>
      <c r="AX226" s="14"/>
      <c r="AY226" s="14"/>
      <c r="AZ226" s="14"/>
      <c r="BA226" s="14"/>
    </row>
    <row r="227">
      <c r="A227" s="11"/>
      <c r="B227" s="11"/>
      <c r="C227" s="11"/>
      <c r="D227" s="11"/>
      <c r="E227" s="11"/>
      <c r="F227" s="11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3"/>
      <c r="T227" s="13"/>
      <c r="U227" s="13"/>
      <c r="V227" s="13"/>
      <c r="W227" s="13"/>
      <c r="X227" s="13"/>
      <c r="Y227" s="13"/>
      <c r="Z227" s="13"/>
      <c r="AA227" s="13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3"/>
      <c r="AO227" s="13"/>
      <c r="AP227" s="13"/>
      <c r="AQ227" s="13"/>
      <c r="AR227" s="13"/>
      <c r="AS227" s="13"/>
      <c r="AT227" s="13"/>
      <c r="AU227" s="13"/>
      <c r="AV227" s="13"/>
      <c r="AW227" s="14"/>
      <c r="AX227" s="14"/>
      <c r="AY227" s="14"/>
      <c r="AZ227" s="14"/>
      <c r="BA227" s="14"/>
    </row>
    <row r="228">
      <c r="A228" s="11"/>
      <c r="B228" s="11"/>
      <c r="C228" s="11"/>
      <c r="D228" s="11"/>
      <c r="E228" s="11"/>
      <c r="F228" s="11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3"/>
      <c r="T228" s="13"/>
      <c r="U228" s="13"/>
      <c r="V228" s="13"/>
      <c r="W228" s="13"/>
      <c r="X228" s="13"/>
      <c r="Y228" s="13"/>
      <c r="Z228" s="13"/>
      <c r="AA228" s="13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3"/>
      <c r="AO228" s="13"/>
      <c r="AP228" s="13"/>
      <c r="AQ228" s="13"/>
      <c r="AR228" s="13"/>
      <c r="AS228" s="13"/>
      <c r="AT228" s="13"/>
      <c r="AU228" s="13"/>
      <c r="AV228" s="13"/>
      <c r="AW228" s="14"/>
      <c r="AX228" s="14"/>
      <c r="AY228" s="14"/>
      <c r="AZ228" s="14"/>
      <c r="BA228" s="14"/>
    </row>
    <row r="229">
      <c r="A229" s="11"/>
      <c r="B229" s="11"/>
      <c r="C229" s="11"/>
      <c r="D229" s="11"/>
      <c r="E229" s="11"/>
      <c r="F229" s="11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3"/>
      <c r="T229" s="13"/>
      <c r="U229" s="13"/>
      <c r="V229" s="13"/>
      <c r="W229" s="13"/>
      <c r="X229" s="13"/>
      <c r="Y229" s="13"/>
      <c r="Z229" s="13"/>
      <c r="AA229" s="13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3"/>
      <c r="AO229" s="13"/>
      <c r="AP229" s="13"/>
      <c r="AQ229" s="13"/>
      <c r="AR229" s="13"/>
      <c r="AS229" s="13"/>
      <c r="AT229" s="13"/>
      <c r="AU229" s="13"/>
      <c r="AV229" s="13"/>
      <c r="AW229" s="14"/>
      <c r="AX229" s="14"/>
      <c r="AY229" s="14"/>
      <c r="AZ229" s="14"/>
      <c r="BA229" s="14"/>
    </row>
    <row r="230">
      <c r="A230" s="11"/>
      <c r="B230" s="11"/>
      <c r="C230" s="11"/>
      <c r="D230" s="11"/>
      <c r="E230" s="11"/>
      <c r="F230" s="11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3"/>
      <c r="T230" s="13"/>
      <c r="U230" s="13"/>
      <c r="V230" s="13"/>
      <c r="W230" s="13"/>
      <c r="X230" s="13"/>
      <c r="Y230" s="13"/>
      <c r="Z230" s="13"/>
      <c r="AA230" s="13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3"/>
      <c r="AO230" s="13"/>
      <c r="AP230" s="13"/>
      <c r="AQ230" s="13"/>
      <c r="AR230" s="13"/>
      <c r="AS230" s="13"/>
      <c r="AT230" s="13"/>
      <c r="AU230" s="13"/>
      <c r="AV230" s="13"/>
      <c r="AW230" s="14"/>
      <c r="AX230" s="14"/>
      <c r="AY230" s="14"/>
      <c r="AZ230" s="14"/>
      <c r="BA230" s="14"/>
    </row>
    <row r="231">
      <c r="A231" s="11"/>
      <c r="B231" s="11"/>
      <c r="C231" s="11"/>
      <c r="D231" s="11"/>
      <c r="E231" s="11"/>
      <c r="F231" s="11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3"/>
      <c r="T231" s="13"/>
      <c r="U231" s="13"/>
      <c r="V231" s="13"/>
      <c r="W231" s="13"/>
      <c r="X231" s="13"/>
      <c r="Y231" s="13"/>
      <c r="Z231" s="13"/>
      <c r="AA231" s="13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3"/>
      <c r="AO231" s="13"/>
      <c r="AP231" s="13"/>
      <c r="AQ231" s="13"/>
      <c r="AR231" s="13"/>
      <c r="AS231" s="13"/>
      <c r="AT231" s="13"/>
      <c r="AU231" s="13"/>
      <c r="AV231" s="13"/>
      <c r="AW231" s="14"/>
      <c r="AX231" s="14"/>
      <c r="AY231" s="14"/>
      <c r="AZ231" s="14"/>
      <c r="BA231" s="14"/>
    </row>
    <row r="232">
      <c r="A232" s="11"/>
      <c r="B232" s="11"/>
      <c r="C232" s="11"/>
      <c r="D232" s="11"/>
      <c r="E232" s="11"/>
      <c r="F232" s="11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3"/>
      <c r="T232" s="13"/>
      <c r="U232" s="13"/>
      <c r="V232" s="13"/>
      <c r="W232" s="13"/>
      <c r="X232" s="13"/>
      <c r="Y232" s="13"/>
      <c r="Z232" s="13"/>
      <c r="AA232" s="13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3"/>
      <c r="AO232" s="13"/>
      <c r="AP232" s="13"/>
      <c r="AQ232" s="13"/>
      <c r="AR232" s="13"/>
      <c r="AS232" s="13"/>
      <c r="AT232" s="13"/>
      <c r="AU232" s="13"/>
      <c r="AV232" s="13"/>
      <c r="AW232" s="14"/>
      <c r="AX232" s="14"/>
      <c r="AY232" s="14"/>
      <c r="AZ232" s="14"/>
      <c r="BA232" s="14"/>
    </row>
    <row r="233">
      <c r="A233" s="11"/>
      <c r="B233" s="11"/>
      <c r="C233" s="11"/>
      <c r="D233" s="11"/>
      <c r="E233" s="11"/>
      <c r="F233" s="11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3"/>
      <c r="T233" s="13"/>
      <c r="U233" s="13"/>
      <c r="V233" s="13"/>
      <c r="W233" s="13"/>
      <c r="X233" s="13"/>
      <c r="Y233" s="13"/>
      <c r="Z233" s="13"/>
      <c r="AA233" s="13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3"/>
      <c r="AO233" s="13"/>
      <c r="AP233" s="13"/>
      <c r="AQ233" s="13"/>
      <c r="AR233" s="13"/>
      <c r="AS233" s="13"/>
      <c r="AT233" s="13"/>
      <c r="AU233" s="13"/>
      <c r="AV233" s="13"/>
      <c r="AW233" s="14"/>
      <c r="AX233" s="14"/>
      <c r="AY233" s="14"/>
      <c r="AZ233" s="14"/>
      <c r="BA233" s="14"/>
    </row>
    <row r="234">
      <c r="A234" s="11"/>
      <c r="B234" s="11"/>
      <c r="C234" s="11"/>
      <c r="D234" s="11"/>
      <c r="E234" s="11"/>
      <c r="F234" s="11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3"/>
      <c r="T234" s="13"/>
      <c r="U234" s="13"/>
      <c r="V234" s="13"/>
      <c r="W234" s="13"/>
      <c r="X234" s="13"/>
      <c r="Y234" s="13"/>
      <c r="Z234" s="13"/>
      <c r="AA234" s="13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3"/>
      <c r="AO234" s="13"/>
      <c r="AP234" s="13"/>
      <c r="AQ234" s="13"/>
      <c r="AR234" s="13"/>
      <c r="AS234" s="13"/>
      <c r="AT234" s="13"/>
      <c r="AU234" s="13"/>
      <c r="AV234" s="13"/>
      <c r="AW234" s="14"/>
      <c r="AX234" s="14"/>
      <c r="AY234" s="14"/>
      <c r="AZ234" s="14"/>
      <c r="BA234" s="14"/>
    </row>
    <row r="235">
      <c r="A235" s="11"/>
      <c r="B235" s="11"/>
      <c r="C235" s="11"/>
      <c r="D235" s="11"/>
      <c r="E235" s="11"/>
      <c r="F235" s="11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3"/>
      <c r="T235" s="13"/>
      <c r="U235" s="13"/>
      <c r="V235" s="13"/>
      <c r="W235" s="13"/>
      <c r="X235" s="13"/>
      <c r="Y235" s="13"/>
      <c r="Z235" s="13"/>
      <c r="AA235" s="13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3"/>
      <c r="AO235" s="13"/>
      <c r="AP235" s="13"/>
      <c r="AQ235" s="13"/>
      <c r="AR235" s="13"/>
      <c r="AS235" s="13"/>
      <c r="AT235" s="13"/>
      <c r="AU235" s="13"/>
      <c r="AV235" s="13"/>
      <c r="AW235" s="14"/>
      <c r="AX235" s="14"/>
      <c r="AY235" s="14"/>
      <c r="AZ235" s="14"/>
      <c r="BA235" s="14"/>
    </row>
    <row r="236">
      <c r="A236" s="11"/>
      <c r="B236" s="11"/>
      <c r="C236" s="11"/>
      <c r="D236" s="11"/>
      <c r="E236" s="11"/>
      <c r="F236" s="11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3"/>
      <c r="T236" s="13"/>
      <c r="U236" s="13"/>
      <c r="V236" s="13"/>
      <c r="W236" s="13"/>
      <c r="X236" s="13"/>
      <c r="Y236" s="13"/>
      <c r="Z236" s="13"/>
      <c r="AA236" s="13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3"/>
      <c r="AO236" s="13"/>
      <c r="AP236" s="13"/>
      <c r="AQ236" s="13"/>
      <c r="AR236" s="13"/>
      <c r="AS236" s="13"/>
      <c r="AT236" s="13"/>
      <c r="AU236" s="13"/>
      <c r="AV236" s="13"/>
      <c r="AW236" s="14"/>
      <c r="AX236" s="14"/>
      <c r="AY236" s="14"/>
      <c r="AZ236" s="14"/>
      <c r="BA236" s="14"/>
    </row>
    <row r="237">
      <c r="A237" s="11"/>
      <c r="B237" s="11"/>
      <c r="C237" s="11"/>
      <c r="D237" s="11"/>
      <c r="E237" s="11"/>
      <c r="F237" s="11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3"/>
      <c r="T237" s="13"/>
      <c r="U237" s="13"/>
      <c r="V237" s="13"/>
      <c r="W237" s="13"/>
      <c r="X237" s="13"/>
      <c r="Y237" s="13"/>
      <c r="Z237" s="13"/>
      <c r="AA237" s="13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3"/>
      <c r="AO237" s="13"/>
      <c r="AP237" s="13"/>
      <c r="AQ237" s="13"/>
      <c r="AR237" s="13"/>
      <c r="AS237" s="13"/>
      <c r="AT237" s="13"/>
      <c r="AU237" s="13"/>
      <c r="AV237" s="13"/>
      <c r="AW237" s="14"/>
      <c r="AX237" s="14"/>
      <c r="AY237" s="14"/>
      <c r="AZ237" s="14"/>
      <c r="BA237" s="14"/>
    </row>
    <row r="238">
      <c r="A238" s="11"/>
      <c r="B238" s="11"/>
      <c r="C238" s="11"/>
      <c r="D238" s="11"/>
      <c r="E238" s="11"/>
      <c r="F238" s="11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3"/>
      <c r="T238" s="13"/>
      <c r="U238" s="13"/>
      <c r="V238" s="13"/>
      <c r="W238" s="13"/>
      <c r="X238" s="13"/>
      <c r="Y238" s="13"/>
      <c r="Z238" s="13"/>
      <c r="AA238" s="13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3"/>
      <c r="AO238" s="13"/>
      <c r="AP238" s="13"/>
      <c r="AQ238" s="13"/>
      <c r="AR238" s="13"/>
      <c r="AS238" s="13"/>
      <c r="AT238" s="13"/>
      <c r="AU238" s="13"/>
      <c r="AV238" s="13"/>
      <c r="AW238" s="14"/>
      <c r="AX238" s="14"/>
      <c r="AY238" s="14"/>
      <c r="AZ238" s="14"/>
      <c r="BA238" s="14"/>
    </row>
    <row r="239">
      <c r="A239" s="11"/>
      <c r="B239" s="11"/>
      <c r="C239" s="11"/>
      <c r="D239" s="11"/>
      <c r="E239" s="11"/>
      <c r="F239" s="11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3"/>
      <c r="T239" s="13"/>
      <c r="U239" s="13"/>
      <c r="V239" s="13"/>
      <c r="W239" s="13"/>
      <c r="X239" s="13"/>
      <c r="Y239" s="13"/>
      <c r="Z239" s="13"/>
      <c r="AA239" s="13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3"/>
      <c r="AO239" s="13"/>
      <c r="AP239" s="13"/>
      <c r="AQ239" s="13"/>
      <c r="AR239" s="13"/>
      <c r="AS239" s="13"/>
      <c r="AT239" s="13"/>
      <c r="AU239" s="13"/>
      <c r="AV239" s="13"/>
      <c r="AW239" s="14"/>
      <c r="AX239" s="14"/>
      <c r="AY239" s="14"/>
      <c r="AZ239" s="14"/>
      <c r="BA239" s="14"/>
    </row>
    <row r="240">
      <c r="A240" s="11"/>
      <c r="B240" s="11"/>
      <c r="C240" s="11"/>
      <c r="D240" s="11"/>
      <c r="E240" s="11"/>
      <c r="F240" s="11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3"/>
      <c r="T240" s="13"/>
      <c r="U240" s="13"/>
      <c r="V240" s="13"/>
      <c r="W240" s="13"/>
      <c r="X240" s="13"/>
      <c r="Y240" s="13"/>
      <c r="Z240" s="13"/>
      <c r="AA240" s="13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3"/>
      <c r="AO240" s="13"/>
      <c r="AP240" s="13"/>
      <c r="AQ240" s="13"/>
      <c r="AR240" s="13"/>
      <c r="AS240" s="13"/>
      <c r="AT240" s="13"/>
      <c r="AU240" s="13"/>
      <c r="AV240" s="13"/>
      <c r="AW240" s="14"/>
      <c r="AX240" s="14"/>
      <c r="AY240" s="14"/>
      <c r="AZ240" s="14"/>
      <c r="BA240" s="14"/>
    </row>
    <row r="241">
      <c r="A241" s="11"/>
      <c r="B241" s="11"/>
      <c r="C241" s="11"/>
      <c r="D241" s="11"/>
      <c r="E241" s="11"/>
      <c r="F241" s="11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3"/>
      <c r="T241" s="13"/>
      <c r="U241" s="13"/>
      <c r="V241" s="13"/>
      <c r="W241" s="13"/>
      <c r="X241" s="13"/>
      <c r="Y241" s="13"/>
      <c r="Z241" s="13"/>
      <c r="AA241" s="13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3"/>
      <c r="AO241" s="13"/>
      <c r="AP241" s="13"/>
      <c r="AQ241" s="13"/>
      <c r="AR241" s="13"/>
      <c r="AS241" s="13"/>
      <c r="AT241" s="13"/>
      <c r="AU241" s="13"/>
      <c r="AV241" s="13"/>
      <c r="AW241" s="14"/>
      <c r="AX241" s="14"/>
      <c r="AY241" s="14"/>
      <c r="AZ241" s="14"/>
      <c r="BA241" s="14"/>
    </row>
    <row r="242">
      <c r="A242" s="11"/>
      <c r="B242" s="11"/>
      <c r="C242" s="11"/>
      <c r="D242" s="11"/>
      <c r="E242" s="11"/>
      <c r="F242" s="11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3"/>
      <c r="T242" s="13"/>
      <c r="U242" s="13"/>
      <c r="V242" s="13"/>
      <c r="W242" s="13"/>
      <c r="X242" s="13"/>
      <c r="Y242" s="13"/>
      <c r="Z242" s="13"/>
      <c r="AA242" s="13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3"/>
      <c r="AO242" s="13"/>
      <c r="AP242" s="13"/>
      <c r="AQ242" s="13"/>
      <c r="AR242" s="13"/>
      <c r="AS242" s="13"/>
      <c r="AT242" s="13"/>
      <c r="AU242" s="13"/>
      <c r="AV242" s="13"/>
      <c r="AW242" s="14"/>
      <c r="AX242" s="14"/>
      <c r="AY242" s="14"/>
      <c r="AZ242" s="14"/>
      <c r="BA242" s="14"/>
    </row>
    <row r="243">
      <c r="A243" s="11"/>
      <c r="B243" s="11"/>
      <c r="C243" s="11"/>
      <c r="D243" s="11"/>
      <c r="E243" s="11"/>
      <c r="F243" s="11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3"/>
      <c r="T243" s="13"/>
      <c r="U243" s="13"/>
      <c r="V243" s="13"/>
      <c r="W243" s="13"/>
      <c r="X243" s="13"/>
      <c r="Y243" s="13"/>
      <c r="Z243" s="13"/>
      <c r="AA243" s="13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3"/>
      <c r="AO243" s="13"/>
      <c r="AP243" s="13"/>
      <c r="AQ243" s="13"/>
      <c r="AR243" s="13"/>
      <c r="AS243" s="13"/>
      <c r="AT243" s="13"/>
      <c r="AU243" s="13"/>
      <c r="AV243" s="13"/>
      <c r="AW243" s="14"/>
      <c r="AX243" s="14"/>
      <c r="AY243" s="14"/>
      <c r="AZ243" s="14"/>
      <c r="BA243" s="14"/>
    </row>
    <row r="244">
      <c r="A244" s="11"/>
      <c r="B244" s="11"/>
      <c r="C244" s="11"/>
      <c r="D244" s="11"/>
      <c r="E244" s="11"/>
      <c r="F244" s="11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3"/>
      <c r="T244" s="13"/>
      <c r="U244" s="13"/>
      <c r="V244" s="13"/>
      <c r="W244" s="13"/>
      <c r="X244" s="13"/>
      <c r="Y244" s="13"/>
      <c r="Z244" s="13"/>
      <c r="AA244" s="13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3"/>
      <c r="AO244" s="13"/>
      <c r="AP244" s="13"/>
      <c r="AQ244" s="13"/>
      <c r="AR244" s="13"/>
      <c r="AS244" s="13"/>
      <c r="AT244" s="13"/>
      <c r="AU244" s="13"/>
      <c r="AV244" s="13"/>
      <c r="AW244" s="14"/>
      <c r="AX244" s="14"/>
      <c r="AY244" s="14"/>
      <c r="AZ244" s="14"/>
      <c r="BA244" s="14"/>
    </row>
    <row r="245">
      <c r="A245" s="11"/>
      <c r="B245" s="11"/>
      <c r="C245" s="11"/>
      <c r="D245" s="11"/>
      <c r="E245" s="11"/>
      <c r="F245" s="11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3"/>
      <c r="T245" s="13"/>
      <c r="U245" s="13"/>
      <c r="V245" s="13"/>
      <c r="W245" s="13"/>
      <c r="X245" s="13"/>
      <c r="Y245" s="13"/>
      <c r="Z245" s="13"/>
      <c r="AA245" s="13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3"/>
      <c r="AO245" s="13"/>
      <c r="AP245" s="13"/>
      <c r="AQ245" s="13"/>
      <c r="AR245" s="13"/>
      <c r="AS245" s="13"/>
      <c r="AT245" s="13"/>
      <c r="AU245" s="13"/>
      <c r="AV245" s="13"/>
      <c r="AW245" s="14"/>
      <c r="AX245" s="14"/>
      <c r="AY245" s="14"/>
      <c r="AZ245" s="14"/>
      <c r="BA245" s="14"/>
    </row>
    <row r="246">
      <c r="A246" s="11"/>
      <c r="B246" s="11"/>
      <c r="C246" s="11"/>
      <c r="D246" s="11"/>
      <c r="E246" s="11"/>
      <c r="F246" s="11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3"/>
      <c r="T246" s="13"/>
      <c r="U246" s="13"/>
      <c r="V246" s="13"/>
      <c r="W246" s="13"/>
      <c r="X246" s="13"/>
      <c r="Y246" s="13"/>
      <c r="Z246" s="13"/>
      <c r="AA246" s="13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3"/>
      <c r="AO246" s="13"/>
      <c r="AP246" s="13"/>
      <c r="AQ246" s="13"/>
      <c r="AR246" s="13"/>
      <c r="AS246" s="13"/>
      <c r="AT246" s="13"/>
      <c r="AU246" s="13"/>
      <c r="AV246" s="13"/>
      <c r="AW246" s="14"/>
      <c r="AX246" s="14"/>
      <c r="AY246" s="14"/>
      <c r="AZ246" s="14"/>
      <c r="BA246" s="14"/>
    </row>
    <row r="247">
      <c r="A247" s="11"/>
      <c r="B247" s="11"/>
      <c r="C247" s="11"/>
      <c r="D247" s="11"/>
      <c r="E247" s="11"/>
      <c r="F247" s="11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3"/>
      <c r="T247" s="13"/>
      <c r="U247" s="13"/>
      <c r="V247" s="13"/>
      <c r="W247" s="13"/>
      <c r="X247" s="13"/>
      <c r="Y247" s="13"/>
      <c r="Z247" s="13"/>
      <c r="AA247" s="13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3"/>
      <c r="AO247" s="13"/>
      <c r="AP247" s="13"/>
      <c r="AQ247" s="13"/>
      <c r="AR247" s="13"/>
      <c r="AS247" s="13"/>
      <c r="AT247" s="13"/>
      <c r="AU247" s="13"/>
      <c r="AV247" s="13"/>
      <c r="AW247" s="14"/>
      <c r="AX247" s="14"/>
      <c r="AY247" s="14"/>
      <c r="AZ247" s="14"/>
      <c r="BA247" s="14"/>
    </row>
    <row r="248">
      <c r="A248" s="11"/>
      <c r="B248" s="11"/>
      <c r="C248" s="11"/>
      <c r="D248" s="11"/>
      <c r="E248" s="11"/>
      <c r="F248" s="11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3"/>
      <c r="T248" s="13"/>
      <c r="U248" s="13"/>
      <c r="V248" s="13"/>
      <c r="W248" s="13"/>
      <c r="X248" s="13"/>
      <c r="Y248" s="13"/>
      <c r="Z248" s="13"/>
      <c r="AA248" s="13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3"/>
      <c r="AO248" s="13"/>
      <c r="AP248" s="13"/>
      <c r="AQ248" s="13"/>
      <c r="AR248" s="13"/>
      <c r="AS248" s="13"/>
      <c r="AT248" s="13"/>
      <c r="AU248" s="13"/>
      <c r="AV248" s="13"/>
      <c r="AW248" s="14"/>
      <c r="AX248" s="14"/>
      <c r="AY248" s="14"/>
      <c r="AZ248" s="14"/>
      <c r="BA248" s="14"/>
    </row>
    <row r="249">
      <c r="A249" s="11"/>
      <c r="B249" s="11"/>
      <c r="C249" s="11"/>
      <c r="D249" s="11"/>
      <c r="E249" s="11"/>
      <c r="F249" s="11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3"/>
      <c r="T249" s="13"/>
      <c r="U249" s="13"/>
      <c r="V249" s="13"/>
      <c r="W249" s="13"/>
      <c r="X249" s="13"/>
      <c r="Y249" s="13"/>
      <c r="Z249" s="13"/>
      <c r="AA249" s="13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3"/>
      <c r="AO249" s="13"/>
      <c r="AP249" s="13"/>
      <c r="AQ249" s="13"/>
      <c r="AR249" s="13"/>
      <c r="AS249" s="13"/>
      <c r="AT249" s="13"/>
      <c r="AU249" s="13"/>
      <c r="AV249" s="13"/>
      <c r="AW249" s="14"/>
      <c r="AX249" s="14"/>
      <c r="AY249" s="14"/>
      <c r="AZ249" s="14"/>
      <c r="BA249" s="14"/>
    </row>
    <row r="250">
      <c r="A250" s="11"/>
      <c r="B250" s="11"/>
      <c r="C250" s="11"/>
      <c r="D250" s="11"/>
      <c r="E250" s="11"/>
      <c r="F250" s="11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3"/>
      <c r="T250" s="13"/>
      <c r="U250" s="13"/>
      <c r="V250" s="13"/>
      <c r="W250" s="13"/>
      <c r="X250" s="13"/>
      <c r="Y250" s="13"/>
      <c r="Z250" s="13"/>
      <c r="AA250" s="13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3"/>
      <c r="AO250" s="13"/>
      <c r="AP250" s="13"/>
      <c r="AQ250" s="13"/>
      <c r="AR250" s="13"/>
      <c r="AS250" s="13"/>
      <c r="AT250" s="13"/>
      <c r="AU250" s="13"/>
      <c r="AV250" s="13"/>
      <c r="AW250" s="14"/>
      <c r="AX250" s="14"/>
      <c r="AY250" s="14"/>
      <c r="AZ250" s="14"/>
      <c r="BA250" s="14"/>
    </row>
    <row r="251">
      <c r="A251" s="11"/>
      <c r="B251" s="11"/>
      <c r="C251" s="11"/>
      <c r="D251" s="11"/>
      <c r="E251" s="11"/>
      <c r="F251" s="11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3"/>
      <c r="T251" s="13"/>
      <c r="U251" s="13"/>
      <c r="V251" s="13"/>
      <c r="W251" s="13"/>
      <c r="X251" s="13"/>
      <c r="Y251" s="13"/>
      <c r="Z251" s="13"/>
      <c r="AA251" s="13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3"/>
      <c r="AO251" s="13"/>
      <c r="AP251" s="13"/>
      <c r="AQ251" s="13"/>
      <c r="AR251" s="13"/>
      <c r="AS251" s="13"/>
      <c r="AT251" s="13"/>
      <c r="AU251" s="13"/>
      <c r="AV251" s="13"/>
      <c r="AW251" s="14"/>
      <c r="AX251" s="14"/>
      <c r="AY251" s="14"/>
      <c r="AZ251" s="14"/>
      <c r="BA251" s="14"/>
    </row>
    <row r="252">
      <c r="A252" s="11"/>
      <c r="B252" s="11"/>
      <c r="C252" s="11"/>
      <c r="D252" s="11"/>
      <c r="E252" s="11"/>
      <c r="F252" s="11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3"/>
      <c r="T252" s="13"/>
      <c r="U252" s="13"/>
      <c r="V252" s="13"/>
      <c r="W252" s="13"/>
      <c r="X252" s="13"/>
      <c r="Y252" s="13"/>
      <c r="Z252" s="13"/>
      <c r="AA252" s="13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3"/>
      <c r="AO252" s="13"/>
      <c r="AP252" s="13"/>
      <c r="AQ252" s="13"/>
      <c r="AR252" s="13"/>
      <c r="AS252" s="13"/>
      <c r="AT252" s="13"/>
      <c r="AU252" s="13"/>
      <c r="AV252" s="13"/>
      <c r="AW252" s="14"/>
      <c r="AX252" s="14"/>
      <c r="AY252" s="14"/>
      <c r="AZ252" s="14"/>
      <c r="BA252" s="14"/>
    </row>
    <row r="253">
      <c r="A253" s="11"/>
      <c r="B253" s="11"/>
      <c r="C253" s="11"/>
      <c r="D253" s="11"/>
      <c r="E253" s="11"/>
      <c r="F253" s="11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3"/>
      <c r="T253" s="13"/>
      <c r="U253" s="13"/>
      <c r="V253" s="13"/>
      <c r="W253" s="13"/>
      <c r="X253" s="13"/>
      <c r="Y253" s="13"/>
      <c r="Z253" s="13"/>
      <c r="AA253" s="13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3"/>
      <c r="AO253" s="13"/>
      <c r="AP253" s="13"/>
      <c r="AQ253" s="13"/>
      <c r="AR253" s="13"/>
      <c r="AS253" s="13"/>
      <c r="AT253" s="13"/>
      <c r="AU253" s="13"/>
      <c r="AV253" s="13"/>
      <c r="AW253" s="14"/>
      <c r="AX253" s="14"/>
      <c r="AY253" s="14"/>
      <c r="AZ253" s="14"/>
      <c r="BA253" s="14"/>
    </row>
    <row r="254">
      <c r="A254" s="11"/>
      <c r="B254" s="11"/>
      <c r="C254" s="11"/>
      <c r="D254" s="11"/>
      <c r="E254" s="11"/>
      <c r="F254" s="11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3"/>
      <c r="T254" s="13"/>
      <c r="U254" s="13"/>
      <c r="V254" s="13"/>
      <c r="W254" s="13"/>
      <c r="X254" s="13"/>
      <c r="Y254" s="13"/>
      <c r="Z254" s="13"/>
      <c r="AA254" s="13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3"/>
      <c r="AO254" s="13"/>
      <c r="AP254" s="13"/>
      <c r="AQ254" s="13"/>
      <c r="AR254" s="13"/>
      <c r="AS254" s="13"/>
      <c r="AT254" s="13"/>
      <c r="AU254" s="13"/>
      <c r="AV254" s="13"/>
      <c r="AW254" s="14"/>
      <c r="AX254" s="14"/>
      <c r="AY254" s="14"/>
      <c r="AZ254" s="14"/>
      <c r="BA254" s="14"/>
    </row>
    <row r="255">
      <c r="A255" s="11"/>
      <c r="B255" s="11"/>
      <c r="C255" s="11"/>
      <c r="D255" s="11"/>
      <c r="E255" s="11"/>
      <c r="F255" s="11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3"/>
      <c r="T255" s="13"/>
      <c r="U255" s="13"/>
      <c r="V255" s="13"/>
      <c r="W255" s="13"/>
      <c r="X255" s="13"/>
      <c r="Y255" s="13"/>
      <c r="Z255" s="13"/>
      <c r="AA255" s="13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3"/>
      <c r="AO255" s="13"/>
      <c r="AP255" s="13"/>
      <c r="AQ255" s="13"/>
      <c r="AR255" s="13"/>
      <c r="AS255" s="13"/>
      <c r="AT255" s="13"/>
      <c r="AU255" s="13"/>
      <c r="AV255" s="13"/>
      <c r="AW255" s="14"/>
      <c r="AX255" s="14"/>
      <c r="AY255" s="14"/>
      <c r="AZ255" s="14"/>
      <c r="BA255" s="14"/>
    </row>
    <row r="256">
      <c r="A256" s="11"/>
      <c r="B256" s="11"/>
      <c r="C256" s="11"/>
      <c r="D256" s="11"/>
      <c r="E256" s="11"/>
      <c r="F256" s="11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3"/>
      <c r="T256" s="13"/>
      <c r="U256" s="13"/>
      <c r="V256" s="13"/>
      <c r="W256" s="13"/>
      <c r="X256" s="13"/>
      <c r="Y256" s="13"/>
      <c r="Z256" s="13"/>
      <c r="AA256" s="13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3"/>
      <c r="AO256" s="13"/>
      <c r="AP256" s="13"/>
      <c r="AQ256" s="13"/>
      <c r="AR256" s="13"/>
      <c r="AS256" s="13"/>
      <c r="AT256" s="13"/>
      <c r="AU256" s="13"/>
      <c r="AV256" s="13"/>
      <c r="AW256" s="14"/>
      <c r="AX256" s="14"/>
      <c r="AY256" s="14"/>
      <c r="AZ256" s="14"/>
      <c r="BA256" s="14"/>
    </row>
    <row r="257">
      <c r="A257" s="11"/>
      <c r="B257" s="11"/>
      <c r="C257" s="11"/>
      <c r="D257" s="11"/>
      <c r="E257" s="11"/>
      <c r="F257" s="11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3"/>
      <c r="T257" s="13"/>
      <c r="U257" s="13"/>
      <c r="V257" s="13"/>
      <c r="W257" s="13"/>
      <c r="X257" s="13"/>
      <c r="Y257" s="13"/>
      <c r="Z257" s="13"/>
      <c r="AA257" s="13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3"/>
      <c r="AO257" s="13"/>
      <c r="AP257" s="13"/>
      <c r="AQ257" s="13"/>
      <c r="AR257" s="13"/>
      <c r="AS257" s="13"/>
      <c r="AT257" s="13"/>
      <c r="AU257" s="13"/>
      <c r="AV257" s="13"/>
      <c r="AW257" s="14"/>
      <c r="AX257" s="14"/>
      <c r="AY257" s="14"/>
      <c r="AZ257" s="14"/>
      <c r="BA257" s="14"/>
    </row>
    <row r="258">
      <c r="A258" s="11"/>
      <c r="B258" s="11"/>
      <c r="C258" s="11"/>
      <c r="D258" s="11"/>
      <c r="E258" s="11"/>
      <c r="F258" s="11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3"/>
      <c r="T258" s="13"/>
      <c r="U258" s="13"/>
      <c r="V258" s="13"/>
      <c r="W258" s="13"/>
      <c r="X258" s="13"/>
      <c r="Y258" s="13"/>
      <c r="Z258" s="13"/>
      <c r="AA258" s="13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3"/>
      <c r="AO258" s="13"/>
      <c r="AP258" s="13"/>
      <c r="AQ258" s="13"/>
      <c r="AR258" s="13"/>
      <c r="AS258" s="13"/>
      <c r="AT258" s="13"/>
      <c r="AU258" s="13"/>
      <c r="AV258" s="13"/>
      <c r="AW258" s="14"/>
      <c r="AX258" s="14"/>
      <c r="AY258" s="14"/>
      <c r="AZ258" s="14"/>
      <c r="BA258" s="14"/>
    </row>
    <row r="259">
      <c r="A259" s="11"/>
      <c r="B259" s="11"/>
      <c r="C259" s="11"/>
      <c r="D259" s="11"/>
      <c r="E259" s="11"/>
      <c r="F259" s="11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3"/>
      <c r="T259" s="13"/>
      <c r="U259" s="13"/>
      <c r="V259" s="13"/>
      <c r="W259" s="13"/>
      <c r="X259" s="13"/>
      <c r="Y259" s="13"/>
      <c r="Z259" s="13"/>
      <c r="AA259" s="13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3"/>
      <c r="AO259" s="13"/>
      <c r="AP259" s="13"/>
      <c r="AQ259" s="13"/>
      <c r="AR259" s="13"/>
      <c r="AS259" s="13"/>
      <c r="AT259" s="13"/>
      <c r="AU259" s="13"/>
      <c r="AV259" s="13"/>
      <c r="AW259" s="14"/>
      <c r="AX259" s="14"/>
      <c r="AY259" s="14"/>
      <c r="AZ259" s="14"/>
      <c r="BA259" s="14"/>
    </row>
    <row r="260">
      <c r="A260" s="11"/>
      <c r="B260" s="11"/>
      <c r="C260" s="11"/>
      <c r="D260" s="11"/>
      <c r="E260" s="11"/>
      <c r="F260" s="11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3"/>
      <c r="T260" s="13"/>
      <c r="U260" s="13"/>
      <c r="V260" s="13"/>
      <c r="W260" s="13"/>
      <c r="X260" s="13"/>
      <c r="Y260" s="13"/>
      <c r="Z260" s="13"/>
      <c r="AA260" s="13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3"/>
      <c r="AO260" s="13"/>
      <c r="AP260" s="13"/>
      <c r="AQ260" s="13"/>
      <c r="AR260" s="13"/>
      <c r="AS260" s="13"/>
      <c r="AT260" s="13"/>
      <c r="AU260" s="13"/>
      <c r="AV260" s="13"/>
      <c r="AW260" s="14"/>
      <c r="AX260" s="14"/>
      <c r="AY260" s="14"/>
      <c r="AZ260" s="14"/>
      <c r="BA260" s="14"/>
    </row>
    <row r="261">
      <c r="A261" s="11"/>
      <c r="B261" s="11"/>
      <c r="C261" s="11"/>
      <c r="D261" s="11"/>
      <c r="E261" s="11"/>
      <c r="F261" s="11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3"/>
      <c r="T261" s="13"/>
      <c r="U261" s="13"/>
      <c r="V261" s="13"/>
      <c r="W261" s="13"/>
      <c r="X261" s="13"/>
      <c r="Y261" s="13"/>
      <c r="Z261" s="13"/>
      <c r="AA261" s="13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3"/>
      <c r="AO261" s="13"/>
      <c r="AP261" s="13"/>
      <c r="AQ261" s="13"/>
      <c r="AR261" s="13"/>
      <c r="AS261" s="13"/>
      <c r="AT261" s="13"/>
      <c r="AU261" s="13"/>
      <c r="AV261" s="13"/>
      <c r="AW261" s="14"/>
      <c r="AX261" s="14"/>
      <c r="AY261" s="14"/>
      <c r="AZ261" s="14"/>
      <c r="BA261" s="14"/>
    </row>
    <row r="262">
      <c r="A262" s="11"/>
      <c r="B262" s="11"/>
      <c r="C262" s="11"/>
      <c r="D262" s="11"/>
      <c r="E262" s="11"/>
      <c r="F262" s="11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3"/>
      <c r="T262" s="13"/>
      <c r="U262" s="13"/>
      <c r="V262" s="13"/>
      <c r="W262" s="13"/>
      <c r="X262" s="13"/>
      <c r="Y262" s="13"/>
      <c r="Z262" s="13"/>
      <c r="AA262" s="13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3"/>
      <c r="AO262" s="13"/>
      <c r="AP262" s="13"/>
      <c r="AQ262" s="13"/>
      <c r="AR262" s="13"/>
      <c r="AS262" s="13"/>
      <c r="AT262" s="13"/>
      <c r="AU262" s="13"/>
      <c r="AV262" s="13"/>
      <c r="AW262" s="14"/>
      <c r="AX262" s="14"/>
      <c r="AY262" s="14"/>
      <c r="AZ262" s="14"/>
      <c r="BA262" s="14"/>
    </row>
    <row r="263">
      <c r="A263" s="11"/>
      <c r="B263" s="11"/>
      <c r="C263" s="11"/>
      <c r="D263" s="11"/>
      <c r="E263" s="11"/>
      <c r="F263" s="11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3"/>
      <c r="T263" s="13"/>
      <c r="U263" s="13"/>
      <c r="V263" s="13"/>
      <c r="W263" s="13"/>
      <c r="X263" s="13"/>
      <c r="Y263" s="13"/>
      <c r="Z263" s="13"/>
      <c r="AA263" s="13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3"/>
      <c r="AO263" s="13"/>
      <c r="AP263" s="13"/>
      <c r="AQ263" s="13"/>
      <c r="AR263" s="13"/>
      <c r="AS263" s="13"/>
      <c r="AT263" s="13"/>
      <c r="AU263" s="13"/>
      <c r="AV263" s="13"/>
      <c r="AW263" s="14"/>
      <c r="AX263" s="14"/>
      <c r="AY263" s="14"/>
      <c r="AZ263" s="14"/>
      <c r="BA263" s="14"/>
    </row>
    <row r="264">
      <c r="A264" s="11"/>
      <c r="B264" s="11"/>
      <c r="C264" s="11"/>
      <c r="D264" s="11"/>
      <c r="E264" s="11"/>
      <c r="F264" s="11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3"/>
      <c r="T264" s="13"/>
      <c r="U264" s="13"/>
      <c r="V264" s="13"/>
      <c r="W264" s="13"/>
      <c r="X264" s="13"/>
      <c r="Y264" s="13"/>
      <c r="Z264" s="13"/>
      <c r="AA264" s="13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3"/>
      <c r="AO264" s="13"/>
      <c r="AP264" s="13"/>
      <c r="AQ264" s="13"/>
      <c r="AR264" s="13"/>
      <c r="AS264" s="13"/>
      <c r="AT264" s="13"/>
      <c r="AU264" s="13"/>
      <c r="AV264" s="13"/>
      <c r="AW264" s="14"/>
      <c r="AX264" s="14"/>
      <c r="AY264" s="14"/>
      <c r="AZ264" s="14"/>
      <c r="BA264" s="14"/>
    </row>
    <row r="265">
      <c r="A265" s="11"/>
      <c r="B265" s="11"/>
      <c r="C265" s="11"/>
      <c r="D265" s="11"/>
      <c r="E265" s="11"/>
      <c r="F265" s="11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3"/>
      <c r="T265" s="13"/>
      <c r="U265" s="13"/>
      <c r="V265" s="13"/>
      <c r="W265" s="13"/>
      <c r="X265" s="13"/>
      <c r="Y265" s="13"/>
      <c r="Z265" s="13"/>
      <c r="AA265" s="13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3"/>
      <c r="AO265" s="13"/>
      <c r="AP265" s="13"/>
      <c r="AQ265" s="13"/>
      <c r="AR265" s="13"/>
      <c r="AS265" s="13"/>
      <c r="AT265" s="13"/>
      <c r="AU265" s="13"/>
      <c r="AV265" s="13"/>
      <c r="AW265" s="14"/>
      <c r="AX265" s="14"/>
      <c r="AY265" s="14"/>
      <c r="AZ265" s="14"/>
      <c r="BA265" s="14"/>
    </row>
    <row r="266">
      <c r="A266" s="11"/>
      <c r="B266" s="11"/>
      <c r="C266" s="11"/>
      <c r="D266" s="11"/>
      <c r="E266" s="11"/>
      <c r="F266" s="11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3"/>
      <c r="T266" s="13"/>
      <c r="U266" s="13"/>
      <c r="V266" s="13"/>
      <c r="W266" s="13"/>
      <c r="X266" s="13"/>
      <c r="Y266" s="13"/>
      <c r="Z266" s="13"/>
      <c r="AA266" s="13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3"/>
      <c r="AO266" s="13"/>
      <c r="AP266" s="13"/>
      <c r="AQ266" s="13"/>
      <c r="AR266" s="13"/>
      <c r="AS266" s="13"/>
      <c r="AT266" s="13"/>
      <c r="AU266" s="13"/>
      <c r="AV266" s="13"/>
      <c r="AW266" s="14"/>
      <c r="AX266" s="14"/>
      <c r="AY266" s="14"/>
      <c r="AZ266" s="14"/>
      <c r="BA266" s="14"/>
    </row>
    <row r="267">
      <c r="A267" s="11"/>
      <c r="B267" s="11"/>
      <c r="C267" s="11"/>
      <c r="D267" s="11"/>
      <c r="E267" s="11"/>
      <c r="F267" s="11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3"/>
      <c r="T267" s="13"/>
      <c r="U267" s="13"/>
      <c r="V267" s="13"/>
      <c r="W267" s="13"/>
      <c r="X267" s="13"/>
      <c r="Y267" s="13"/>
      <c r="Z267" s="13"/>
      <c r="AA267" s="13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3"/>
      <c r="AO267" s="13"/>
      <c r="AP267" s="13"/>
      <c r="AQ267" s="13"/>
      <c r="AR267" s="13"/>
      <c r="AS267" s="13"/>
      <c r="AT267" s="13"/>
      <c r="AU267" s="13"/>
      <c r="AV267" s="13"/>
      <c r="AW267" s="14"/>
      <c r="AX267" s="14"/>
      <c r="AY267" s="14"/>
      <c r="AZ267" s="14"/>
      <c r="BA267" s="14"/>
    </row>
    <row r="268">
      <c r="A268" s="11"/>
      <c r="B268" s="11"/>
      <c r="C268" s="11"/>
      <c r="D268" s="11"/>
      <c r="E268" s="11"/>
      <c r="F268" s="11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3"/>
      <c r="T268" s="13"/>
      <c r="U268" s="13"/>
      <c r="V268" s="13"/>
      <c r="W268" s="13"/>
      <c r="X268" s="13"/>
      <c r="Y268" s="13"/>
      <c r="Z268" s="13"/>
      <c r="AA268" s="13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3"/>
      <c r="AO268" s="13"/>
      <c r="AP268" s="13"/>
      <c r="AQ268" s="13"/>
      <c r="AR268" s="13"/>
      <c r="AS268" s="13"/>
      <c r="AT268" s="13"/>
      <c r="AU268" s="13"/>
      <c r="AV268" s="13"/>
      <c r="AW268" s="14"/>
      <c r="AX268" s="14"/>
      <c r="AY268" s="14"/>
      <c r="AZ268" s="14"/>
      <c r="BA268" s="14"/>
    </row>
    <row r="269">
      <c r="A269" s="11"/>
      <c r="B269" s="11"/>
      <c r="C269" s="11"/>
      <c r="D269" s="11"/>
      <c r="E269" s="11"/>
      <c r="F269" s="11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3"/>
      <c r="T269" s="13"/>
      <c r="U269" s="13"/>
      <c r="V269" s="13"/>
      <c r="W269" s="13"/>
      <c r="X269" s="13"/>
      <c r="Y269" s="13"/>
      <c r="Z269" s="13"/>
      <c r="AA269" s="13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3"/>
      <c r="AO269" s="13"/>
      <c r="AP269" s="13"/>
      <c r="AQ269" s="13"/>
      <c r="AR269" s="13"/>
      <c r="AS269" s="13"/>
      <c r="AT269" s="13"/>
      <c r="AU269" s="13"/>
      <c r="AV269" s="13"/>
      <c r="AW269" s="14"/>
      <c r="AX269" s="14"/>
      <c r="AY269" s="14"/>
      <c r="AZ269" s="14"/>
      <c r="BA269" s="14"/>
    </row>
    <row r="270">
      <c r="A270" s="11"/>
      <c r="B270" s="11"/>
      <c r="C270" s="11"/>
      <c r="D270" s="11"/>
      <c r="E270" s="11"/>
      <c r="F270" s="11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3"/>
      <c r="T270" s="13"/>
      <c r="U270" s="13"/>
      <c r="V270" s="13"/>
      <c r="W270" s="13"/>
      <c r="X270" s="13"/>
      <c r="Y270" s="13"/>
      <c r="Z270" s="13"/>
      <c r="AA270" s="13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3"/>
      <c r="AO270" s="13"/>
      <c r="AP270" s="13"/>
      <c r="AQ270" s="13"/>
      <c r="AR270" s="13"/>
      <c r="AS270" s="13"/>
      <c r="AT270" s="13"/>
      <c r="AU270" s="13"/>
      <c r="AV270" s="13"/>
      <c r="AW270" s="14"/>
      <c r="AX270" s="14"/>
      <c r="AY270" s="14"/>
      <c r="AZ270" s="14"/>
      <c r="BA270" s="14"/>
    </row>
    <row r="271">
      <c r="A271" s="11"/>
      <c r="B271" s="11"/>
      <c r="C271" s="11"/>
      <c r="D271" s="11"/>
      <c r="E271" s="11"/>
      <c r="F271" s="11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3"/>
      <c r="T271" s="13"/>
      <c r="U271" s="13"/>
      <c r="V271" s="13"/>
      <c r="W271" s="13"/>
      <c r="X271" s="13"/>
      <c r="Y271" s="13"/>
      <c r="Z271" s="13"/>
      <c r="AA271" s="13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3"/>
      <c r="AO271" s="13"/>
      <c r="AP271" s="13"/>
      <c r="AQ271" s="13"/>
      <c r="AR271" s="13"/>
      <c r="AS271" s="13"/>
      <c r="AT271" s="13"/>
      <c r="AU271" s="13"/>
      <c r="AV271" s="13"/>
      <c r="AW271" s="14"/>
      <c r="AX271" s="14"/>
      <c r="AY271" s="14"/>
      <c r="AZ271" s="14"/>
      <c r="BA271" s="14"/>
    </row>
    <row r="272">
      <c r="A272" s="11"/>
      <c r="B272" s="11"/>
      <c r="C272" s="11"/>
      <c r="D272" s="11"/>
      <c r="E272" s="11"/>
      <c r="F272" s="11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3"/>
      <c r="T272" s="13"/>
      <c r="U272" s="13"/>
      <c r="V272" s="13"/>
      <c r="W272" s="13"/>
      <c r="X272" s="13"/>
      <c r="Y272" s="13"/>
      <c r="Z272" s="13"/>
      <c r="AA272" s="13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3"/>
      <c r="AO272" s="13"/>
      <c r="AP272" s="13"/>
      <c r="AQ272" s="13"/>
      <c r="AR272" s="13"/>
      <c r="AS272" s="13"/>
      <c r="AT272" s="13"/>
      <c r="AU272" s="13"/>
      <c r="AV272" s="13"/>
      <c r="AW272" s="14"/>
      <c r="AX272" s="14"/>
      <c r="AY272" s="14"/>
      <c r="AZ272" s="14"/>
      <c r="BA272" s="14"/>
    </row>
    <row r="273">
      <c r="A273" s="11"/>
      <c r="B273" s="11"/>
      <c r="C273" s="11"/>
      <c r="D273" s="11"/>
      <c r="E273" s="11"/>
      <c r="F273" s="11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3"/>
      <c r="T273" s="13"/>
      <c r="U273" s="13"/>
      <c r="V273" s="13"/>
      <c r="W273" s="13"/>
      <c r="X273" s="13"/>
      <c r="Y273" s="13"/>
      <c r="Z273" s="13"/>
      <c r="AA273" s="13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3"/>
      <c r="AO273" s="13"/>
      <c r="AP273" s="13"/>
      <c r="AQ273" s="13"/>
      <c r="AR273" s="13"/>
      <c r="AS273" s="13"/>
      <c r="AT273" s="13"/>
      <c r="AU273" s="13"/>
      <c r="AV273" s="13"/>
      <c r="AW273" s="14"/>
      <c r="AX273" s="14"/>
      <c r="AY273" s="14"/>
      <c r="AZ273" s="14"/>
      <c r="BA273" s="14"/>
    </row>
    <row r="274">
      <c r="A274" s="11"/>
      <c r="B274" s="11"/>
      <c r="C274" s="11"/>
      <c r="D274" s="11"/>
      <c r="E274" s="11"/>
      <c r="F274" s="11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3"/>
      <c r="T274" s="13"/>
      <c r="U274" s="13"/>
      <c r="V274" s="13"/>
      <c r="W274" s="13"/>
      <c r="X274" s="13"/>
      <c r="Y274" s="13"/>
      <c r="Z274" s="13"/>
      <c r="AA274" s="13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3"/>
      <c r="AO274" s="13"/>
      <c r="AP274" s="13"/>
      <c r="AQ274" s="13"/>
      <c r="AR274" s="13"/>
      <c r="AS274" s="13"/>
      <c r="AT274" s="13"/>
      <c r="AU274" s="13"/>
      <c r="AV274" s="13"/>
      <c r="AW274" s="14"/>
      <c r="AX274" s="14"/>
      <c r="AY274" s="14"/>
      <c r="AZ274" s="14"/>
      <c r="BA274" s="14"/>
    </row>
    <row r="275">
      <c r="A275" s="11"/>
      <c r="B275" s="11"/>
      <c r="C275" s="11"/>
      <c r="D275" s="11"/>
      <c r="E275" s="11"/>
      <c r="F275" s="11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3"/>
      <c r="T275" s="13"/>
      <c r="U275" s="13"/>
      <c r="V275" s="13"/>
      <c r="W275" s="13"/>
      <c r="X275" s="13"/>
      <c r="Y275" s="13"/>
      <c r="Z275" s="13"/>
      <c r="AA275" s="13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3"/>
      <c r="AO275" s="13"/>
      <c r="AP275" s="13"/>
      <c r="AQ275" s="13"/>
      <c r="AR275" s="13"/>
      <c r="AS275" s="13"/>
      <c r="AT275" s="13"/>
      <c r="AU275" s="13"/>
      <c r="AV275" s="13"/>
      <c r="AW275" s="14"/>
      <c r="AX275" s="14"/>
      <c r="AY275" s="14"/>
      <c r="AZ275" s="14"/>
      <c r="BA275" s="14"/>
    </row>
    <row r="276">
      <c r="A276" s="11"/>
      <c r="B276" s="11"/>
      <c r="C276" s="11"/>
      <c r="D276" s="11"/>
      <c r="E276" s="11"/>
      <c r="F276" s="11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3"/>
      <c r="T276" s="13"/>
      <c r="U276" s="13"/>
      <c r="V276" s="13"/>
      <c r="W276" s="13"/>
      <c r="X276" s="13"/>
      <c r="Y276" s="13"/>
      <c r="Z276" s="13"/>
      <c r="AA276" s="13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3"/>
      <c r="AO276" s="13"/>
      <c r="AP276" s="13"/>
      <c r="AQ276" s="13"/>
      <c r="AR276" s="13"/>
      <c r="AS276" s="13"/>
      <c r="AT276" s="13"/>
      <c r="AU276" s="13"/>
      <c r="AV276" s="13"/>
      <c r="AW276" s="14"/>
      <c r="AX276" s="14"/>
      <c r="AY276" s="14"/>
      <c r="AZ276" s="14"/>
      <c r="BA276" s="14"/>
    </row>
    <row r="277">
      <c r="A277" s="11"/>
      <c r="B277" s="11"/>
      <c r="C277" s="11"/>
      <c r="D277" s="11"/>
      <c r="E277" s="11"/>
      <c r="F277" s="11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3"/>
      <c r="T277" s="13"/>
      <c r="U277" s="13"/>
      <c r="V277" s="13"/>
      <c r="W277" s="13"/>
      <c r="X277" s="13"/>
      <c r="Y277" s="13"/>
      <c r="Z277" s="13"/>
      <c r="AA277" s="13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3"/>
      <c r="AO277" s="13"/>
      <c r="AP277" s="13"/>
      <c r="AQ277" s="13"/>
      <c r="AR277" s="13"/>
      <c r="AS277" s="13"/>
      <c r="AT277" s="13"/>
      <c r="AU277" s="13"/>
      <c r="AV277" s="13"/>
      <c r="AW277" s="14"/>
      <c r="AX277" s="14"/>
      <c r="AY277" s="14"/>
      <c r="AZ277" s="14"/>
      <c r="BA277" s="14"/>
    </row>
    <row r="278">
      <c r="A278" s="11"/>
      <c r="B278" s="11"/>
      <c r="C278" s="11"/>
      <c r="D278" s="11"/>
      <c r="E278" s="11"/>
      <c r="F278" s="11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3"/>
      <c r="T278" s="13"/>
      <c r="U278" s="13"/>
      <c r="V278" s="13"/>
      <c r="W278" s="13"/>
      <c r="X278" s="13"/>
      <c r="Y278" s="13"/>
      <c r="Z278" s="13"/>
      <c r="AA278" s="13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3"/>
      <c r="AO278" s="13"/>
      <c r="AP278" s="13"/>
      <c r="AQ278" s="13"/>
      <c r="AR278" s="13"/>
      <c r="AS278" s="13"/>
      <c r="AT278" s="13"/>
      <c r="AU278" s="13"/>
      <c r="AV278" s="13"/>
      <c r="AW278" s="14"/>
      <c r="AX278" s="14"/>
      <c r="AY278" s="14"/>
      <c r="AZ278" s="14"/>
      <c r="BA278" s="14"/>
    </row>
    <row r="279">
      <c r="A279" s="11"/>
      <c r="B279" s="11"/>
      <c r="C279" s="11"/>
      <c r="D279" s="11"/>
      <c r="E279" s="11"/>
      <c r="F279" s="11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3"/>
      <c r="T279" s="13"/>
      <c r="U279" s="13"/>
      <c r="V279" s="13"/>
      <c r="W279" s="13"/>
      <c r="X279" s="13"/>
      <c r="Y279" s="13"/>
      <c r="Z279" s="13"/>
      <c r="AA279" s="13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3"/>
      <c r="AO279" s="13"/>
      <c r="AP279" s="13"/>
      <c r="AQ279" s="13"/>
      <c r="AR279" s="13"/>
      <c r="AS279" s="13"/>
      <c r="AT279" s="13"/>
      <c r="AU279" s="13"/>
      <c r="AV279" s="13"/>
      <c r="AW279" s="14"/>
      <c r="AX279" s="14"/>
      <c r="AY279" s="14"/>
      <c r="AZ279" s="14"/>
      <c r="BA279" s="14"/>
    </row>
    <row r="280">
      <c r="A280" s="11"/>
      <c r="B280" s="11"/>
      <c r="C280" s="11"/>
      <c r="D280" s="11"/>
      <c r="E280" s="11"/>
      <c r="F280" s="11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3"/>
      <c r="T280" s="13"/>
      <c r="U280" s="13"/>
      <c r="V280" s="13"/>
      <c r="W280" s="13"/>
      <c r="X280" s="13"/>
      <c r="Y280" s="13"/>
      <c r="Z280" s="13"/>
      <c r="AA280" s="13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3"/>
      <c r="AO280" s="13"/>
      <c r="AP280" s="13"/>
      <c r="AQ280" s="13"/>
      <c r="AR280" s="13"/>
      <c r="AS280" s="13"/>
      <c r="AT280" s="13"/>
      <c r="AU280" s="13"/>
      <c r="AV280" s="13"/>
      <c r="AW280" s="14"/>
      <c r="AX280" s="14"/>
      <c r="AY280" s="14"/>
      <c r="AZ280" s="14"/>
      <c r="BA280" s="14"/>
    </row>
    <row r="281">
      <c r="A281" s="11"/>
      <c r="B281" s="11"/>
      <c r="C281" s="11"/>
      <c r="D281" s="11"/>
      <c r="E281" s="11"/>
      <c r="F281" s="11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3"/>
      <c r="T281" s="13"/>
      <c r="U281" s="13"/>
      <c r="V281" s="13"/>
      <c r="W281" s="13"/>
      <c r="X281" s="13"/>
      <c r="Y281" s="13"/>
      <c r="Z281" s="13"/>
      <c r="AA281" s="13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3"/>
      <c r="AO281" s="13"/>
      <c r="AP281" s="13"/>
      <c r="AQ281" s="13"/>
      <c r="AR281" s="13"/>
      <c r="AS281" s="13"/>
      <c r="AT281" s="13"/>
      <c r="AU281" s="13"/>
      <c r="AV281" s="13"/>
      <c r="AW281" s="14"/>
      <c r="AX281" s="14"/>
      <c r="AY281" s="14"/>
      <c r="AZ281" s="14"/>
      <c r="BA281" s="14"/>
    </row>
    <row r="282">
      <c r="A282" s="11"/>
      <c r="B282" s="11"/>
      <c r="C282" s="11"/>
      <c r="D282" s="11"/>
      <c r="E282" s="11"/>
      <c r="F282" s="11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3"/>
      <c r="T282" s="13"/>
      <c r="U282" s="13"/>
      <c r="V282" s="13"/>
      <c r="W282" s="13"/>
      <c r="X282" s="13"/>
      <c r="Y282" s="13"/>
      <c r="Z282" s="13"/>
      <c r="AA282" s="13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3"/>
      <c r="AO282" s="13"/>
      <c r="AP282" s="13"/>
      <c r="AQ282" s="13"/>
      <c r="AR282" s="13"/>
      <c r="AS282" s="13"/>
      <c r="AT282" s="13"/>
      <c r="AU282" s="13"/>
      <c r="AV282" s="13"/>
      <c r="AW282" s="14"/>
      <c r="AX282" s="14"/>
      <c r="AY282" s="14"/>
      <c r="AZ282" s="14"/>
      <c r="BA282" s="14"/>
    </row>
    <row r="283">
      <c r="A283" s="11"/>
      <c r="B283" s="11"/>
      <c r="C283" s="11"/>
      <c r="D283" s="11"/>
      <c r="E283" s="11"/>
      <c r="F283" s="11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3"/>
      <c r="T283" s="13"/>
      <c r="U283" s="13"/>
      <c r="V283" s="13"/>
      <c r="W283" s="13"/>
      <c r="X283" s="13"/>
      <c r="Y283" s="13"/>
      <c r="Z283" s="13"/>
      <c r="AA283" s="13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3"/>
      <c r="AO283" s="13"/>
      <c r="AP283" s="13"/>
      <c r="AQ283" s="13"/>
      <c r="AR283" s="13"/>
      <c r="AS283" s="13"/>
      <c r="AT283" s="13"/>
      <c r="AU283" s="13"/>
      <c r="AV283" s="13"/>
      <c r="AW283" s="14"/>
      <c r="AX283" s="14"/>
      <c r="AY283" s="14"/>
      <c r="AZ283" s="14"/>
      <c r="BA283" s="14"/>
    </row>
    <row r="284">
      <c r="A284" s="11"/>
      <c r="B284" s="11"/>
      <c r="C284" s="11"/>
      <c r="D284" s="11"/>
      <c r="E284" s="11"/>
      <c r="F284" s="11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3"/>
      <c r="T284" s="13"/>
      <c r="U284" s="13"/>
      <c r="V284" s="13"/>
      <c r="W284" s="13"/>
      <c r="X284" s="13"/>
      <c r="Y284" s="13"/>
      <c r="Z284" s="13"/>
      <c r="AA284" s="13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3"/>
      <c r="AO284" s="13"/>
      <c r="AP284" s="13"/>
      <c r="AQ284" s="13"/>
      <c r="AR284" s="13"/>
      <c r="AS284" s="13"/>
      <c r="AT284" s="13"/>
      <c r="AU284" s="13"/>
      <c r="AV284" s="13"/>
      <c r="AW284" s="14"/>
      <c r="AX284" s="14"/>
      <c r="AY284" s="14"/>
      <c r="AZ284" s="14"/>
      <c r="BA284" s="14"/>
    </row>
    <row r="285">
      <c r="A285" s="11"/>
      <c r="B285" s="11"/>
      <c r="C285" s="11"/>
      <c r="D285" s="11"/>
      <c r="E285" s="11"/>
      <c r="F285" s="11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3"/>
      <c r="T285" s="13"/>
      <c r="U285" s="13"/>
      <c r="V285" s="13"/>
      <c r="W285" s="13"/>
      <c r="X285" s="13"/>
      <c r="Y285" s="13"/>
      <c r="Z285" s="13"/>
      <c r="AA285" s="13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3"/>
      <c r="AO285" s="13"/>
      <c r="AP285" s="13"/>
      <c r="AQ285" s="13"/>
      <c r="AR285" s="13"/>
      <c r="AS285" s="13"/>
      <c r="AT285" s="13"/>
      <c r="AU285" s="13"/>
      <c r="AV285" s="13"/>
      <c r="AW285" s="14"/>
      <c r="AX285" s="14"/>
      <c r="AY285" s="14"/>
      <c r="AZ285" s="14"/>
      <c r="BA285" s="14"/>
    </row>
    <row r="286">
      <c r="A286" s="11"/>
      <c r="B286" s="11"/>
      <c r="C286" s="11"/>
      <c r="D286" s="11"/>
      <c r="E286" s="11"/>
      <c r="F286" s="11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3"/>
      <c r="T286" s="13"/>
      <c r="U286" s="13"/>
      <c r="V286" s="13"/>
      <c r="W286" s="13"/>
      <c r="X286" s="13"/>
      <c r="Y286" s="13"/>
      <c r="Z286" s="13"/>
      <c r="AA286" s="13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3"/>
      <c r="AO286" s="13"/>
      <c r="AP286" s="13"/>
      <c r="AQ286" s="13"/>
      <c r="AR286" s="13"/>
      <c r="AS286" s="13"/>
      <c r="AT286" s="13"/>
      <c r="AU286" s="13"/>
      <c r="AV286" s="13"/>
      <c r="AW286" s="14"/>
      <c r="AX286" s="14"/>
      <c r="AY286" s="14"/>
      <c r="AZ286" s="14"/>
      <c r="BA286" s="14"/>
    </row>
    <row r="287">
      <c r="A287" s="11"/>
      <c r="B287" s="11"/>
      <c r="C287" s="11"/>
      <c r="D287" s="11"/>
      <c r="E287" s="11"/>
      <c r="F287" s="11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3"/>
      <c r="T287" s="13"/>
      <c r="U287" s="13"/>
      <c r="V287" s="13"/>
      <c r="W287" s="13"/>
      <c r="X287" s="13"/>
      <c r="Y287" s="13"/>
      <c r="Z287" s="13"/>
      <c r="AA287" s="13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3"/>
      <c r="AO287" s="13"/>
      <c r="AP287" s="13"/>
      <c r="AQ287" s="13"/>
      <c r="AR287" s="13"/>
      <c r="AS287" s="13"/>
      <c r="AT287" s="13"/>
      <c r="AU287" s="13"/>
      <c r="AV287" s="13"/>
      <c r="AW287" s="14"/>
      <c r="AX287" s="14"/>
      <c r="AY287" s="14"/>
      <c r="AZ287" s="14"/>
      <c r="BA287" s="14"/>
    </row>
    <row r="288">
      <c r="A288" s="11"/>
      <c r="B288" s="11"/>
      <c r="C288" s="11"/>
      <c r="D288" s="11"/>
      <c r="E288" s="11"/>
      <c r="F288" s="11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3"/>
      <c r="T288" s="13"/>
      <c r="U288" s="13"/>
      <c r="V288" s="13"/>
      <c r="W288" s="13"/>
      <c r="X288" s="13"/>
      <c r="Y288" s="13"/>
      <c r="Z288" s="13"/>
      <c r="AA288" s="13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3"/>
      <c r="AO288" s="13"/>
      <c r="AP288" s="13"/>
      <c r="AQ288" s="13"/>
      <c r="AR288" s="13"/>
      <c r="AS288" s="13"/>
      <c r="AT288" s="13"/>
      <c r="AU288" s="13"/>
      <c r="AV288" s="13"/>
      <c r="AW288" s="14"/>
      <c r="AX288" s="14"/>
      <c r="AY288" s="14"/>
      <c r="AZ288" s="14"/>
      <c r="BA288" s="14"/>
    </row>
    <row r="289">
      <c r="A289" s="11"/>
      <c r="B289" s="11"/>
      <c r="C289" s="11"/>
      <c r="D289" s="11"/>
      <c r="E289" s="11"/>
      <c r="F289" s="11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3"/>
      <c r="T289" s="13"/>
      <c r="U289" s="13"/>
      <c r="V289" s="13"/>
      <c r="W289" s="13"/>
      <c r="X289" s="13"/>
      <c r="Y289" s="13"/>
      <c r="Z289" s="13"/>
      <c r="AA289" s="13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3"/>
      <c r="AO289" s="13"/>
      <c r="AP289" s="13"/>
      <c r="AQ289" s="13"/>
      <c r="AR289" s="13"/>
      <c r="AS289" s="13"/>
      <c r="AT289" s="13"/>
      <c r="AU289" s="13"/>
      <c r="AV289" s="13"/>
      <c r="AW289" s="14"/>
      <c r="AX289" s="14"/>
      <c r="AY289" s="14"/>
      <c r="AZ289" s="14"/>
      <c r="BA289" s="14"/>
    </row>
    <row r="290">
      <c r="A290" s="11"/>
      <c r="B290" s="11"/>
      <c r="C290" s="11"/>
      <c r="D290" s="11"/>
      <c r="E290" s="11"/>
      <c r="F290" s="11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3"/>
      <c r="T290" s="13"/>
      <c r="U290" s="13"/>
      <c r="V290" s="13"/>
      <c r="W290" s="13"/>
      <c r="X290" s="13"/>
      <c r="Y290" s="13"/>
      <c r="Z290" s="13"/>
      <c r="AA290" s="13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3"/>
      <c r="AO290" s="13"/>
      <c r="AP290" s="13"/>
      <c r="AQ290" s="13"/>
      <c r="AR290" s="13"/>
      <c r="AS290" s="13"/>
      <c r="AT290" s="13"/>
      <c r="AU290" s="13"/>
      <c r="AV290" s="13"/>
      <c r="AW290" s="14"/>
      <c r="AX290" s="14"/>
      <c r="AY290" s="14"/>
      <c r="AZ290" s="14"/>
      <c r="BA290" s="14"/>
    </row>
    <row r="291">
      <c r="A291" s="11"/>
      <c r="B291" s="11"/>
      <c r="C291" s="11"/>
      <c r="D291" s="11"/>
      <c r="E291" s="11"/>
      <c r="F291" s="11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3"/>
      <c r="T291" s="13"/>
      <c r="U291" s="13"/>
      <c r="V291" s="13"/>
      <c r="W291" s="13"/>
      <c r="X291" s="13"/>
      <c r="Y291" s="13"/>
      <c r="Z291" s="13"/>
      <c r="AA291" s="13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3"/>
      <c r="AO291" s="13"/>
      <c r="AP291" s="13"/>
      <c r="AQ291" s="13"/>
      <c r="AR291" s="13"/>
      <c r="AS291" s="13"/>
      <c r="AT291" s="13"/>
      <c r="AU291" s="13"/>
      <c r="AV291" s="13"/>
      <c r="AW291" s="14"/>
      <c r="AX291" s="14"/>
      <c r="AY291" s="14"/>
      <c r="AZ291" s="14"/>
      <c r="BA291" s="14"/>
    </row>
    <row r="292">
      <c r="A292" s="11"/>
      <c r="B292" s="11"/>
      <c r="C292" s="11"/>
      <c r="D292" s="11"/>
      <c r="E292" s="11"/>
      <c r="F292" s="11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3"/>
      <c r="T292" s="13"/>
      <c r="U292" s="13"/>
      <c r="V292" s="13"/>
      <c r="W292" s="13"/>
      <c r="X292" s="13"/>
      <c r="Y292" s="13"/>
      <c r="Z292" s="13"/>
      <c r="AA292" s="13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3"/>
      <c r="AO292" s="13"/>
      <c r="AP292" s="13"/>
      <c r="AQ292" s="13"/>
      <c r="AR292" s="13"/>
      <c r="AS292" s="13"/>
      <c r="AT292" s="13"/>
      <c r="AU292" s="13"/>
      <c r="AV292" s="13"/>
      <c r="AW292" s="14"/>
      <c r="AX292" s="14"/>
      <c r="AY292" s="14"/>
      <c r="AZ292" s="14"/>
      <c r="BA292" s="14"/>
    </row>
    <row r="293">
      <c r="A293" s="11"/>
      <c r="B293" s="11"/>
      <c r="C293" s="11"/>
      <c r="D293" s="11"/>
      <c r="E293" s="11"/>
      <c r="F293" s="11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3"/>
      <c r="T293" s="13"/>
      <c r="U293" s="13"/>
      <c r="V293" s="13"/>
      <c r="W293" s="13"/>
      <c r="X293" s="13"/>
      <c r="Y293" s="13"/>
      <c r="Z293" s="13"/>
      <c r="AA293" s="13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3"/>
      <c r="AO293" s="13"/>
      <c r="AP293" s="13"/>
      <c r="AQ293" s="13"/>
      <c r="AR293" s="13"/>
      <c r="AS293" s="13"/>
      <c r="AT293" s="13"/>
      <c r="AU293" s="13"/>
      <c r="AV293" s="13"/>
      <c r="AW293" s="14"/>
      <c r="AX293" s="14"/>
      <c r="AY293" s="14"/>
      <c r="AZ293" s="14"/>
      <c r="BA293" s="14"/>
    </row>
    <row r="294">
      <c r="A294" s="11"/>
      <c r="B294" s="11"/>
      <c r="C294" s="11"/>
      <c r="D294" s="11"/>
      <c r="E294" s="11"/>
      <c r="F294" s="11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3"/>
      <c r="T294" s="13"/>
      <c r="U294" s="13"/>
      <c r="V294" s="13"/>
      <c r="W294" s="13"/>
      <c r="X294" s="13"/>
      <c r="Y294" s="13"/>
      <c r="Z294" s="13"/>
      <c r="AA294" s="13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3"/>
      <c r="AO294" s="13"/>
      <c r="AP294" s="13"/>
      <c r="AQ294" s="13"/>
      <c r="AR294" s="13"/>
      <c r="AS294" s="13"/>
      <c r="AT294" s="13"/>
      <c r="AU294" s="13"/>
      <c r="AV294" s="13"/>
      <c r="AW294" s="14"/>
      <c r="AX294" s="14"/>
      <c r="AY294" s="14"/>
      <c r="AZ294" s="14"/>
      <c r="BA294" s="14"/>
    </row>
    <row r="295">
      <c r="A295" s="11"/>
      <c r="B295" s="11"/>
      <c r="C295" s="11"/>
      <c r="D295" s="11"/>
      <c r="E295" s="11"/>
      <c r="F295" s="11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3"/>
      <c r="T295" s="13"/>
      <c r="U295" s="13"/>
      <c r="V295" s="13"/>
      <c r="W295" s="13"/>
      <c r="X295" s="13"/>
      <c r="Y295" s="13"/>
      <c r="Z295" s="13"/>
      <c r="AA295" s="13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3"/>
      <c r="AO295" s="13"/>
      <c r="AP295" s="13"/>
      <c r="AQ295" s="13"/>
      <c r="AR295" s="13"/>
      <c r="AS295" s="13"/>
      <c r="AT295" s="13"/>
      <c r="AU295" s="13"/>
      <c r="AV295" s="13"/>
      <c r="AW295" s="14"/>
      <c r="AX295" s="14"/>
      <c r="AY295" s="14"/>
      <c r="AZ295" s="14"/>
      <c r="BA295" s="14"/>
    </row>
    <row r="296">
      <c r="A296" s="11"/>
      <c r="B296" s="11"/>
      <c r="C296" s="11"/>
      <c r="D296" s="11"/>
      <c r="E296" s="11"/>
      <c r="F296" s="11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3"/>
      <c r="T296" s="13"/>
      <c r="U296" s="13"/>
      <c r="V296" s="13"/>
      <c r="W296" s="13"/>
      <c r="X296" s="13"/>
      <c r="Y296" s="13"/>
      <c r="Z296" s="13"/>
      <c r="AA296" s="13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3"/>
      <c r="AO296" s="13"/>
      <c r="AP296" s="13"/>
      <c r="AQ296" s="13"/>
      <c r="AR296" s="13"/>
      <c r="AS296" s="13"/>
      <c r="AT296" s="13"/>
      <c r="AU296" s="13"/>
      <c r="AV296" s="13"/>
      <c r="AW296" s="14"/>
      <c r="AX296" s="14"/>
      <c r="AY296" s="14"/>
      <c r="AZ296" s="14"/>
      <c r="BA296" s="14"/>
    </row>
    <row r="297">
      <c r="A297" s="11"/>
      <c r="B297" s="11"/>
      <c r="C297" s="11"/>
      <c r="D297" s="11"/>
      <c r="E297" s="11"/>
      <c r="F297" s="11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3"/>
      <c r="T297" s="13"/>
      <c r="U297" s="13"/>
      <c r="V297" s="13"/>
      <c r="W297" s="13"/>
      <c r="X297" s="13"/>
      <c r="Y297" s="13"/>
      <c r="Z297" s="13"/>
      <c r="AA297" s="13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3"/>
      <c r="AO297" s="13"/>
      <c r="AP297" s="13"/>
      <c r="AQ297" s="13"/>
      <c r="AR297" s="13"/>
      <c r="AS297" s="13"/>
      <c r="AT297" s="13"/>
      <c r="AU297" s="13"/>
      <c r="AV297" s="13"/>
      <c r="AW297" s="14"/>
      <c r="AX297" s="14"/>
      <c r="AY297" s="14"/>
      <c r="AZ297" s="14"/>
      <c r="BA297" s="14"/>
    </row>
    <row r="298">
      <c r="A298" s="11"/>
      <c r="B298" s="11"/>
      <c r="C298" s="11"/>
      <c r="D298" s="11"/>
      <c r="E298" s="11"/>
      <c r="F298" s="11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3"/>
      <c r="T298" s="13"/>
      <c r="U298" s="13"/>
      <c r="V298" s="13"/>
      <c r="W298" s="13"/>
      <c r="X298" s="13"/>
      <c r="Y298" s="13"/>
      <c r="Z298" s="13"/>
      <c r="AA298" s="13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3"/>
      <c r="AO298" s="13"/>
      <c r="AP298" s="13"/>
      <c r="AQ298" s="13"/>
      <c r="AR298" s="13"/>
      <c r="AS298" s="13"/>
      <c r="AT298" s="13"/>
      <c r="AU298" s="13"/>
      <c r="AV298" s="13"/>
      <c r="AW298" s="14"/>
      <c r="AX298" s="14"/>
      <c r="AY298" s="14"/>
      <c r="AZ298" s="14"/>
      <c r="BA298" s="14"/>
    </row>
    <row r="299">
      <c r="A299" s="11"/>
      <c r="B299" s="11"/>
      <c r="C299" s="11"/>
      <c r="D299" s="11"/>
      <c r="E299" s="11"/>
      <c r="F299" s="11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3"/>
      <c r="T299" s="13"/>
      <c r="U299" s="13"/>
      <c r="V299" s="13"/>
      <c r="W299" s="13"/>
      <c r="X299" s="13"/>
      <c r="Y299" s="13"/>
      <c r="Z299" s="13"/>
      <c r="AA299" s="13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3"/>
      <c r="AO299" s="13"/>
      <c r="AP299" s="13"/>
      <c r="AQ299" s="13"/>
      <c r="AR299" s="13"/>
      <c r="AS299" s="13"/>
      <c r="AT299" s="13"/>
      <c r="AU299" s="13"/>
      <c r="AV299" s="13"/>
      <c r="AW299" s="14"/>
      <c r="AX299" s="14"/>
      <c r="AY299" s="14"/>
      <c r="AZ299" s="14"/>
      <c r="BA299" s="14"/>
    </row>
    <row r="300">
      <c r="A300" s="11"/>
      <c r="B300" s="11"/>
      <c r="C300" s="11"/>
      <c r="D300" s="11"/>
      <c r="E300" s="11"/>
      <c r="F300" s="11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3"/>
      <c r="T300" s="13"/>
      <c r="U300" s="13"/>
      <c r="V300" s="13"/>
      <c r="W300" s="13"/>
      <c r="X300" s="13"/>
      <c r="Y300" s="13"/>
      <c r="Z300" s="13"/>
      <c r="AA300" s="13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3"/>
      <c r="AO300" s="13"/>
      <c r="AP300" s="13"/>
      <c r="AQ300" s="13"/>
      <c r="AR300" s="13"/>
      <c r="AS300" s="13"/>
      <c r="AT300" s="13"/>
      <c r="AU300" s="13"/>
      <c r="AV300" s="13"/>
      <c r="AW300" s="14"/>
      <c r="AX300" s="14"/>
      <c r="AY300" s="14"/>
      <c r="AZ300" s="14"/>
      <c r="BA300" s="14"/>
    </row>
    <row r="301">
      <c r="A301" s="11"/>
      <c r="B301" s="11"/>
      <c r="C301" s="11"/>
      <c r="D301" s="11"/>
      <c r="E301" s="11"/>
      <c r="F301" s="11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3"/>
      <c r="T301" s="13"/>
      <c r="U301" s="13"/>
      <c r="V301" s="13"/>
      <c r="W301" s="13"/>
      <c r="X301" s="13"/>
      <c r="Y301" s="13"/>
      <c r="Z301" s="13"/>
      <c r="AA301" s="13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3"/>
      <c r="AO301" s="13"/>
      <c r="AP301" s="13"/>
      <c r="AQ301" s="13"/>
      <c r="AR301" s="13"/>
      <c r="AS301" s="13"/>
      <c r="AT301" s="13"/>
      <c r="AU301" s="13"/>
      <c r="AV301" s="13"/>
      <c r="AW301" s="14"/>
      <c r="AX301" s="14"/>
      <c r="AY301" s="14"/>
      <c r="AZ301" s="14"/>
      <c r="BA301" s="14"/>
    </row>
    <row r="302">
      <c r="A302" s="11"/>
      <c r="B302" s="11"/>
      <c r="C302" s="11"/>
      <c r="D302" s="11"/>
      <c r="E302" s="11"/>
      <c r="F302" s="11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3"/>
      <c r="T302" s="13"/>
      <c r="U302" s="13"/>
      <c r="V302" s="13"/>
      <c r="W302" s="13"/>
      <c r="X302" s="13"/>
      <c r="Y302" s="13"/>
      <c r="Z302" s="13"/>
      <c r="AA302" s="13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3"/>
      <c r="AO302" s="13"/>
      <c r="AP302" s="13"/>
      <c r="AQ302" s="13"/>
      <c r="AR302" s="13"/>
      <c r="AS302" s="13"/>
      <c r="AT302" s="13"/>
      <c r="AU302" s="13"/>
      <c r="AV302" s="13"/>
      <c r="AW302" s="14"/>
      <c r="AX302" s="14"/>
      <c r="AY302" s="14"/>
      <c r="AZ302" s="14"/>
      <c r="BA302" s="14"/>
    </row>
    <row r="303">
      <c r="A303" s="11"/>
      <c r="B303" s="11"/>
      <c r="C303" s="11"/>
      <c r="D303" s="11"/>
      <c r="E303" s="11"/>
      <c r="F303" s="11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3"/>
      <c r="T303" s="13"/>
      <c r="U303" s="13"/>
      <c r="V303" s="13"/>
      <c r="W303" s="13"/>
      <c r="X303" s="13"/>
      <c r="Y303" s="13"/>
      <c r="Z303" s="13"/>
      <c r="AA303" s="13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3"/>
      <c r="AO303" s="13"/>
      <c r="AP303" s="13"/>
      <c r="AQ303" s="13"/>
      <c r="AR303" s="13"/>
      <c r="AS303" s="13"/>
      <c r="AT303" s="13"/>
      <c r="AU303" s="13"/>
      <c r="AV303" s="13"/>
      <c r="AW303" s="14"/>
      <c r="AX303" s="14"/>
      <c r="AY303" s="14"/>
      <c r="AZ303" s="14"/>
      <c r="BA303" s="14"/>
    </row>
    <row r="304">
      <c r="A304" s="11"/>
      <c r="B304" s="11"/>
      <c r="C304" s="11"/>
      <c r="D304" s="11"/>
      <c r="E304" s="11"/>
      <c r="F304" s="11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3"/>
      <c r="T304" s="13"/>
      <c r="U304" s="13"/>
      <c r="V304" s="13"/>
      <c r="W304" s="13"/>
      <c r="X304" s="13"/>
      <c r="Y304" s="13"/>
      <c r="Z304" s="13"/>
      <c r="AA304" s="13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3"/>
      <c r="AO304" s="13"/>
      <c r="AP304" s="13"/>
      <c r="AQ304" s="13"/>
      <c r="AR304" s="13"/>
      <c r="AS304" s="13"/>
      <c r="AT304" s="13"/>
      <c r="AU304" s="13"/>
      <c r="AV304" s="13"/>
      <c r="AW304" s="14"/>
      <c r="AX304" s="14"/>
      <c r="AY304" s="14"/>
      <c r="AZ304" s="14"/>
      <c r="BA304" s="14"/>
    </row>
    <row r="305">
      <c r="A305" s="11"/>
      <c r="B305" s="11"/>
      <c r="C305" s="11"/>
      <c r="D305" s="11"/>
      <c r="E305" s="11"/>
      <c r="F305" s="11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3"/>
      <c r="T305" s="13"/>
      <c r="U305" s="13"/>
      <c r="V305" s="13"/>
      <c r="W305" s="13"/>
      <c r="X305" s="13"/>
      <c r="Y305" s="13"/>
      <c r="Z305" s="13"/>
      <c r="AA305" s="13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3"/>
      <c r="AO305" s="13"/>
      <c r="AP305" s="13"/>
      <c r="AQ305" s="13"/>
      <c r="AR305" s="13"/>
      <c r="AS305" s="13"/>
      <c r="AT305" s="13"/>
      <c r="AU305" s="13"/>
      <c r="AV305" s="13"/>
      <c r="AW305" s="14"/>
      <c r="AX305" s="14"/>
      <c r="AY305" s="14"/>
      <c r="AZ305" s="14"/>
      <c r="BA305" s="14"/>
    </row>
    <row r="306">
      <c r="A306" s="11"/>
      <c r="B306" s="11"/>
      <c r="C306" s="11"/>
      <c r="D306" s="11"/>
      <c r="E306" s="11"/>
      <c r="F306" s="11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3"/>
      <c r="T306" s="13"/>
      <c r="U306" s="13"/>
      <c r="V306" s="13"/>
      <c r="W306" s="13"/>
      <c r="X306" s="13"/>
      <c r="Y306" s="13"/>
      <c r="Z306" s="13"/>
      <c r="AA306" s="13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3"/>
      <c r="AO306" s="13"/>
      <c r="AP306" s="13"/>
      <c r="AQ306" s="13"/>
      <c r="AR306" s="13"/>
      <c r="AS306" s="13"/>
      <c r="AT306" s="13"/>
      <c r="AU306" s="13"/>
      <c r="AV306" s="13"/>
      <c r="AW306" s="14"/>
      <c r="AX306" s="14"/>
      <c r="AY306" s="14"/>
      <c r="AZ306" s="14"/>
      <c r="BA306" s="14"/>
    </row>
    <row r="307">
      <c r="A307" s="11"/>
      <c r="B307" s="11"/>
      <c r="C307" s="11"/>
      <c r="D307" s="11"/>
      <c r="E307" s="11"/>
      <c r="F307" s="11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3"/>
      <c r="T307" s="13"/>
      <c r="U307" s="13"/>
      <c r="V307" s="13"/>
      <c r="W307" s="13"/>
      <c r="X307" s="13"/>
      <c r="Y307" s="13"/>
      <c r="Z307" s="13"/>
      <c r="AA307" s="13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3"/>
      <c r="AO307" s="13"/>
      <c r="AP307" s="13"/>
      <c r="AQ307" s="13"/>
      <c r="AR307" s="13"/>
      <c r="AS307" s="13"/>
      <c r="AT307" s="13"/>
      <c r="AU307" s="13"/>
      <c r="AV307" s="13"/>
      <c r="AW307" s="14"/>
      <c r="AX307" s="14"/>
      <c r="AY307" s="14"/>
      <c r="AZ307" s="14"/>
      <c r="BA307" s="14"/>
    </row>
    <row r="308">
      <c r="A308" s="11"/>
      <c r="B308" s="11"/>
      <c r="C308" s="11"/>
      <c r="D308" s="11"/>
      <c r="E308" s="11"/>
      <c r="F308" s="11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3"/>
      <c r="T308" s="13"/>
      <c r="U308" s="13"/>
      <c r="V308" s="13"/>
      <c r="W308" s="13"/>
      <c r="X308" s="13"/>
      <c r="Y308" s="13"/>
      <c r="Z308" s="13"/>
      <c r="AA308" s="13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3"/>
      <c r="AO308" s="13"/>
      <c r="AP308" s="13"/>
      <c r="AQ308" s="13"/>
      <c r="AR308" s="13"/>
      <c r="AS308" s="13"/>
      <c r="AT308" s="13"/>
      <c r="AU308" s="13"/>
      <c r="AV308" s="13"/>
      <c r="AW308" s="14"/>
      <c r="AX308" s="14"/>
      <c r="AY308" s="14"/>
      <c r="AZ308" s="14"/>
      <c r="BA308" s="14"/>
    </row>
    <row r="309">
      <c r="A309" s="11"/>
      <c r="B309" s="11"/>
      <c r="C309" s="11"/>
      <c r="D309" s="11"/>
      <c r="E309" s="11"/>
      <c r="F309" s="11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3"/>
      <c r="T309" s="13"/>
      <c r="U309" s="13"/>
      <c r="V309" s="13"/>
      <c r="W309" s="13"/>
      <c r="X309" s="13"/>
      <c r="Y309" s="13"/>
      <c r="Z309" s="13"/>
      <c r="AA309" s="13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3"/>
      <c r="AO309" s="13"/>
      <c r="AP309" s="13"/>
      <c r="AQ309" s="13"/>
      <c r="AR309" s="13"/>
      <c r="AS309" s="13"/>
      <c r="AT309" s="13"/>
      <c r="AU309" s="13"/>
      <c r="AV309" s="13"/>
      <c r="AW309" s="14"/>
      <c r="AX309" s="14"/>
      <c r="AY309" s="14"/>
      <c r="AZ309" s="14"/>
      <c r="BA309" s="14"/>
    </row>
    <row r="310">
      <c r="A310" s="11"/>
      <c r="B310" s="11"/>
      <c r="C310" s="11"/>
      <c r="D310" s="11"/>
      <c r="E310" s="11"/>
      <c r="F310" s="11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3"/>
      <c r="T310" s="13"/>
      <c r="U310" s="13"/>
      <c r="V310" s="13"/>
      <c r="W310" s="13"/>
      <c r="X310" s="13"/>
      <c r="Y310" s="13"/>
      <c r="Z310" s="13"/>
      <c r="AA310" s="13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3"/>
      <c r="AO310" s="13"/>
      <c r="AP310" s="13"/>
      <c r="AQ310" s="13"/>
      <c r="AR310" s="13"/>
      <c r="AS310" s="13"/>
      <c r="AT310" s="13"/>
      <c r="AU310" s="13"/>
      <c r="AV310" s="13"/>
      <c r="AW310" s="14"/>
      <c r="AX310" s="14"/>
      <c r="AY310" s="14"/>
      <c r="AZ310" s="14"/>
      <c r="BA310" s="14"/>
    </row>
    <row r="311">
      <c r="A311" s="11"/>
      <c r="B311" s="11"/>
      <c r="C311" s="11"/>
      <c r="D311" s="11"/>
      <c r="E311" s="11"/>
      <c r="F311" s="11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3"/>
      <c r="T311" s="13"/>
      <c r="U311" s="13"/>
      <c r="V311" s="13"/>
      <c r="W311" s="13"/>
      <c r="X311" s="13"/>
      <c r="Y311" s="13"/>
      <c r="Z311" s="13"/>
      <c r="AA311" s="13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3"/>
      <c r="AO311" s="13"/>
      <c r="AP311" s="13"/>
      <c r="AQ311" s="13"/>
      <c r="AR311" s="13"/>
      <c r="AS311" s="13"/>
      <c r="AT311" s="13"/>
      <c r="AU311" s="13"/>
      <c r="AV311" s="13"/>
      <c r="AW311" s="14"/>
      <c r="AX311" s="14"/>
      <c r="AY311" s="14"/>
      <c r="AZ311" s="14"/>
      <c r="BA311" s="14"/>
    </row>
    <row r="312">
      <c r="A312" s="11"/>
      <c r="B312" s="11"/>
      <c r="C312" s="11"/>
      <c r="D312" s="11"/>
      <c r="E312" s="11"/>
      <c r="F312" s="11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3"/>
      <c r="T312" s="13"/>
      <c r="U312" s="13"/>
      <c r="V312" s="13"/>
      <c r="W312" s="13"/>
      <c r="X312" s="13"/>
      <c r="Y312" s="13"/>
      <c r="Z312" s="13"/>
      <c r="AA312" s="13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3"/>
      <c r="AO312" s="13"/>
      <c r="AP312" s="13"/>
      <c r="AQ312" s="13"/>
      <c r="AR312" s="13"/>
      <c r="AS312" s="13"/>
      <c r="AT312" s="13"/>
      <c r="AU312" s="13"/>
      <c r="AV312" s="13"/>
      <c r="AW312" s="14"/>
      <c r="AX312" s="14"/>
      <c r="AY312" s="14"/>
      <c r="AZ312" s="14"/>
      <c r="BA312" s="14"/>
    </row>
    <row r="313">
      <c r="A313" s="11"/>
      <c r="B313" s="11"/>
      <c r="C313" s="11"/>
      <c r="D313" s="11"/>
      <c r="E313" s="11"/>
      <c r="F313" s="11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3"/>
      <c r="T313" s="13"/>
      <c r="U313" s="13"/>
      <c r="V313" s="13"/>
      <c r="W313" s="13"/>
      <c r="X313" s="13"/>
      <c r="Y313" s="13"/>
      <c r="Z313" s="13"/>
      <c r="AA313" s="13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3"/>
      <c r="AO313" s="13"/>
      <c r="AP313" s="13"/>
      <c r="AQ313" s="13"/>
      <c r="AR313" s="13"/>
      <c r="AS313" s="13"/>
      <c r="AT313" s="13"/>
      <c r="AU313" s="13"/>
      <c r="AV313" s="13"/>
      <c r="AW313" s="14"/>
      <c r="AX313" s="14"/>
      <c r="AY313" s="14"/>
      <c r="AZ313" s="14"/>
      <c r="BA313" s="14"/>
    </row>
    <row r="314">
      <c r="A314" s="11"/>
      <c r="B314" s="11"/>
      <c r="C314" s="11"/>
      <c r="D314" s="11"/>
      <c r="E314" s="11"/>
      <c r="F314" s="11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3"/>
      <c r="T314" s="13"/>
      <c r="U314" s="13"/>
      <c r="V314" s="13"/>
      <c r="W314" s="13"/>
      <c r="X314" s="13"/>
      <c r="Y314" s="13"/>
      <c r="Z314" s="13"/>
      <c r="AA314" s="13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3"/>
      <c r="AO314" s="13"/>
      <c r="AP314" s="13"/>
      <c r="AQ314" s="13"/>
      <c r="AR314" s="13"/>
      <c r="AS314" s="13"/>
      <c r="AT314" s="13"/>
      <c r="AU314" s="13"/>
      <c r="AV314" s="13"/>
      <c r="AW314" s="14"/>
      <c r="AX314" s="14"/>
      <c r="AY314" s="14"/>
      <c r="AZ314" s="14"/>
      <c r="BA314" s="14"/>
    </row>
    <row r="315">
      <c r="A315" s="11"/>
      <c r="B315" s="11"/>
      <c r="C315" s="11"/>
      <c r="D315" s="11"/>
      <c r="E315" s="11"/>
      <c r="F315" s="11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3"/>
      <c r="T315" s="13"/>
      <c r="U315" s="13"/>
      <c r="V315" s="13"/>
      <c r="W315" s="13"/>
      <c r="X315" s="13"/>
      <c r="Y315" s="13"/>
      <c r="Z315" s="13"/>
      <c r="AA315" s="13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3"/>
      <c r="AO315" s="13"/>
      <c r="AP315" s="13"/>
      <c r="AQ315" s="13"/>
      <c r="AR315" s="13"/>
      <c r="AS315" s="13"/>
      <c r="AT315" s="13"/>
      <c r="AU315" s="13"/>
      <c r="AV315" s="13"/>
      <c r="AW315" s="14"/>
      <c r="AX315" s="14"/>
      <c r="AY315" s="14"/>
      <c r="AZ315" s="14"/>
      <c r="BA315" s="14"/>
    </row>
    <row r="316">
      <c r="A316" s="11"/>
      <c r="B316" s="11"/>
      <c r="C316" s="11"/>
      <c r="D316" s="11"/>
      <c r="E316" s="11"/>
      <c r="F316" s="11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3"/>
      <c r="T316" s="13"/>
      <c r="U316" s="13"/>
      <c r="V316" s="13"/>
      <c r="W316" s="13"/>
      <c r="X316" s="13"/>
      <c r="Y316" s="13"/>
      <c r="Z316" s="13"/>
      <c r="AA316" s="13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3"/>
      <c r="AO316" s="13"/>
      <c r="AP316" s="13"/>
      <c r="AQ316" s="13"/>
      <c r="AR316" s="13"/>
      <c r="AS316" s="13"/>
      <c r="AT316" s="13"/>
      <c r="AU316" s="13"/>
      <c r="AV316" s="13"/>
      <c r="AW316" s="14"/>
      <c r="AX316" s="14"/>
      <c r="AY316" s="14"/>
      <c r="AZ316" s="14"/>
      <c r="BA316" s="14"/>
    </row>
    <row r="317">
      <c r="A317" s="11"/>
      <c r="B317" s="11"/>
      <c r="C317" s="11"/>
      <c r="D317" s="11"/>
      <c r="E317" s="11"/>
      <c r="F317" s="11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3"/>
      <c r="T317" s="13"/>
      <c r="U317" s="13"/>
      <c r="V317" s="13"/>
      <c r="W317" s="13"/>
      <c r="X317" s="13"/>
      <c r="Y317" s="13"/>
      <c r="Z317" s="13"/>
      <c r="AA317" s="13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3"/>
      <c r="AO317" s="13"/>
      <c r="AP317" s="13"/>
      <c r="AQ317" s="13"/>
      <c r="AR317" s="13"/>
      <c r="AS317" s="13"/>
      <c r="AT317" s="13"/>
      <c r="AU317" s="13"/>
      <c r="AV317" s="13"/>
      <c r="AW317" s="14"/>
      <c r="AX317" s="14"/>
      <c r="AY317" s="14"/>
      <c r="AZ317" s="14"/>
      <c r="BA317" s="14"/>
    </row>
    <row r="318">
      <c r="A318" s="11"/>
      <c r="B318" s="11"/>
      <c r="C318" s="11"/>
      <c r="D318" s="11"/>
      <c r="E318" s="11"/>
      <c r="F318" s="11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3"/>
      <c r="T318" s="13"/>
      <c r="U318" s="13"/>
      <c r="V318" s="13"/>
      <c r="W318" s="13"/>
      <c r="X318" s="13"/>
      <c r="Y318" s="13"/>
      <c r="Z318" s="13"/>
      <c r="AA318" s="13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3"/>
      <c r="AO318" s="13"/>
      <c r="AP318" s="13"/>
      <c r="AQ318" s="13"/>
      <c r="AR318" s="13"/>
      <c r="AS318" s="13"/>
      <c r="AT318" s="13"/>
      <c r="AU318" s="13"/>
      <c r="AV318" s="13"/>
      <c r="AW318" s="14"/>
      <c r="AX318" s="14"/>
      <c r="AY318" s="14"/>
      <c r="AZ318" s="14"/>
      <c r="BA318" s="14"/>
    </row>
    <row r="319">
      <c r="A319" s="11"/>
      <c r="B319" s="11"/>
      <c r="C319" s="11"/>
      <c r="D319" s="11"/>
      <c r="E319" s="11"/>
      <c r="F319" s="11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3"/>
      <c r="T319" s="13"/>
      <c r="U319" s="13"/>
      <c r="V319" s="13"/>
      <c r="W319" s="13"/>
      <c r="X319" s="13"/>
      <c r="Y319" s="13"/>
      <c r="Z319" s="13"/>
      <c r="AA319" s="13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3"/>
      <c r="AO319" s="13"/>
      <c r="AP319" s="13"/>
      <c r="AQ319" s="13"/>
      <c r="AR319" s="13"/>
      <c r="AS319" s="13"/>
      <c r="AT319" s="13"/>
      <c r="AU319" s="13"/>
      <c r="AV319" s="13"/>
      <c r="AW319" s="14"/>
      <c r="AX319" s="14"/>
      <c r="AY319" s="14"/>
      <c r="AZ319" s="14"/>
      <c r="BA319" s="14"/>
    </row>
    <row r="320">
      <c r="A320" s="11"/>
      <c r="B320" s="11"/>
      <c r="C320" s="11"/>
      <c r="D320" s="11"/>
      <c r="E320" s="11"/>
      <c r="F320" s="11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3"/>
      <c r="T320" s="13"/>
      <c r="U320" s="13"/>
      <c r="V320" s="13"/>
      <c r="W320" s="13"/>
      <c r="X320" s="13"/>
      <c r="Y320" s="13"/>
      <c r="Z320" s="13"/>
      <c r="AA320" s="13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3"/>
      <c r="AO320" s="13"/>
      <c r="AP320" s="13"/>
      <c r="AQ320" s="13"/>
      <c r="AR320" s="13"/>
      <c r="AS320" s="13"/>
      <c r="AT320" s="13"/>
      <c r="AU320" s="13"/>
      <c r="AV320" s="13"/>
      <c r="AW320" s="14"/>
      <c r="AX320" s="14"/>
      <c r="AY320" s="14"/>
      <c r="AZ320" s="14"/>
      <c r="BA320" s="14"/>
    </row>
    <row r="321">
      <c r="A321" s="11"/>
      <c r="B321" s="11"/>
      <c r="C321" s="11"/>
      <c r="D321" s="11"/>
      <c r="E321" s="11"/>
      <c r="F321" s="11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3"/>
      <c r="T321" s="13"/>
      <c r="U321" s="13"/>
      <c r="V321" s="13"/>
      <c r="W321" s="13"/>
      <c r="X321" s="13"/>
      <c r="Y321" s="13"/>
      <c r="Z321" s="13"/>
      <c r="AA321" s="13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3"/>
      <c r="AO321" s="13"/>
      <c r="AP321" s="13"/>
      <c r="AQ321" s="13"/>
      <c r="AR321" s="13"/>
      <c r="AS321" s="13"/>
      <c r="AT321" s="13"/>
      <c r="AU321" s="13"/>
      <c r="AV321" s="13"/>
      <c r="AW321" s="14"/>
      <c r="AX321" s="14"/>
      <c r="AY321" s="14"/>
      <c r="AZ321" s="14"/>
      <c r="BA321" s="14"/>
    </row>
    <row r="322">
      <c r="A322" s="11"/>
      <c r="B322" s="11"/>
      <c r="C322" s="11"/>
      <c r="D322" s="11"/>
      <c r="E322" s="11"/>
      <c r="F322" s="11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3"/>
      <c r="T322" s="13"/>
      <c r="U322" s="13"/>
      <c r="V322" s="13"/>
      <c r="W322" s="13"/>
      <c r="X322" s="13"/>
      <c r="Y322" s="13"/>
      <c r="Z322" s="13"/>
      <c r="AA322" s="13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3"/>
      <c r="AO322" s="13"/>
      <c r="AP322" s="13"/>
      <c r="AQ322" s="13"/>
      <c r="AR322" s="13"/>
      <c r="AS322" s="13"/>
      <c r="AT322" s="13"/>
      <c r="AU322" s="13"/>
      <c r="AV322" s="13"/>
      <c r="AW322" s="14"/>
      <c r="AX322" s="14"/>
      <c r="AY322" s="14"/>
      <c r="AZ322" s="14"/>
      <c r="BA322" s="14"/>
    </row>
    <row r="323">
      <c r="A323" s="11"/>
      <c r="B323" s="11"/>
      <c r="C323" s="11"/>
      <c r="D323" s="11"/>
      <c r="E323" s="11"/>
      <c r="F323" s="11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3"/>
      <c r="T323" s="13"/>
      <c r="U323" s="13"/>
      <c r="V323" s="13"/>
      <c r="W323" s="13"/>
      <c r="X323" s="13"/>
      <c r="Y323" s="13"/>
      <c r="Z323" s="13"/>
      <c r="AA323" s="13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3"/>
      <c r="AO323" s="13"/>
      <c r="AP323" s="13"/>
      <c r="AQ323" s="13"/>
      <c r="AR323" s="13"/>
      <c r="AS323" s="13"/>
      <c r="AT323" s="13"/>
      <c r="AU323" s="13"/>
      <c r="AV323" s="13"/>
      <c r="AW323" s="14"/>
      <c r="AX323" s="14"/>
      <c r="AY323" s="14"/>
      <c r="AZ323" s="14"/>
      <c r="BA323" s="14"/>
    </row>
    <row r="324">
      <c r="A324" s="11"/>
      <c r="B324" s="11"/>
      <c r="C324" s="11"/>
      <c r="D324" s="11"/>
      <c r="E324" s="11"/>
      <c r="F324" s="11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3"/>
      <c r="T324" s="13"/>
      <c r="U324" s="13"/>
      <c r="V324" s="13"/>
      <c r="W324" s="13"/>
      <c r="X324" s="13"/>
      <c r="Y324" s="13"/>
      <c r="Z324" s="13"/>
      <c r="AA324" s="13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3"/>
      <c r="AO324" s="13"/>
      <c r="AP324" s="13"/>
      <c r="AQ324" s="13"/>
      <c r="AR324" s="13"/>
      <c r="AS324" s="13"/>
      <c r="AT324" s="13"/>
      <c r="AU324" s="13"/>
      <c r="AV324" s="13"/>
      <c r="AW324" s="14"/>
      <c r="AX324" s="14"/>
      <c r="AY324" s="14"/>
      <c r="AZ324" s="14"/>
      <c r="BA324" s="14"/>
    </row>
    <row r="325">
      <c r="A325" s="11"/>
      <c r="B325" s="11"/>
      <c r="C325" s="11"/>
      <c r="D325" s="11"/>
      <c r="E325" s="11"/>
      <c r="F325" s="11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3"/>
      <c r="T325" s="13"/>
      <c r="U325" s="13"/>
      <c r="V325" s="13"/>
      <c r="W325" s="13"/>
      <c r="X325" s="13"/>
      <c r="Y325" s="13"/>
      <c r="Z325" s="13"/>
      <c r="AA325" s="13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3"/>
      <c r="AO325" s="13"/>
      <c r="AP325" s="13"/>
      <c r="AQ325" s="13"/>
      <c r="AR325" s="13"/>
      <c r="AS325" s="13"/>
      <c r="AT325" s="13"/>
      <c r="AU325" s="13"/>
      <c r="AV325" s="13"/>
      <c r="AW325" s="14"/>
      <c r="AX325" s="14"/>
      <c r="AY325" s="14"/>
      <c r="AZ325" s="14"/>
      <c r="BA325" s="14"/>
    </row>
    <row r="326">
      <c r="A326" s="11"/>
      <c r="B326" s="11"/>
      <c r="C326" s="11"/>
      <c r="D326" s="11"/>
      <c r="E326" s="11"/>
      <c r="F326" s="11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3"/>
      <c r="T326" s="13"/>
      <c r="U326" s="13"/>
      <c r="V326" s="13"/>
      <c r="W326" s="13"/>
      <c r="X326" s="13"/>
      <c r="Y326" s="13"/>
      <c r="Z326" s="13"/>
      <c r="AA326" s="13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3"/>
      <c r="AO326" s="13"/>
      <c r="AP326" s="13"/>
      <c r="AQ326" s="13"/>
      <c r="AR326" s="13"/>
      <c r="AS326" s="13"/>
      <c r="AT326" s="13"/>
      <c r="AU326" s="13"/>
      <c r="AV326" s="13"/>
      <c r="AW326" s="14"/>
      <c r="AX326" s="14"/>
      <c r="AY326" s="14"/>
      <c r="AZ326" s="14"/>
      <c r="BA326" s="14"/>
    </row>
    <row r="327">
      <c r="A327" s="11"/>
      <c r="B327" s="11"/>
      <c r="C327" s="11"/>
      <c r="D327" s="11"/>
      <c r="E327" s="11"/>
      <c r="F327" s="11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3"/>
      <c r="T327" s="13"/>
      <c r="U327" s="13"/>
      <c r="V327" s="13"/>
      <c r="W327" s="13"/>
      <c r="X327" s="13"/>
      <c r="Y327" s="13"/>
      <c r="Z327" s="13"/>
      <c r="AA327" s="13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3"/>
      <c r="AO327" s="13"/>
      <c r="AP327" s="13"/>
      <c r="AQ327" s="13"/>
      <c r="AR327" s="13"/>
      <c r="AS327" s="13"/>
      <c r="AT327" s="13"/>
      <c r="AU327" s="13"/>
      <c r="AV327" s="13"/>
      <c r="AW327" s="14"/>
      <c r="AX327" s="14"/>
      <c r="AY327" s="14"/>
      <c r="AZ327" s="14"/>
      <c r="BA327" s="14"/>
    </row>
    <row r="328">
      <c r="A328" s="11"/>
      <c r="B328" s="11"/>
      <c r="C328" s="11"/>
      <c r="D328" s="11"/>
      <c r="E328" s="11"/>
      <c r="F328" s="11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3"/>
      <c r="T328" s="13"/>
      <c r="U328" s="13"/>
      <c r="V328" s="13"/>
      <c r="W328" s="13"/>
      <c r="X328" s="13"/>
      <c r="Y328" s="13"/>
      <c r="Z328" s="13"/>
      <c r="AA328" s="13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3"/>
      <c r="AO328" s="13"/>
      <c r="AP328" s="13"/>
      <c r="AQ328" s="13"/>
      <c r="AR328" s="13"/>
      <c r="AS328" s="13"/>
      <c r="AT328" s="13"/>
      <c r="AU328" s="13"/>
      <c r="AV328" s="13"/>
      <c r="AW328" s="14"/>
      <c r="AX328" s="14"/>
      <c r="AY328" s="14"/>
      <c r="AZ328" s="14"/>
      <c r="BA328" s="14"/>
    </row>
    <row r="329">
      <c r="A329" s="11"/>
      <c r="B329" s="11"/>
      <c r="C329" s="11"/>
      <c r="D329" s="11"/>
      <c r="E329" s="11"/>
      <c r="F329" s="11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3"/>
      <c r="T329" s="13"/>
      <c r="U329" s="13"/>
      <c r="V329" s="13"/>
      <c r="W329" s="13"/>
      <c r="X329" s="13"/>
      <c r="Y329" s="13"/>
      <c r="Z329" s="13"/>
      <c r="AA329" s="13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3"/>
      <c r="AO329" s="13"/>
      <c r="AP329" s="13"/>
      <c r="AQ329" s="13"/>
      <c r="AR329" s="13"/>
      <c r="AS329" s="13"/>
      <c r="AT329" s="13"/>
      <c r="AU329" s="13"/>
      <c r="AV329" s="13"/>
      <c r="AW329" s="14"/>
      <c r="AX329" s="14"/>
      <c r="AY329" s="14"/>
      <c r="AZ329" s="14"/>
      <c r="BA329" s="14"/>
    </row>
    <row r="330">
      <c r="A330" s="11"/>
      <c r="B330" s="11"/>
      <c r="C330" s="11"/>
      <c r="D330" s="11"/>
      <c r="E330" s="11"/>
      <c r="F330" s="11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3"/>
      <c r="T330" s="13"/>
      <c r="U330" s="13"/>
      <c r="V330" s="13"/>
      <c r="W330" s="13"/>
      <c r="X330" s="13"/>
      <c r="Y330" s="13"/>
      <c r="Z330" s="13"/>
      <c r="AA330" s="13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3"/>
      <c r="AO330" s="13"/>
      <c r="AP330" s="13"/>
      <c r="AQ330" s="13"/>
      <c r="AR330" s="13"/>
      <c r="AS330" s="13"/>
      <c r="AT330" s="13"/>
      <c r="AU330" s="13"/>
      <c r="AV330" s="13"/>
      <c r="AW330" s="14"/>
      <c r="AX330" s="14"/>
      <c r="AY330" s="14"/>
      <c r="AZ330" s="14"/>
      <c r="BA330" s="14"/>
    </row>
    <row r="331">
      <c r="A331" s="11"/>
      <c r="B331" s="11"/>
      <c r="C331" s="11"/>
      <c r="D331" s="11"/>
      <c r="E331" s="11"/>
      <c r="F331" s="11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3"/>
      <c r="T331" s="13"/>
      <c r="U331" s="13"/>
      <c r="V331" s="13"/>
      <c r="W331" s="13"/>
      <c r="X331" s="13"/>
      <c r="Y331" s="13"/>
      <c r="Z331" s="13"/>
      <c r="AA331" s="13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3"/>
      <c r="AO331" s="13"/>
      <c r="AP331" s="13"/>
      <c r="AQ331" s="13"/>
      <c r="AR331" s="13"/>
      <c r="AS331" s="13"/>
      <c r="AT331" s="13"/>
      <c r="AU331" s="13"/>
      <c r="AV331" s="13"/>
      <c r="AW331" s="14"/>
      <c r="AX331" s="14"/>
      <c r="AY331" s="14"/>
      <c r="AZ331" s="14"/>
      <c r="BA331" s="14"/>
    </row>
    <row r="332">
      <c r="A332" s="11"/>
      <c r="B332" s="11"/>
      <c r="C332" s="11"/>
      <c r="D332" s="11"/>
      <c r="E332" s="11"/>
      <c r="F332" s="11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3"/>
      <c r="T332" s="13"/>
      <c r="U332" s="13"/>
      <c r="V332" s="13"/>
      <c r="W332" s="13"/>
      <c r="X332" s="13"/>
      <c r="Y332" s="13"/>
      <c r="Z332" s="13"/>
      <c r="AA332" s="13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3"/>
      <c r="AO332" s="13"/>
      <c r="AP332" s="13"/>
      <c r="AQ332" s="13"/>
      <c r="AR332" s="13"/>
      <c r="AS332" s="13"/>
      <c r="AT332" s="13"/>
      <c r="AU332" s="13"/>
      <c r="AV332" s="13"/>
      <c r="AW332" s="14"/>
      <c r="AX332" s="14"/>
      <c r="AY332" s="14"/>
      <c r="AZ332" s="14"/>
      <c r="BA332" s="14"/>
    </row>
    <row r="333">
      <c r="A333" s="11"/>
      <c r="B333" s="11"/>
      <c r="C333" s="11"/>
      <c r="D333" s="11"/>
      <c r="E333" s="11"/>
      <c r="F333" s="11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3"/>
      <c r="T333" s="13"/>
      <c r="U333" s="13"/>
      <c r="V333" s="13"/>
      <c r="W333" s="13"/>
      <c r="X333" s="13"/>
      <c r="Y333" s="13"/>
      <c r="Z333" s="13"/>
      <c r="AA333" s="13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3"/>
      <c r="AO333" s="13"/>
      <c r="AP333" s="13"/>
      <c r="AQ333" s="13"/>
      <c r="AR333" s="13"/>
      <c r="AS333" s="13"/>
      <c r="AT333" s="13"/>
      <c r="AU333" s="13"/>
      <c r="AV333" s="13"/>
      <c r="AW333" s="14"/>
      <c r="AX333" s="14"/>
      <c r="AY333" s="14"/>
      <c r="AZ333" s="14"/>
      <c r="BA333" s="14"/>
    </row>
    <row r="334">
      <c r="A334" s="11"/>
      <c r="B334" s="11"/>
      <c r="C334" s="11"/>
      <c r="D334" s="11"/>
      <c r="E334" s="11"/>
      <c r="F334" s="11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3"/>
      <c r="T334" s="13"/>
      <c r="U334" s="13"/>
      <c r="V334" s="13"/>
      <c r="W334" s="13"/>
      <c r="X334" s="13"/>
      <c r="Y334" s="13"/>
      <c r="Z334" s="13"/>
      <c r="AA334" s="13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3"/>
      <c r="AO334" s="13"/>
      <c r="AP334" s="13"/>
      <c r="AQ334" s="13"/>
      <c r="AR334" s="13"/>
      <c r="AS334" s="13"/>
      <c r="AT334" s="13"/>
      <c r="AU334" s="13"/>
      <c r="AV334" s="13"/>
      <c r="AW334" s="14"/>
      <c r="AX334" s="14"/>
      <c r="AY334" s="14"/>
      <c r="AZ334" s="14"/>
      <c r="BA334" s="14"/>
    </row>
    <row r="335">
      <c r="A335" s="11"/>
      <c r="B335" s="11"/>
      <c r="C335" s="11"/>
      <c r="D335" s="11"/>
      <c r="E335" s="11"/>
      <c r="F335" s="11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3"/>
      <c r="T335" s="13"/>
      <c r="U335" s="13"/>
      <c r="V335" s="13"/>
      <c r="W335" s="13"/>
      <c r="X335" s="13"/>
      <c r="Y335" s="13"/>
      <c r="Z335" s="13"/>
      <c r="AA335" s="13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3"/>
      <c r="AO335" s="13"/>
      <c r="AP335" s="13"/>
      <c r="AQ335" s="13"/>
      <c r="AR335" s="13"/>
      <c r="AS335" s="13"/>
      <c r="AT335" s="13"/>
      <c r="AU335" s="13"/>
      <c r="AV335" s="13"/>
      <c r="AW335" s="14"/>
      <c r="AX335" s="14"/>
      <c r="AY335" s="14"/>
      <c r="AZ335" s="14"/>
      <c r="BA335" s="14"/>
    </row>
    <row r="336">
      <c r="A336" s="11"/>
      <c r="B336" s="11"/>
      <c r="C336" s="11"/>
      <c r="D336" s="11"/>
      <c r="E336" s="11"/>
      <c r="F336" s="11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3"/>
      <c r="T336" s="13"/>
      <c r="U336" s="13"/>
      <c r="V336" s="13"/>
      <c r="W336" s="13"/>
      <c r="X336" s="13"/>
      <c r="Y336" s="13"/>
      <c r="Z336" s="13"/>
      <c r="AA336" s="13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3"/>
      <c r="AO336" s="13"/>
      <c r="AP336" s="13"/>
      <c r="AQ336" s="13"/>
      <c r="AR336" s="13"/>
      <c r="AS336" s="13"/>
      <c r="AT336" s="13"/>
      <c r="AU336" s="13"/>
      <c r="AV336" s="13"/>
      <c r="AW336" s="14"/>
      <c r="AX336" s="14"/>
      <c r="AY336" s="14"/>
      <c r="AZ336" s="14"/>
      <c r="BA336" s="14"/>
    </row>
    <row r="337">
      <c r="A337" s="11"/>
      <c r="B337" s="11"/>
      <c r="C337" s="11"/>
      <c r="D337" s="11"/>
      <c r="E337" s="11"/>
      <c r="F337" s="11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3"/>
      <c r="T337" s="13"/>
      <c r="U337" s="13"/>
      <c r="V337" s="13"/>
      <c r="W337" s="13"/>
      <c r="X337" s="13"/>
      <c r="Y337" s="13"/>
      <c r="Z337" s="13"/>
      <c r="AA337" s="13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3"/>
      <c r="AO337" s="13"/>
      <c r="AP337" s="13"/>
      <c r="AQ337" s="13"/>
      <c r="AR337" s="13"/>
      <c r="AS337" s="13"/>
      <c r="AT337" s="13"/>
      <c r="AU337" s="13"/>
      <c r="AV337" s="13"/>
      <c r="AW337" s="14"/>
      <c r="AX337" s="14"/>
      <c r="AY337" s="14"/>
      <c r="AZ337" s="14"/>
      <c r="BA337" s="14"/>
    </row>
    <row r="338">
      <c r="A338" s="11"/>
      <c r="B338" s="11"/>
      <c r="C338" s="11"/>
      <c r="D338" s="11"/>
      <c r="E338" s="11"/>
      <c r="F338" s="11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3"/>
      <c r="T338" s="13"/>
      <c r="U338" s="13"/>
      <c r="V338" s="13"/>
      <c r="W338" s="13"/>
      <c r="X338" s="13"/>
      <c r="Y338" s="13"/>
      <c r="Z338" s="13"/>
      <c r="AA338" s="13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3"/>
      <c r="AO338" s="13"/>
      <c r="AP338" s="13"/>
      <c r="AQ338" s="13"/>
      <c r="AR338" s="13"/>
      <c r="AS338" s="13"/>
      <c r="AT338" s="13"/>
      <c r="AU338" s="13"/>
      <c r="AV338" s="13"/>
      <c r="AW338" s="14"/>
      <c r="AX338" s="14"/>
      <c r="AY338" s="14"/>
      <c r="AZ338" s="14"/>
      <c r="BA338" s="14"/>
    </row>
    <row r="339">
      <c r="A339" s="11"/>
      <c r="B339" s="11"/>
      <c r="C339" s="11"/>
      <c r="D339" s="11"/>
      <c r="E339" s="11"/>
      <c r="F339" s="11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3"/>
      <c r="T339" s="13"/>
      <c r="U339" s="13"/>
      <c r="V339" s="13"/>
      <c r="W339" s="13"/>
      <c r="X339" s="13"/>
      <c r="Y339" s="13"/>
      <c r="Z339" s="13"/>
      <c r="AA339" s="13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3"/>
      <c r="AO339" s="13"/>
      <c r="AP339" s="13"/>
      <c r="AQ339" s="13"/>
      <c r="AR339" s="13"/>
      <c r="AS339" s="13"/>
      <c r="AT339" s="13"/>
      <c r="AU339" s="13"/>
      <c r="AV339" s="13"/>
      <c r="AW339" s="14"/>
      <c r="AX339" s="14"/>
      <c r="AY339" s="14"/>
      <c r="AZ339" s="14"/>
      <c r="BA339" s="14"/>
    </row>
    <row r="340">
      <c r="A340" s="11"/>
      <c r="B340" s="11"/>
      <c r="C340" s="11"/>
      <c r="D340" s="11"/>
      <c r="E340" s="11"/>
      <c r="F340" s="11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3"/>
      <c r="T340" s="13"/>
      <c r="U340" s="13"/>
      <c r="V340" s="13"/>
      <c r="W340" s="13"/>
      <c r="X340" s="13"/>
      <c r="Y340" s="13"/>
      <c r="Z340" s="13"/>
      <c r="AA340" s="13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3"/>
      <c r="AO340" s="13"/>
      <c r="AP340" s="13"/>
      <c r="AQ340" s="13"/>
      <c r="AR340" s="13"/>
      <c r="AS340" s="13"/>
      <c r="AT340" s="13"/>
      <c r="AU340" s="13"/>
      <c r="AV340" s="13"/>
      <c r="AW340" s="14"/>
      <c r="AX340" s="14"/>
      <c r="AY340" s="14"/>
      <c r="AZ340" s="14"/>
      <c r="BA340" s="14"/>
    </row>
    <row r="341">
      <c r="A341" s="11"/>
      <c r="B341" s="11"/>
      <c r="C341" s="11"/>
      <c r="D341" s="11"/>
      <c r="E341" s="11"/>
      <c r="F341" s="11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3"/>
      <c r="T341" s="13"/>
      <c r="U341" s="13"/>
      <c r="V341" s="13"/>
      <c r="W341" s="13"/>
      <c r="X341" s="13"/>
      <c r="Y341" s="13"/>
      <c r="Z341" s="13"/>
      <c r="AA341" s="13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3"/>
      <c r="AO341" s="13"/>
      <c r="AP341" s="13"/>
      <c r="AQ341" s="13"/>
      <c r="AR341" s="13"/>
      <c r="AS341" s="13"/>
      <c r="AT341" s="13"/>
      <c r="AU341" s="13"/>
      <c r="AV341" s="13"/>
      <c r="AW341" s="14"/>
      <c r="AX341" s="14"/>
      <c r="AY341" s="14"/>
      <c r="AZ341" s="14"/>
      <c r="BA341" s="14"/>
    </row>
    <row r="342">
      <c r="A342" s="11"/>
      <c r="B342" s="11"/>
      <c r="C342" s="11"/>
      <c r="D342" s="11"/>
      <c r="E342" s="11"/>
      <c r="F342" s="11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3"/>
      <c r="T342" s="13"/>
      <c r="U342" s="13"/>
      <c r="V342" s="13"/>
      <c r="W342" s="13"/>
      <c r="X342" s="13"/>
      <c r="Y342" s="13"/>
      <c r="Z342" s="13"/>
      <c r="AA342" s="13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3"/>
      <c r="AO342" s="13"/>
      <c r="AP342" s="13"/>
      <c r="AQ342" s="13"/>
      <c r="AR342" s="13"/>
      <c r="AS342" s="13"/>
      <c r="AT342" s="13"/>
      <c r="AU342" s="13"/>
      <c r="AV342" s="13"/>
      <c r="AW342" s="14"/>
      <c r="AX342" s="14"/>
      <c r="AY342" s="14"/>
      <c r="AZ342" s="14"/>
      <c r="BA342" s="14"/>
    </row>
    <row r="343">
      <c r="A343" s="11"/>
      <c r="B343" s="11"/>
      <c r="C343" s="11"/>
      <c r="D343" s="11"/>
      <c r="E343" s="11"/>
      <c r="F343" s="11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3"/>
      <c r="T343" s="13"/>
      <c r="U343" s="13"/>
      <c r="V343" s="13"/>
      <c r="W343" s="13"/>
      <c r="X343" s="13"/>
      <c r="Y343" s="13"/>
      <c r="Z343" s="13"/>
      <c r="AA343" s="13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3"/>
      <c r="AO343" s="13"/>
      <c r="AP343" s="13"/>
      <c r="AQ343" s="13"/>
      <c r="AR343" s="13"/>
      <c r="AS343" s="13"/>
      <c r="AT343" s="13"/>
      <c r="AU343" s="13"/>
      <c r="AV343" s="13"/>
      <c r="AW343" s="14"/>
      <c r="AX343" s="14"/>
      <c r="AY343" s="14"/>
      <c r="AZ343" s="14"/>
      <c r="BA343" s="14"/>
    </row>
    <row r="344">
      <c r="A344" s="11"/>
      <c r="B344" s="11"/>
      <c r="C344" s="11"/>
      <c r="D344" s="11"/>
      <c r="E344" s="11"/>
      <c r="F344" s="11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3"/>
      <c r="T344" s="13"/>
      <c r="U344" s="13"/>
      <c r="V344" s="13"/>
      <c r="W344" s="13"/>
      <c r="X344" s="13"/>
      <c r="Y344" s="13"/>
      <c r="Z344" s="13"/>
      <c r="AA344" s="13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3"/>
      <c r="AO344" s="13"/>
      <c r="AP344" s="13"/>
      <c r="AQ344" s="13"/>
      <c r="AR344" s="13"/>
      <c r="AS344" s="13"/>
      <c r="AT344" s="13"/>
      <c r="AU344" s="13"/>
      <c r="AV344" s="13"/>
      <c r="AW344" s="14"/>
      <c r="AX344" s="14"/>
      <c r="AY344" s="14"/>
      <c r="AZ344" s="14"/>
      <c r="BA344" s="14"/>
    </row>
    <row r="345">
      <c r="A345" s="11"/>
      <c r="B345" s="11"/>
      <c r="C345" s="11"/>
      <c r="D345" s="11"/>
      <c r="E345" s="11"/>
      <c r="F345" s="11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3"/>
      <c r="T345" s="13"/>
      <c r="U345" s="13"/>
      <c r="V345" s="13"/>
      <c r="W345" s="13"/>
      <c r="X345" s="13"/>
      <c r="Y345" s="13"/>
      <c r="Z345" s="13"/>
      <c r="AA345" s="13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3"/>
      <c r="AO345" s="13"/>
      <c r="AP345" s="13"/>
      <c r="AQ345" s="13"/>
      <c r="AR345" s="13"/>
      <c r="AS345" s="13"/>
      <c r="AT345" s="13"/>
      <c r="AU345" s="13"/>
      <c r="AV345" s="13"/>
      <c r="AW345" s="14"/>
      <c r="AX345" s="14"/>
      <c r="AY345" s="14"/>
      <c r="AZ345" s="14"/>
      <c r="BA345" s="14"/>
    </row>
    <row r="346">
      <c r="A346" s="11"/>
      <c r="B346" s="11"/>
      <c r="C346" s="11"/>
      <c r="D346" s="11"/>
      <c r="E346" s="11"/>
      <c r="F346" s="11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3"/>
      <c r="T346" s="13"/>
      <c r="U346" s="13"/>
      <c r="V346" s="13"/>
      <c r="W346" s="13"/>
      <c r="X346" s="13"/>
      <c r="Y346" s="13"/>
      <c r="Z346" s="13"/>
      <c r="AA346" s="13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3"/>
      <c r="AO346" s="13"/>
      <c r="AP346" s="13"/>
      <c r="AQ346" s="13"/>
      <c r="AR346" s="13"/>
      <c r="AS346" s="13"/>
      <c r="AT346" s="13"/>
      <c r="AU346" s="13"/>
      <c r="AV346" s="13"/>
      <c r="AW346" s="14"/>
      <c r="AX346" s="14"/>
      <c r="AY346" s="14"/>
      <c r="AZ346" s="14"/>
      <c r="BA346" s="14"/>
    </row>
    <row r="347">
      <c r="A347" s="11"/>
      <c r="B347" s="11"/>
      <c r="C347" s="11"/>
      <c r="D347" s="11"/>
      <c r="E347" s="11"/>
      <c r="F347" s="11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3"/>
      <c r="T347" s="13"/>
      <c r="U347" s="13"/>
      <c r="V347" s="13"/>
      <c r="W347" s="13"/>
      <c r="X347" s="13"/>
      <c r="Y347" s="13"/>
      <c r="Z347" s="13"/>
      <c r="AA347" s="13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3"/>
      <c r="AO347" s="13"/>
      <c r="AP347" s="13"/>
      <c r="AQ347" s="13"/>
      <c r="AR347" s="13"/>
      <c r="AS347" s="13"/>
      <c r="AT347" s="13"/>
      <c r="AU347" s="13"/>
      <c r="AV347" s="13"/>
      <c r="AW347" s="14"/>
      <c r="AX347" s="14"/>
      <c r="AY347" s="14"/>
      <c r="AZ347" s="14"/>
      <c r="BA347" s="14"/>
    </row>
    <row r="348">
      <c r="A348" s="11"/>
      <c r="B348" s="11"/>
      <c r="C348" s="11"/>
      <c r="D348" s="11"/>
      <c r="E348" s="11"/>
      <c r="F348" s="11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3"/>
      <c r="T348" s="13"/>
      <c r="U348" s="13"/>
      <c r="V348" s="13"/>
      <c r="W348" s="13"/>
      <c r="X348" s="13"/>
      <c r="Y348" s="13"/>
      <c r="Z348" s="13"/>
      <c r="AA348" s="13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3"/>
      <c r="AO348" s="13"/>
      <c r="AP348" s="13"/>
      <c r="AQ348" s="13"/>
      <c r="AR348" s="13"/>
      <c r="AS348" s="13"/>
      <c r="AT348" s="13"/>
      <c r="AU348" s="13"/>
      <c r="AV348" s="13"/>
      <c r="AW348" s="14"/>
      <c r="AX348" s="14"/>
      <c r="AY348" s="14"/>
      <c r="AZ348" s="14"/>
      <c r="BA348" s="14"/>
    </row>
    <row r="349">
      <c r="A349" s="11"/>
      <c r="B349" s="11"/>
      <c r="C349" s="11"/>
      <c r="D349" s="11"/>
      <c r="E349" s="11"/>
      <c r="F349" s="11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3"/>
      <c r="T349" s="13"/>
      <c r="U349" s="13"/>
      <c r="V349" s="13"/>
      <c r="W349" s="13"/>
      <c r="X349" s="13"/>
      <c r="Y349" s="13"/>
      <c r="Z349" s="13"/>
      <c r="AA349" s="13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3"/>
      <c r="AO349" s="13"/>
      <c r="AP349" s="13"/>
      <c r="AQ349" s="13"/>
      <c r="AR349" s="13"/>
      <c r="AS349" s="13"/>
      <c r="AT349" s="13"/>
      <c r="AU349" s="13"/>
      <c r="AV349" s="13"/>
      <c r="AW349" s="14"/>
      <c r="AX349" s="14"/>
      <c r="AY349" s="14"/>
      <c r="AZ349" s="14"/>
      <c r="BA349" s="14"/>
    </row>
    <row r="350">
      <c r="A350" s="11"/>
      <c r="B350" s="11"/>
      <c r="C350" s="11"/>
      <c r="D350" s="11"/>
      <c r="E350" s="11"/>
      <c r="F350" s="11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3"/>
      <c r="T350" s="13"/>
      <c r="U350" s="13"/>
      <c r="V350" s="13"/>
      <c r="W350" s="13"/>
      <c r="X350" s="13"/>
      <c r="Y350" s="13"/>
      <c r="Z350" s="13"/>
      <c r="AA350" s="13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3"/>
      <c r="AO350" s="13"/>
      <c r="AP350" s="13"/>
      <c r="AQ350" s="13"/>
      <c r="AR350" s="13"/>
      <c r="AS350" s="13"/>
      <c r="AT350" s="13"/>
      <c r="AU350" s="13"/>
      <c r="AV350" s="13"/>
      <c r="AW350" s="14"/>
      <c r="AX350" s="14"/>
      <c r="AY350" s="14"/>
      <c r="AZ350" s="14"/>
      <c r="BA350" s="14"/>
    </row>
    <row r="351">
      <c r="A351" s="11"/>
      <c r="B351" s="11"/>
      <c r="C351" s="11"/>
      <c r="D351" s="11"/>
      <c r="E351" s="11"/>
      <c r="F351" s="11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3"/>
      <c r="T351" s="13"/>
      <c r="U351" s="13"/>
      <c r="V351" s="13"/>
      <c r="W351" s="13"/>
      <c r="X351" s="13"/>
      <c r="Y351" s="13"/>
      <c r="Z351" s="13"/>
      <c r="AA351" s="13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3"/>
      <c r="AO351" s="13"/>
      <c r="AP351" s="13"/>
      <c r="AQ351" s="13"/>
      <c r="AR351" s="13"/>
      <c r="AS351" s="13"/>
      <c r="AT351" s="13"/>
      <c r="AU351" s="13"/>
      <c r="AV351" s="13"/>
      <c r="AW351" s="14"/>
      <c r="AX351" s="14"/>
      <c r="AY351" s="14"/>
      <c r="AZ351" s="14"/>
      <c r="BA351" s="14"/>
    </row>
    <row r="352">
      <c r="A352" s="11"/>
      <c r="B352" s="11"/>
      <c r="C352" s="11"/>
      <c r="D352" s="11"/>
      <c r="E352" s="11"/>
      <c r="F352" s="11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3"/>
      <c r="T352" s="13"/>
      <c r="U352" s="13"/>
      <c r="V352" s="13"/>
      <c r="W352" s="13"/>
      <c r="X352" s="13"/>
      <c r="Y352" s="13"/>
      <c r="Z352" s="13"/>
      <c r="AA352" s="13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3"/>
      <c r="AO352" s="13"/>
      <c r="AP352" s="13"/>
      <c r="AQ352" s="13"/>
      <c r="AR352" s="13"/>
      <c r="AS352" s="13"/>
      <c r="AT352" s="13"/>
      <c r="AU352" s="13"/>
      <c r="AV352" s="13"/>
      <c r="AW352" s="14"/>
      <c r="AX352" s="14"/>
      <c r="AY352" s="14"/>
      <c r="AZ352" s="14"/>
      <c r="BA352" s="14"/>
    </row>
    <row r="353">
      <c r="A353" s="11"/>
      <c r="B353" s="11"/>
      <c r="C353" s="11"/>
      <c r="D353" s="11"/>
      <c r="E353" s="11"/>
      <c r="F353" s="11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3"/>
      <c r="T353" s="13"/>
      <c r="U353" s="13"/>
      <c r="V353" s="13"/>
      <c r="W353" s="13"/>
      <c r="X353" s="13"/>
      <c r="Y353" s="13"/>
      <c r="Z353" s="13"/>
      <c r="AA353" s="13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3"/>
      <c r="AO353" s="13"/>
      <c r="AP353" s="13"/>
      <c r="AQ353" s="13"/>
      <c r="AR353" s="13"/>
      <c r="AS353" s="13"/>
      <c r="AT353" s="13"/>
      <c r="AU353" s="13"/>
      <c r="AV353" s="13"/>
      <c r="AW353" s="14"/>
      <c r="AX353" s="14"/>
      <c r="AY353" s="14"/>
      <c r="AZ353" s="14"/>
      <c r="BA353" s="14"/>
    </row>
    <row r="354">
      <c r="A354" s="11"/>
      <c r="B354" s="11"/>
      <c r="C354" s="11"/>
      <c r="D354" s="11"/>
      <c r="E354" s="11"/>
      <c r="F354" s="11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3"/>
      <c r="T354" s="13"/>
      <c r="U354" s="13"/>
      <c r="V354" s="13"/>
      <c r="W354" s="13"/>
      <c r="X354" s="13"/>
      <c r="Y354" s="13"/>
      <c r="Z354" s="13"/>
      <c r="AA354" s="13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3"/>
      <c r="AO354" s="13"/>
      <c r="AP354" s="13"/>
      <c r="AQ354" s="13"/>
      <c r="AR354" s="13"/>
      <c r="AS354" s="13"/>
      <c r="AT354" s="13"/>
      <c r="AU354" s="13"/>
      <c r="AV354" s="13"/>
      <c r="AW354" s="14"/>
      <c r="AX354" s="14"/>
      <c r="AY354" s="14"/>
      <c r="AZ354" s="14"/>
      <c r="BA354" s="14"/>
    </row>
    <row r="355">
      <c r="A355" s="11"/>
      <c r="B355" s="11"/>
      <c r="C355" s="11"/>
      <c r="D355" s="11"/>
      <c r="E355" s="11"/>
      <c r="F355" s="11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3"/>
      <c r="T355" s="13"/>
      <c r="U355" s="13"/>
      <c r="V355" s="13"/>
      <c r="W355" s="13"/>
      <c r="X355" s="13"/>
      <c r="Y355" s="13"/>
      <c r="Z355" s="13"/>
      <c r="AA355" s="13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3"/>
      <c r="AO355" s="13"/>
      <c r="AP355" s="13"/>
      <c r="AQ355" s="13"/>
      <c r="AR355" s="13"/>
      <c r="AS355" s="13"/>
      <c r="AT355" s="13"/>
      <c r="AU355" s="13"/>
      <c r="AV355" s="13"/>
      <c r="AW355" s="14"/>
      <c r="AX355" s="14"/>
      <c r="AY355" s="14"/>
      <c r="AZ355" s="14"/>
      <c r="BA355" s="14"/>
    </row>
    <row r="356">
      <c r="A356" s="11"/>
      <c r="B356" s="11"/>
      <c r="C356" s="11"/>
      <c r="D356" s="11"/>
      <c r="E356" s="11"/>
      <c r="F356" s="11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3"/>
      <c r="T356" s="13"/>
      <c r="U356" s="13"/>
      <c r="V356" s="13"/>
      <c r="W356" s="13"/>
      <c r="X356" s="13"/>
      <c r="Y356" s="13"/>
      <c r="Z356" s="13"/>
      <c r="AA356" s="13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3"/>
      <c r="AO356" s="13"/>
      <c r="AP356" s="13"/>
      <c r="AQ356" s="13"/>
      <c r="AR356" s="13"/>
      <c r="AS356" s="13"/>
      <c r="AT356" s="13"/>
      <c r="AU356" s="13"/>
      <c r="AV356" s="13"/>
      <c r="AW356" s="14"/>
      <c r="AX356" s="14"/>
      <c r="AY356" s="14"/>
      <c r="AZ356" s="14"/>
      <c r="BA356" s="14"/>
    </row>
    <row r="357">
      <c r="A357" s="11"/>
      <c r="B357" s="11"/>
      <c r="C357" s="11"/>
      <c r="D357" s="11"/>
      <c r="E357" s="11"/>
      <c r="F357" s="11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3"/>
      <c r="T357" s="13"/>
      <c r="U357" s="13"/>
      <c r="V357" s="13"/>
      <c r="W357" s="13"/>
      <c r="X357" s="13"/>
      <c r="Y357" s="13"/>
      <c r="Z357" s="13"/>
      <c r="AA357" s="13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3"/>
      <c r="AO357" s="13"/>
      <c r="AP357" s="13"/>
      <c r="AQ357" s="13"/>
      <c r="AR357" s="13"/>
      <c r="AS357" s="13"/>
      <c r="AT357" s="13"/>
      <c r="AU357" s="13"/>
      <c r="AV357" s="13"/>
      <c r="AW357" s="14"/>
      <c r="AX357" s="14"/>
      <c r="AY357" s="14"/>
      <c r="AZ357" s="14"/>
      <c r="BA357" s="14"/>
    </row>
    <row r="358">
      <c r="A358" s="11"/>
      <c r="B358" s="11"/>
      <c r="C358" s="11"/>
      <c r="D358" s="11"/>
      <c r="E358" s="11"/>
      <c r="F358" s="11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3"/>
      <c r="T358" s="13"/>
      <c r="U358" s="13"/>
      <c r="V358" s="13"/>
      <c r="W358" s="13"/>
      <c r="X358" s="13"/>
      <c r="Y358" s="13"/>
      <c r="Z358" s="13"/>
      <c r="AA358" s="13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3"/>
      <c r="AO358" s="13"/>
      <c r="AP358" s="13"/>
      <c r="AQ358" s="13"/>
      <c r="AR358" s="13"/>
      <c r="AS358" s="13"/>
      <c r="AT358" s="13"/>
      <c r="AU358" s="13"/>
      <c r="AV358" s="13"/>
      <c r="AW358" s="14"/>
      <c r="AX358" s="14"/>
      <c r="AY358" s="14"/>
      <c r="AZ358" s="14"/>
      <c r="BA358" s="14"/>
    </row>
    <row r="359">
      <c r="A359" s="11"/>
      <c r="B359" s="11"/>
      <c r="C359" s="11"/>
      <c r="D359" s="11"/>
      <c r="E359" s="11"/>
      <c r="F359" s="11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3"/>
      <c r="T359" s="13"/>
      <c r="U359" s="13"/>
      <c r="V359" s="13"/>
      <c r="W359" s="13"/>
      <c r="X359" s="13"/>
      <c r="Y359" s="13"/>
      <c r="Z359" s="13"/>
      <c r="AA359" s="13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3"/>
      <c r="AO359" s="13"/>
      <c r="AP359" s="13"/>
      <c r="AQ359" s="13"/>
      <c r="AR359" s="13"/>
      <c r="AS359" s="13"/>
      <c r="AT359" s="13"/>
      <c r="AU359" s="13"/>
      <c r="AV359" s="13"/>
      <c r="AW359" s="14"/>
      <c r="AX359" s="14"/>
      <c r="AY359" s="14"/>
      <c r="AZ359" s="14"/>
      <c r="BA359" s="14"/>
    </row>
    <row r="360">
      <c r="A360" s="11"/>
      <c r="B360" s="11"/>
      <c r="C360" s="11"/>
      <c r="D360" s="11"/>
      <c r="E360" s="11"/>
      <c r="F360" s="11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3"/>
      <c r="T360" s="13"/>
      <c r="U360" s="13"/>
      <c r="V360" s="13"/>
      <c r="W360" s="13"/>
      <c r="X360" s="13"/>
      <c r="Y360" s="13"/>
      <c r="Z360" s="13"/>
      <c r="AA360" s="13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3"/>
      <c r="AO360" s="13"/>
      <c r="AP360" s="13"/>
      <c r="AQ360" s="13"/>
      <c r="AR360" s="13"/>
      <c r="AS360" s="13"/>
      <c r="AT360" s="13"/>
      <c r="AU360" s="13"/>
      <c r="AV360" s="13"/>
      <c r="AW360" s="14"/>
      <c r="AX360" s="14"/>
      <c r="AY360" s="14"/>
      <c r="AZ360" s="14"/>
      <c r="BA360" s="14"/>
    </row>
    <row r="361">
      <c r="A361" s="11"/>
      <c r="B361" s="11"/>
      <c r="C361" s="11"/>
      <c r="D361" s="11"/>
      <c r="E361" s="11"/>
      <c r="F361" s="11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3"/>
      <c r="T361" s="13"/>
      <c r="U361" s="13"/>
      <c r="V361" s="13"/>
      <c r="W361" s="13"/>
      <c r="X361" s="13"/>
      <c r="Y361" s="13"/>
      <c r="Z361" s="13"/>
      <c r="AA361" s="13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3"/>
      <c r="AO361" s="13"/>
      <c r="AP361" s="13"/>
      <c r="AQ361" s="13"/>
      <c r="AR361" s="13"/>
      <c r="AS361" s="13"/>
      <c r="AT361" s="13"/>
      <c r="AU361" s="13"/>
      <c r="AV361" s="13"/>
      <c r="AW361" s="14"/>
      <c r="AX361" s="14"/>
      <c r="AY361" s="14"/>
      <c r="AZ361" s="14"/>
      <c r="BA361" s="14"/>
    </row>
    <row r="362">
      <c r="A362" s="11"/>
      <c r="B362" s="11"/>
      <c r="C362" s="11"/>
      <c r="D362" s="11"/>
      <c r="E362" s="11"/>
      <c r="F362" s="11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3"/>
      <c r="T362" s="13"/>
      <c r="U362" s="13"/>
      <c r="V362" s="13"/>
      <c r="W362" s="13"/>
      <c r="X362" s="13"/>
      <c r="Y362" s="13"/>
      <c r="Z362" s="13"/>
      <c r="AA362" s="13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3"/>
      <c r="AO362" s="13"/>
      <c r="AP362" s="13"/>
      <c r="AQ362" s="13"/>
      <c r="AR362" s="13"/>
      <c r="AS362" s="13"/>
      <c r="AT362" s="13"/>
      <c r="AU362" s="13"/>
      <c r="AV362" s="13"/>
      <c r="AW362" s="14"/>
      <c r="AX362" s="14"/>
      <c r="AY362" s="14"/>
      <c r="AZ362" s="14"/>
      <c r="BA362" s="14"/>
    </row>
    <row r="363">
      <c r="A363" s="11"/>
      <c r="B363" s="11"/>
      <c r="C363" s="11"/>
      <c r="D363" s="11"/>
      <c r="E363" s="11"/>
      <c r="F363" s="11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3"/>
      <c r="T363" s="13"/>
      <c r="U363" s="13"/>
      <c r="V363" s="13"/>
      <c r="W363" s="13"/>
      <c r="X363" s="13"/>
      <c r="Y363" s="13"/>
      <c r="Z363" s="13"/>
      <c r="AA363" s="13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3"/>
      <c r="AO363" s="13"/>
      <c r="AP363" s="13"/>
      <c r="AQ363" s="13"/>
      <c r="AR363" s="13"/>
      <c r="AS363" s="13"/>
      <c r="AT363" s="13"/>
      <c r="AU363" s="13"/>
      <c r="AV363" s="13"/>
      <c r="AW363" s="14"/>
      <c r="AX363" s="14"/>
      <c r="AY363" s="14"/>
      <c r="AZ363" s="14"/>
      <c r="BA363" s="14"/>
    </row>
    <row r="364">
      <c r="A364" s="11"/>
      <c r="B364" s="11"/>
      <c r="C364" s="11"/>
      <c r="D364" s="11"/>
      <c r="E364" s="11"/>
      <c r="F364" s="11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3"/>
      <c r="T364" s="13"/>
      <c r="U364" s="13"/>
      <c r="V364" s="13"/>
      <c r="W364" s="13"/>
      <c r="X364" s="13"/>
      <c r="Y364" s="13"/>
      <c r="Z364" s="13"/>
      <c r="AA364" s="13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3"/>
      <c r="AO364" s="13"/>
      <c r="AP364" s="13"/>
      <c r="AQ364" s="13"/>
      <c r="AR364" s="13"/>
      <c r="AS364" s="13"/>
      <c r="AT364" s="13"/>
      <c r="AU364" s="13"/>
      <c r="AV364" s="13"/>
      <c r="AW364" s="14"/>
      <c r="AX364" s="14"/>
      <c r="AY364" s="14"/>
      <c r="AZ364" s="14"/>
      <c r="BA364" s="14"/>
    </row>
    <row r="365">
      <c r="A365" s="11"/>
      <c r="B365" s="11"/>
      <c r="C365" s="11"/>
      <c r="D365" s="11"/>
      <c r="E365" s="11"/>
      <c r="F365" s="11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3"/>
      <c r="T365" s="13"/>
      <c r="U365" s="13"/>
      <c r="V365" s="13"/>
      <c r="W365" s="13"/>
      <c r="X365" s="13"/>
      <c r="Y365" s="13"/>
      <c r="Z365" s="13"/>
      <c r="AA365" s="13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3"/>
      <c r="AO365" s="13"/>
      <c r="AP365" s="13"/>
      <c r="AQ365" s="13"/>
      <c r="AR365" s="13"/>
      <c r="AS365" s="13"/>
      <c r="AT365" s="13"/>
      <c r="AU365" s="13"/>
      <c r="AV365" s="13"/>
      <c r="AW365" s="14"/>
      <c r="AX365" s="14"/>
      <c r="AY365" s="14"/>
      <c r="AZ365" s="14"/>
      <c r="BA365" s="14"/>
    </row>
    <row r="366">
      <c r="A366" s="11"/>
      <c r="B366" s="11"/>
      <c r="C366" s="11"/>
      <c r="D366" s="11"/>
      <c r="E366" s="11"/>
      <c r="F366" s="11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3"/>
      <c r="T366" s="13"/>
      <c r="U366" s="13"/>
      <c r="V366" s="13"/>
      <c r="W366" s="13"/>
      <c r="X366" s="13"/>
      <c r="Y366" s="13"/>
      <c r="Z366" s="13"/>
      <c r="AA366" s="13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3"/>
      <c r="AO366" s="13"/>
      <c r="AP366" s="13"/>
      <c r="AQ366" s="13"/>
      <c r="AR366" s="13"/>
      <c r="AS366" s="13"/>
      <c r="AT366" s="13"/>
      <c r="AU366" s="13"/>
      <c r="AV366" s="13"/>
      <c r="AW366" s="14"/>
      <c r="AX366" s="14"/>
      <c r="AY366" s="14"/>
      <c r="AZ366" s="14"/>
      <c r="BA366" s="14"/>
    </row>
    <row r="367">
      <c r="A367" s="11"/>
      <c r="B367" s="11"/>
      <c r="C367" s="11"/>
      <c r="D367" s="11"/>
      <c r="E367" s="11"/>
      <c r="F367" s="11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3"/>
      <c r="T367" s="13"/>
      <c r="U367" s="13"/>
      <c r="V367" s="13"/>
      <c r="W367" s="13"/>
      <c r="X367" s="13"/>
      <c r="Y367" s="13"/>
      <c r="Z367" s="13"/>
      <c r="AA367" s="13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3"/>
      <c r="AO367" s="13"/>
      <c r="AP367" s="13"/>
      <c r="AQ367" s="13"/>
      <c r="AR367" s="13"/>
      <c r="AS367" s="13"/>
      <c r="AT367" s="13"/>
      <c r="AU367" s="13"/>
      <c r="AV367" s="13"/>
      <c r="AW367" s="14"/>
      <c r="AX367" s="14"/>
      <c r="AY367" s="14"/>
      <c r="AZ367" s="14"/>
      <c r="BA367" s="14"/>
    </row>
    <row r="368">
      <c r="A368" s="11"/>
      <c r="B368" s="11"/>
      <c r="C368" s="11"/>
      <c r="D368" s="11"/>
      <c r="E368" s="11"/>
      <c r="F368" s="11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3"/>
      <c r="T368" s="13"/>
      <c r="U368" s="13"/>
      <c r="V368" s="13"/>
      <c r="W368" s="13"/>
      <c r="X368" s="13"/>
      <c r="Y368" s="13"/>
      <c r="Z368" s="13"/>
      <c r="AA368" s="13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3"/>
      <c r="AO368" s="13"/>
      <c r="AP368" s="13"/>
      <c r="AQ368" s="13"/>
      <c r="AR368" s="13"/>
      <c r="AS368" s="13"/>
      <c r="AT368" s="13"/>
      <c r="AU368" s="13"/>
      <c r="AV368" s="13"/>
      <c r="AW368" s="14"/>
      <c r="AX368" s="14"/>
      <c r="AY368" s="14"/>
      <c r="AZ368" s="14"/>
      <c r="BA368" s="14"/>
    </row>
    <row r="369">
      <c r="A369" s="11"/>
      <c r="B369" s="11"/>
      <c r="C369" s="11"/>
      <c r="D369" s="11"/>
      <c r="E369" s="11"/>
      <c r="F369" s="11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3"/>
      <c r="T369" s="13"/>
      <c r="U369" s="13"/>
      <c r="V369" s="13"/>
      <c r="W369" s="13"/>
      <c r="X369" s="13"/>
      <c r="Y369" s="13"/>
      <c r="Z369" s="13"/>
      <c r="AA369" s="13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3"/>
      <c r="AO369" s="13"/>
      <c r="AP369" s="13"/>
      <c r="AQ369" s="13"/>
      <c r="AR369" s="13"/>
      <c r="AS369" s="13"/>
      <c r="AT369" s="13"/>
      <c r="AU369" s="13"/>
      <c r="AV369" s="13"/>
      <c r="AW369" s="14"/>
      <c r="AX369" s="14"/>
      <c r="AY369" s="14"/>
      <c r="AZ369" s="14"/>
      <c r="BA369" s="14"/>
    </row>
    <row r="370">
      <c r="A370" s="11"/>
      <c r="B370" s="11"/>
      <c r="C370" s="11"/>
      <c r="D370" s="11"/>
      <c r="E370" s="11"/>
      <c r="F370" s="11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3"/>
      <c r="T370" s="13"/>
      <c r="U370" s="13"/>
      <c r="V370" s="13"/>
      <c r="W370" s="13"/>
      <c r="X370" s="13"/>
      <c r="Y370" s="13"/>
      <c r="Z370" s="13"/>
      <c r="AA370" s="13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3"/>
      <c r="AO370" s="13"/>
      <c r="AP370" s="13"/>
      <c r="AQ370" s="13"/>
      <c r="AR370" s="13"/>
      <c r="AS370" s="13"/>
      <c r="AT370" s="13"/>
      <c r="AU370" s="13"/>
      <c r="AV370" s="13"/>
      <c r="AW370" s="14"/>
      <c r="AX370" s="14"/>
      <c r="AY370" s="14"/>
      <c r="AZ370" s="14"/>
      <c r="BA370" s="14"/>
    </row>
    <row r="371">
      <c r="A371" s="11"/>
      <c r="B371" s="11"/>
      <c r="C371" s="11"/>
      <c r="D371" s="11"/>
      <c r="E371" s="11"/>
      <c r="F371" s="11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3"/>
      <c r="T371" s="13"/>
      <c r="U371" s="13"/>
      <c r="V371" s="13"/>
      <c r="W371" s="13"/>
      <c r="X371" s="13"/>
      <c r="Y371" s="13"/>
      <c r="Z371" s="13"/>
      <c r="AA371" s="13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3"/>
      <c r="AO371" s="13"/>
      <c r="AP371" s="13"/>
      <c r="AQ371" s="13"/>
      <c r="AR371" s="13"/>
      <c r="AS371" s="13"/>
      <c r="AT371" s="13"/>
      <c r="AU371" s="13"/>
      <c r="AV371" s="13"/>
      <c r="AW371" s="14"/>
      <c r="AX371" s="14"/>
      <c r="AY371" s="14"/>
      <c r="AZ371" s="14"/>
      <c r="BA371" s="14"/>
    </row>
    <row r="372">
      <c r="A372" s="11"/>
      <c r="B372" s="11"/>
      <c r="C372" s="11"/>
      <c r="D372" s="11"/>
      <c r="E372" s="11"/>
      <c r="F372" s="11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3"/>
      <c r="T372" s="13"/>
      <c r="U372" s="13"/>
      <c r="V372" s="13"/>
      <c r="W372" s="13"/>
      <c r="X372" s="13"/>
      <c r="Y372" s="13"/>
      <c r="Z372" s="13"/>
      <c r="AA372" s="13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3"/>
      <c r="AO372" s="13"/>
      <c r="AP372" s="13"/>
      <c r="AQ372" s="13"/>
      <c r="AR372" s="13"/>
      <c r="AS372" s="13"/>
      <c r="AT372" s="13"/>
      <c r="AU372" s="13"/>
      <c r="AV372" s="13"/>
      <c r="AW372" s="14"/>
      <c r="AX372" s="14"/>
      <c r="AY372" s="14"/>
      <c r="AZ372" s="14"/>
      <c r="BA372" s="14"/>
    </row>
    <row r="373">
      <c r="A373" s="11"/>
      <c r="B373" s="11"/>
      <c r="C373" s="11"/>
      <c r="D373" s="11"/>
      <c r="E373" s="11"/>
      <c r="F373" s="11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3"/>
      <c r="T373" s="13"/>
      <c r="U373" s="13"/>
      <c r="V373" s="13"/>
      <c r="W373" s="13"/>
      <c r="X373" s="13"/>
      <c r="Y373" s="13"/>
      <c r="Z373" s="13"/>
      <c r="AA373" s="13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3"/>
      <c r="AO373" s="13"/>
      <c r="AP373" s="13"/>
      <c r="AQ373" s="13"/>
      <c r="AR373" s="13"/>
      <c r="AS373" s="13"/>
      <c r="AT373" s="13"/>
      <c r="AU373" s="13"/>
      <c r="AV373" s="13"/>
      <c r="AW373" s="14"/>
      <c r="AX373" s="14"/>
      <c r="AY373" s="14"/>
      <c r="AZ373" s="14"/>
      <c r="BA373" s="14"/>
    </row>
    <row r="374">
      <c r="A374" s="11"/>
      <c r="B374" s="11"/>
      <c r="C374" s="11"/>
      <c r="D374" s="11"/>
      <c r="E374" s="11"/>
      <c r="F374" s="11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3"/>
      <c r="T374" s="13"/>
      <c r="U374" s="13"/>
      <c r="V374" s="13"/>
      <c r="W374" s="13"/>
      <c r="X374" s="13"/>
      <c r="Y374" s="13"/>
      <c r="Z374" s="13"/>
      <c r="AA374" s="13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3"/>
      <c r="AO374" s="13"/>
      <c r="AP374" s="13"/>
      <c r="AQ374" s="13"/>
      <c r="AR374" s="13"/>
      <c r="AS374" s="13"/>
      <c r="AT374" s="13"/>
      <c r="AU374" s="13"/>
      <c r="AV374" s="13"/>
      <c r="AW374" s="14"/>
      <c r="AX374" s="14"/>
      <c r="AY374" s="14"/>
      <c r="AZ374" s="14"/>
      <c r="BA374" s="14"/>
    </row>
    <row r="375">
      <c r="A375" s="11"/>
      <c r="B375" s="11"/>
      <c r="C375" s="11"/>
      <c r="D375" s="11"/>
      <c r="E375" s="11"/>
      <c r="F375" s="11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3"/>
      <c r="T375" s="13"/>
      <c r="U375" s="13"/>
      <c r="V375" s="13"/>
      <c r="W375" s="13"/>
      <c r="X375" s="13"/>
      <c r="Y375" s="13"/>
      <c r="Z375" s="13"/>
      <c r="AA375" s="13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3"/>
      <c r="AO375" s="13"/>
      <c r="AP375" s="13"/>
      <c r="AQ375" s="13"/>
      <c r="AR375" s="13"/>
      <c r="AS375" s="13"/>
      <c r="AT375" s="13"/>
      <c r="AU375" s="13"/>
      <c r="AV375" s="13"/>
      <c r="AW375" s="14"/>
      <c r="AX375" s="14"/>
      <c r="AY375" s="14"/>
      <c r="AZ375" s="14"/>
      <c r="BA375" s="14"/>
    </row>
    <row r="376">
      <c r="A376" s="11"/>
      <c r="B376" s="11"/>
      <c r="C376" s="11"/>
      <c r="D376" s="11"/>
      <c r="E376" s="11"/>
      <c r="F376" s="11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3"/>
      <c r="T376" s="13"/>
      <c r="U376" s="13"/>
      <c r="V376" s="13"/>
      <c r="W376" s="13"/>
      <c r="X376" s="13"/>
      <c r="Y376" s="13"/>
      <c r="Z376" s="13"/>
      <c r="AA376" s="13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3"/>
      <c r="AO376" s="13"/>
      <c r="AP376" s="13"/>
      <c r="AQ376" s="13"/>
      <c r="AR376" s="13"/>
      <c r="AS376" s="13"/>
      <c r="AT376" s="13"/>
      <c r="AU376" s="13"/>
      <c r="AV376" s="13"/>
      <c r="AW376" s="14"/>
      <c r="AX376" s="14"/>
      <c r="AY376" s="14"/>
      <c r="AZ376" s="14"/>
      <c r="BA376" s="14"/>
    </row>
    <row r="377">
      <c r="A377" s="11"/>
      <c r="B377" s="11"/>
      <c r="C377" s="11"/>
      <c r="D377" s="11"/>
      <c r="E377" s="11"/>
      <c r="F377" s="11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3"/>
      <c r="T377" s="13"/>
      <c r="U377" s="13"/>
      <c r="V377" s="13"/>
      <c r="W377" s="13"/>
      <c r="X377" s="13"/>
      <c r="Y377" s="13"/>
      <c r="Z377" s="13"/>
      <c r="AA377" s="13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3"/>
      <c r="AO377" s="13"/>
      <c r="AP377" s="13"/>
      <c r="AQ377" s="13"/>
      <c r="AR377" s="13"/>
      <c r="AS377" s="13"/>
      <c r="AT377" s="13"/>
      <c r="AU377" s="13"/>
      <c r="AV377" s="13"/>
      <c r="AW377" s="14"/>
      <c r="AX377" s="14"/>
      <c r="AY377" s="14"/>
      <c r="AZ377" s="14"/>
      <c r="BA377" s="14"/>
    </row>
    <row r="378">
      <c r="A378" s="11"/>
      <c r="B378" s="11"/>
      <c r="C378" s="11"/>
      <c r="D378" s="11"/>
      <c r="E378" s="11"/>
      <c r="F378" s="11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3"/>
      <c r="T378" s="13"/>
      <c r="U378" s="13"/>
      <c r="V378" s="13"/>
      <c r="W378" s="13"/>
      <c r="X378" s="13"/>
      <c r="Y378" s="13"/>
      <c r="Z378" s="13"/>
      <c r="AA378" s="13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3"/>
      <c r="AO378" s="13"/>
      <c r="AP378" s="13"/>
      <c r="AQ378" s="13"/>
      <c r="AR378" s="13"/>
      <c r="AS378" s="13"/>
      <c r="AT378" s="13"/>
      <c r="AU378" s="13"/>
      <c r="AV378" s="13"/>
      <c r="AW378" s="14"/>
      <c r="AX378" s="14"/>
      <c r="AY378" s="14"/>
      <c r="AZ378" s="14"/>
      <c r="BA378" s="14"/>
    </row>
    <row r="379">
      <c r="A379" s="11"/>
      <c r="B379" s="11"/>
      <c r="C379" s="11"/>
      <c r="D379" s="11"/>
      <c r="E379" s="11"/>
      <c r="F379" s="11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3"/>
      <c r="T379" s="13"/>
      <c r="U379" s="13"/>
      <c r="V379" s="13"/>
      <c r="W379" s="13"/>
      <c r="X379" s="13"/>
      <c r="Y379" s="13"/>
      <c r="Z379" s="13"/>
      <c r="AA379" s="13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3"/>
      <c r="AO379" s="13"/>
      <c r="AP379" s="13"/>
      <c r="AQ379" s="13"/>
      <c r="AR379" s="13"/>
      <c r="AS379" s="13"/>
      <c r="AT379" s="13"/>
      <c r="AU379" s="13"/>
      <c r="AV379" s="13"/>
      <c r="AW379" s="14"/>
      <c r="AX379" s="14"/>
      <c r="AY379" s="14"/>
      <c r="AZ379" s="14"/>
      <c r="BA379" s="14"/>
    </row>
    <row r="380">
      <c r="A380" s="11"/>
      <c r="B380" s="11"/>
      <c r="C380" s="11"/>
      <c r="D380" s="11"/>
      <c r="E380" s="11"/>
      <c r="F380" s="11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3"/>
      <c r="T380" s="13"/>
      <c r="U380" s="13"/>
      <c r="V380" s="13"/>
      <c r="W380" s="13"/>
      <c r="X380" s="13"/>
      <c r="Y380" s="13"/>
      <c r="Z380" s="13"/>
      <c r="AA380" s="13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3"/>
      <c r="AO380" s="13"/>
      <c r="AP380" s="13"/>
      <c r="AQ380" s="13"/>
      <c r="AR380" s="13"/>
      <c r="AS380" s="13"/>
      <c r="AT380" s="13"/>
      <c r="AU380" s="13"/>
      <c r="AV380" s="13"/>
      <c r="AW380" s="14"/>
      <c r="AX380" s="14"/>
      <c r="AY380" s="14"/>
      <c r="AZ380" s="14"/>
      <c r="BA380" s="14"/>
    </row>
    <row r="381">
      <c r="A381" s="11"/>
      <c r="B381" s="11"/>
      <c r="C381" s="11"/>
      <c r="D381" s="11"/>
      <c r="E381" s="11"/>
      <c r="F381" s="11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3"/>
      <c r="T381" s="13"/>
      <c r="U381" s="13"/>
      <c r="V381" s="13"/>
      <c r="W381" s="13"/>
      <c r="X381" s="13"/>
      <c r="Y381" s="13"/>
      <c r="Z381" s="13"/>
      <c r="AA381" s="13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3"/>
      <c r="AO381" s="13"/>
      <c r="AP381" s="13"/>
      <c r="AQ381" s="13"/>
      <c r="AR381" s="13"/>
      <c r="AS381" s="13"/>
      <c r="AT381" s="13"/>
      <c r="AU381" s="13"/>
      <c r="AV381" s="13"/>
      <c r="AW381" s="14"/>
      <c r="AX381" s="14"/>
      <c r="AY381" s="14"/>
      <c r="AZ381" s="14"/>
      <c r="BA381" s="14"/>
    </row>
    <row r="382">
      <c r="A382" s="11"/>
      <c r="B382" s="11"/>
      <c r="C382" s="11"/>
      <c r="D382" s="11"/>
      <c r="E382" s="11"/>
      <c r="F382" s="11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3"/>
      <c r="T382" s="13"/>
      <c r="U382" s="13"/>
      <c r="V382" s="13"/>
      <c r="W382" s="13"/>
      <c r="X382" s="13"/>
      <c r="Y382" s="13"/>
      <c r="Z382" s="13"/>
      <c r="AA382" s="13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3"/>
      <c r="AO382" s="13"/>
      <c r="AP382" s="13"/>
      <c r="AQ382" s="13"/>
      <c r="AR382" s="13"/>
      <c r="AS382" s="13"/>
      <c r="AT382" s="13"/>
      <c r="AU382" s="13"/>
      <c r="AV382" s="13"/>
      <c r="AW382" s="14"/>
      <c r="AX382" s="14"/>
      <c r="AY382" s="14"/>
      <c r="AZ382" s="14"/>
      <c r="BA382" s="14"/>
    </row>
    <row r="383">
      <c r="A383" s="11"/>
      <c r="B383" s="11"/>
      <c r="C383" s="11"/>
      <c r="D383" s="11"/>
      <c r="E383" s="11"/>
      <c r="F383" s="11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3"/>
      <c r="T383" s="13"/>
      <c r="U383" s="13"/>
      <c r="V383" s="13"/>
      <c r="W383" s="13"/>
      <c r="X383" s="13"/>
      <c r="Y383" s="13"/>
      <c r="Z383" s="13"/>
      <c r="AA383" s="13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3"/>
      <c r="AO383" s="13"/>
      <c r="AP383" s="13"/>
      <c r="AQ383" s="13"/>
      <c r="AR383" s="13"/>
      <c r="AS383" s="13"/>
      <c r="AT383" s="13"/>
      <c r="AU383" s="13"/>
      <c r="AV383" s="13"/>
      <c r="AW383" s="14"/>
      <c r="AX383" s="14"/>
      <c r="AY383" s="14"/>
      <c r="AZ383" s="14"/>
      <c r="BA383" s="14"/>
    </row>
    <row r="384">
      <c r="A384" s="11"/>
      <c r="B384" s="11"/>
      <c r="C384" s="11"/>
      <c r="D384" s="11"/>
      <c r="E384" s="11"/>
      <c r="F384" s="11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3"/>
      <c r="T384" s="13"/>
      <c r="U384" s="13"/>
      <c r="V384" s="13"/>
      <c r="W384" s="13"/>
      <c r="X384" s="13"/>
      <c r="Y384" s="13"/>
      <c r="Z384" s="13"/>
      <c r="AA384" s="13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3"/>
      <c r="AO384" s="13"/>
      <c r="AP384" s="13"/>
      <c r="AQ384" s="13"/>
      <c r="AR384" s="13"/>
      <c r="AS384" s="13"/>
      <c r="AT384" s="13"/>
      <c r="AU384" s="13"/>
      <c r="AV384" s="13"/>
      <c r="AW384" s="14"/>
      <c r="AX384" s="14"/>
      <c r="AY384" s="14"/>
      <c r="AZ384" s="14"/>
      <c r="BA384" s="14"/>
    </row>
    <row r="385">
      <c r="A385" s="11"/>
      <c r="B385" s="11"/>
      <c r="C385" s="11"/>
      <c r="D385" s="11"/>
      <c r="E385" s="11"/>
      <c r="F385" s="11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3"/>
      <c r="T385" s="13"/>
      <c r="U385" s="13"/>
      <c r="V385" s="13"/>
      <c r="W385" s="13"/>
      <c r="X385" s="13"/>
      <c r="Y385" s="13"/>
      <c r="Z385" s="13"/>
      <c r="AA385" s="13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3"/>
      <c r="AO385" s="13"/>
      <c r="AP385" s="13"/>
      <c r="AQ385" s="13"/>
      <c r="AR385" s="13"/>
      <c r="AS385" s="13"/>
      <c r="AT385" s="13"/>
      <c r="AU385" s="13"/>
      <c r="AV385" s="13"/>
      <c r="AW385" s="14"/>
      <c r="AX385" s="14"/>
      <c r="AY385" s="14"/>
      <c r="AZ385" s="14"/>
      <c r="BA385" s="14"/>
    </row>
    <row r="386">
      <c r="A386" s="11"/>
      <c r="B386" s="11"/>
      <c r="C386" s="11"/>
      <c r="D386" s="11"/>
      <c r="E386" s="11"/>
      <c r="F386" s="11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3"/>
      <c r="T386" s="13"/>
      <c r="U386" s="13"/>
      <c r="V386" s="13"/>
      <c r="W386" s="13"/>
      <c r="X386" s="13"/>
      <c r="Y386" s="13"/>
      <c r="Z386" s="13"/>
      <c r="AA386" s="13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3"/>
      <c r="AO386" s="13"/>
      <c r="AP386" s="13"/>
      <c r="AQ386" s="13"/>
      <c r="AR386" s="13"/>
      <c r="AS386" s="13"/>
      <c r="AT386" s="13"/>
      <c r="AU386" s="13"/>
      <c r="AV386" s="13"/>
      <c r="AW386" s="14"/>
      <c r="AX386" s="14"/>
      <c r="AY386" s="14"/>
      <c r="AZ386" s="14"/>
      <c r="BA386" s="14"/>
    </row>
    <row r="387">
      <c r="A387" s="11"/>
      <c r="B387" s="11"/>
      <c r="C387" s="11"/>
      <c r="D387" s="11"/>
      <c r="E387" s="11"/>
      <c r="F387" s="11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3"/>
      <c r="T387" s="13"/>
      <c r="U387" s="13"/>
      <c r="V387" s="13"/>
      <c r="W387" s="13"/>
      <c r="X387" s="13"/>
      <c r="Y387" s="13"/>
      <c r="Z387" s="13"/>
      <c r="AA387" s="13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3"/>
      <c r="AO387" s="13"/>
      <c r="AP387" s="13"/>
      <c r="AQ387" s="13"/>
      <c r="AR387" s="13"/>
      <c r="AS387" s="13"/>
      <c r="AT387" s="13"/>
      <c r="AU387" s="13"/>
      <c r="AV387" s="13"/>
      <c r="AW387" s="14"/>
      <c r="AX387" s="14"/>
      <c r="AY387" s="14"/>
      <c r="AZ387" s="14"/>
      <c r="BA387" s="14"/>
    </row>
    <row r="388">
      <c r="A388" s="11"/>
      <c r="B388" s="11"/>
      <c r="C388" s="11"/>
      <c r="D388" s="11"/>
      <c r="E388" s="11"/>
      <c r="F388" s="11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3"/>
      <c r="T388" s="13"/>
      <c r="U388" s="13"/>
      <c r="V388" s="13"/>
      <c r="W388" s="13"/>
      <c r="X388" s="13"/>
      <c r="Y388" s="13"/>
      <c r="Z388" s="13"/>
      <c r="AA388" s="13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3"/>
      <c r="AO388" s="13"/>
      <c r="AP388" s="13"/>
      <c r="AQ388" s="13"/>
      <c r="AR388" s="13"/>
      <c r="AS388" s="13"/>
      <c r="AT388" s="13"/>
      <c r="AU388" s="13"/>
      <c r="AV388" s="13"/>
      <c r="AW388" s="14"/>
      <c r="AX388" s="14"/>
      <c r="AY388" s="14"/>
      <c r="AZ388" s="14"/>
      <c r="BA388" s="14"/>
    </row>
    <row r="389">
      <c r="A389" s="11"/>
      <c r="B389" s="11"/>
      <c r="C389" s="11"/>
      <c r="D389" s="11"/>
      <c r="E389" s="11"/>
      <c r="F389" s="11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3"/>
      <c r="T389" s="13"/>
      <c r="U389" s="13"/>
      <c r="V389" s="13"/>
      <c r="W389" s="13"/>
      <c r="X389" s="13"/>
      <c r="Y389" s="13"/>
      <c r="Z389" s="13"/>
      <c r="AA389" s="13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3"/>
      <c r="AO389" s="13"/>
      <c r="AP389" s="13"/>
      <c r="AQ389" s="13"/>
      <c r="AR389" s="13"/>
      <c r="AS389" s="13"/>
      <c r="AT389" s="13"/>
      <c r="AU389" s="13"/>
      <c r="AV389" s="13"/>
      <c r="AW389" s="14"/>
      <c r="AX389" s="14"/>
      <c r="AY389" s="14"/>
      <c r="AZ389" s="14"/>
      <c r="BA389" s="14"/>
    </row>
    <row r="390">
      <c r="A390" s="11"/>
      <c r="B390" s="11"/>
      <c r="C390" s="11"/>
      <c r="D390" s="11"/>
      <c r="E390" s="11"/>
      <c r="F390" s="11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3"/>
      <c r="T390" s="13"/>
      <c r="U390" s="13"/>
      <c r="V390" s="13"/>
      <c r="W390" s="13"/>
      <c r="X390" s="13"/>
      <c r="Y390" s="13"/>
      <c r="Z390" s="13"/>
      <c r="AA390" s="13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3"/>
      <c r="AO390" s="13"/>
      <c r="AP390" s="13"/>
      <c r="AQ390" s="13"/>
      <c r="AR390" s="13"/>
      <c r="AS390" s="13"/>
      <c r="AT390" s="13"/>
      <c r="AU390" s="13"/>
      <c r="AV390" s="13"/>
      <c r="AW390" s="14"/>
      <c r="AX390" s="14"/>
      <c r="AY390" s="14"/>
      <c r="AZ390" s="14"/>
      <c r="BA390" s="14"/>
    </row>
    <row r="391">
      <c r="A391" s="11"/>
      <c r="B391" s="11"/>
      <c r="C391" s="11"/>
      <c r="D391" s="11"/>
      <c r="E391" s="11"/>
      <c r="F391" s="11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3"/>
      <c r="T391" s="13"/>
      <c r="U391" s="13"/>
      <c r="V391" s="13"/>
      <c r="W391" s="13"/>
      <c r="X391" s="13"/>
      <c r="Y391" s="13"/>
      <c r="Z391" s="13"/>
      <c r="AA391" s="13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3"/>
      <c r="AO391" s="13"/>
      <c r="AP391" s="13"/>
      <c r="AQ391" s="13"/>
      <c r="AR391" s="13"/>
      <c r="AS391" s="13"/>
      <c r="AT391" s="13"/>
      <c r="AU391" s="13"/>
      <c r="AV391" s="13"/>
      <c r="AW391" s="14"/>
      <c r="AX391" s="14"/>
      <c r="AY391" s="14"/>
      <c r="AZ391" s="14"/>
      <c r="BA391" s="14"/>
    </row>
    <row r="392">
      <c r="A392" s="11"/>
      <c r="B392" s="11"/>
      <c r="C392" s="11"/>
      <c r="D392" s="11"/>
      <c r="E392" s="11"/>
      <c r="F392" s="11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3"/>
      <c r="T392" s="13"/>
      <c r="U392" s="13"/>
      <c r="V392" s="13"/>
      <c r="W392" s="13"/>
      <c r="X392" s="13"/>
      <c r="Y392" s="13"/>
      <c r="Z392" s="13"/>
      <c r="AA392" s="13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3"/>
      <c r="AO392" s="13"/>
      <c r="AP392" s="13"/>
      <c r="AQ392" s="13"/>
      <c r="AR392" s="13"/>
      <c r="AS392" s="13"/>
      <c r="AT392" s="13"/>
      <c r="AU392" s="13"/>
      <c r="AV392" s="13"/>
      <c r="AW392" s="14"/>
      <c r="AX392" s="14"/>
      <c r="AY392" s="14"/>
      <c r="AZ392" s="14"/>
      <c r="BA392" s="14"/>
    </row>
    <row r="393">
      <c r="A393" s="11"/>
      <c r="B393" s="11"/>
      <c r="C393" s="11"/>
      <c r="D393" s="11"/>
      <c r="E393" s="11"/>
      <c r="F393" s="11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3"/>
      <c r="T393" s="13"/>
      <c r="U393" s="13"/>
      <c r="V393" s="13"/>
      <c r="W393" s="13"/>
      <c r="X393" s="13"/>
      <c r="Y393" s="13"/>
      <c r="Z393" s="13"/>
      <c r="AA393" s="13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3"/>
      <c r="AO393" s="13"/>
      <c r="AP393" s="13"/>
      <c r="AQ393" s="13"/>
      <c r="AR393" s="13"/>
      <c r="AS393" s="13"/>
      <c r="AT393" s="13"/>
      <c r="AU393" s="13"/>
      <c r="AV393" s="13"/>
      <c r="AW393" s="14"/>
      <c r="AX393" s="14"/>
      <c r="AY393" s="14"/>
      <c r="AZ393" s="14"/>
      <c r="BA393" s="14"/>
    </row>
    <row r="394">
      <c r="A394" s="11"/>
      <c r="B394" s="11"/>
      <c r="C394" s="11"/>
      <c r="D394" s="11"/>
      <c r="E394" s="11"/>
      <c r="F394" s="11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3"/>
      <c r="T394" s="13"/>
      <c r="U394" s="13"/>
      <c r="V394" s="13"/>
      <c r="W394" s="13"/>
      <c r="X394" s="13"/>
      <c r="Y394" s="13"/>
      <c r="Z394" s="13"/>
      <c r="AA394" s="13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3"/>
      <c r="AO394" s="13"/>
      <c r="AP394" s="13"/>
      <c r="AQ394" s="13"/>
      <c r="AR394" s="13"/>
      <c r="AS394" s="13"/>
      <c r="AT394" s="13"/>
      <c r="AU394" s="13"/>
      <c r="AV394" s="13"/>
      <c r="AW394" s="14"/>
      <c r="AX394" s="14"/>
      <c r="AY394" s="14"/>
      <c r="AZ394" s="14"/>
      <c r="BA394" s="14"/>
    </row>
    <row r="395">
      <c r="A395" s="11"/>
      <c r="B395" s="11"/>
      <c r="C395" s="11"/>
      <c r="D395" s="11"/>
      <c r="E395" s="11"/>
      <c r="F395" s="11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3"/>
      <c r="T395" s="13"/>
      <c r="U395" s="13"/>
      <c r="V395" s="13"/>
      <c r="W395" s="13"/>
      <c r="X395" s="13"/>
      <c r="Y395" s="13"/>
      <c r="Z395" s="13"/>
      <c r="AA395" s="13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3"/>
      <c r="AO395" s="13"/>
      <c r="AP395" s="13"/>
      <c r="AQ395" s="13"/>
      <c r="AR395" s="13"/>
      <c r="AS395" s="13"/>
      <c r="AT395" s="13"/>
      <c r="AU395" s="13"/>
      <c r="AV395" s="13"/>
      <c r="AW395" s="14"/>
      <c r="AX395" s="14"/>
      <c r="AY395" s="14"/>
      <c r="AZ395" s="14"/>
      <c r="BA395" s="14"/>
    </row>
    <row r="396">
      <c r="A396" s="11"/>
      <c r="B396" s="11"/>
      <c r="C396" s="11"/>
      <c r="D396" s="11"/>
      <c r="E396" s="11"/>
      <c r="F396" s="11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3"/>
      <c r="T396" s="13"/>
      <c r="U396" s="13"/>
      <c r="V396" s="13"/>
      <c r="W396" s="13"/>
      <c r="X396" s="13"/>
      <c r="Y396" s="13"/>
      <c r="Z396" s="13"/>
      <c r="AA396" s="13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3"/>
      <c r="AO396" s="13"/>
      <c r="AP396" s="13"/>
      <c r="AQ396" s="13"/>
      <c r="AR396" s="13"/>
      <c r="AS396" s="13"/>
      <c r="AT396" s="13"/>
      <c r="AU396" s="13"/>
      <c r="AV396" s="13"/>
      <c r="AW396" s="14"/>
      <c r="AX396" s="14"/>
      <c r="AY396" s="14"/>
      <c r="AZ396" s="14"/>
      <c r="BA396" s="14"/>
    </row>
    <row r="397">
      <c r="A397" s="11"/>
      <c r="B397" s="11"/>
      <c r="C397" s="11"/>
      <c r="D397" s="11"/>
      <c r="E397" s="11"/>
      <c r="F397" s="11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3"/>
      <c r="T397" s="13"/>
      <c r="U397" s="13"/>
      <c r="V397" s="13"/>
      <c r="W397" s="13"/>
      <c r="X397" s="13"/>
      <c r="Y397" s="13"/>
      <c r="Z397" s="13"/>
      <c r="AA397" s="13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3"/>
      <c r="AO397" s="13"/>
      <c r="AP397" s="13"/>
      <c r="AQ397" s="13"/>
      <c r="AR397" s="13"/>
      <c r="AS397" s="13"/>
      <c r="AT397" s="13"/>
      <c r="AU397" s="13"/>
      <c r="AV397" s="13"/>
      <c r="AW397" s="14"/>
      <c r="AX397" s="14"/>
      <c r="AY397" s="14"/>
      <c r="AZ397" s="14"/>
      <c r="BA397" s="14"/>
    </row>
    <row r="398">
      <c r="A398" s="11"/>
      <c r="B398" s="11"/>
      <c r="C398" s="11"/>
      <c r="D398" s="11"/>
      <c r="E398" s="11"/>
      <c r="F398" s="11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3"/>
      <c r="T398" s="13"/>
      <c r="U398" s="13"/>
      <c r="V398" s="13"/>
      <c r="W398" s="13"/>
      <c r="X398" s="13"/>
      <c r="Y398" s="13"/>
      <c r="Z398" s="13"/>
      <c r="AA398" s="13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3"/>
      <c r="AO398" s="13"/>
      <c r="AP398" s="13"/>
      <c r="AQ398" s="13"/>
      <c r="AR398" s="13"/>
      <c r="AS398" s="13"/>
      <c r="AT398" s="13"/>
      <c r="AU398" s="13"/>
      <c r="AV398" s="13"/>
      <c r="AW398" s="14"/>
      <c r="AX398" s="14"/>
      <c r="AY398" s="14"/>
      <c r="AZ398" s="14"/>
      <c r="BA398" s="14"/>
    </row>
    <row r="399">
      <c r="A399" s="11"/>
      <c r="B399" s="11"/>
      <c r="C399" s="11"/>
      <c r="D399" s="11"/>
      <c r="E399" s="11"/>
      <c r="F399" s="11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3"/>
      <c r="T399" s="13"/>
      <c r="U399" s="13"/>
      <c r="V399" s="13"/>
      <c r="W399" s="13"/>
      <c r="X399" s="13"/>
      <c r="Y399" s="13"/>
      <c r="Z399" s="13"/>
      <c r="AA399" s="13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3"/>
      <c r="AO399" s="13"/>
      <c r="AP399" s="13"/>
      <c r="AQ399" s="13"/>
      <c r="AR399" s="13"/>
      <c r="AS399" s="13"/>
      <c r="AT399" s="13"/>
      <c r="AU399" s="13"/>
      <c r="AV399" s="13"/>
      <c r="AW399" s="14"/>
      <c r="AX399" s="14"/>
      <c r="AY399" s="14"/>
      <c r="AZ399" s="14"/>
      <c r="BA399" s="14"/>
    </row>
    <row r="400">
      <c r="A400" s="11"/>
      <c r="B400" s="11"/>
      <c r="C400" s="11"/>
      <c r="D400" s="11"/>
      <c r="E400" s="11"/>
      <c r="F400" s="11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3"/>
      <c r="T400" s="13"/>
      <c r="U400" s="13"/>
      <c r="V400" s="13"/>
      <c r="W400" s="13"/>
      <c r="X400" s="13"/>
      <c r="Y400" s="13"/>
      <c r="Z400" s="13"/>
      <c r="AA400" s="13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3"/>
      <c r="AO400" s="13"/>
      <c r="AP400" s="13"/>
      <c r="AQ400" s="13"/>
      <c r="AR400" s="13"/>
      <c r="AS400" s="13"/>
      <c r="AT400" s="13"/>
      <c r="AU400" s="13"/>
      <c r="AV400" s="13"/>
      <c r="AW400" s="14"/>
      <c r="AX400" s="14"/>
      <c r="AY400" s="14"/>
      <c r="AZ400" s="14"/>
      <c r="BA400" s="14"/>
    </row>
    <row r="401">
      <c r="A401" s="11"/>
      <c r="B401" s="11"/>
      <c r="C401" s="11"/>
      <c r="D401" s="11"/>
      <c r="E401" s="11"/>
      <c r="F401" s="11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3"/>
      <c r="T401" s="13"/>
      <c r="U401" s="13"/>
      <c r="V401" s="13"/>
      <c r="W401" s="13"/>
      <c r="X401" s="13"/>
      <c r="Y401" s="13"/>
      <c r="Z401" s="13"/>
      <c r="AA401" s="13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3"/>
      <c r="AO401" s="13"/>
      <c r="AP401" s="13"/>
      <c r="AQ401" s="13"/>
      <c r="AR401" s="13"/>
      <c r="AS401" s="13"/>
      <c r="AT401" s="13"/>
      <c r="AU401" s="13"/>
      <c r="AV401" s="13"/>
      <c r="AW401" s="14"/>
      <c r="AX401" s="14"/>
      <c r="AY401" s="14"/>
      <c r="AZ401" s="14"/>
      <c r="BA401" s="14"/>
    </row>
    <row r="402">
      <c r="A402" s="11"/>
      <c r="B402" s="11"/>
      <c r="C402" s="11"/>
      <c r="D402" s="11"/>
      <c r="E402" s="11"/>
      <c r="F402" s="11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3"/>
      <c r="T402" s="13"/>
      <c r="U402" s="13"/>
      <c r="V402" s="13"/>
      <c r="W402" s="13"/>
      <c r="X402" s="13"/>
      <c r="Y402" s="13"/>
      <c r="Z402" s="13"/>
      <c r="AA402" s="13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3"/>
      <c r="AO402" s="13"/>
      <c r="AP402" s="13"/>
      <c r="AQ402" s="13"/>
      <c r="AR402" s="13"/>
      <c r="AS402" s="13"/>
      <c r="AT402" s="13"/>
      <c r="AU402" s="13"/>
      <c r="AV402" s="13"/>
      <c r="AW402" s="14"/>
      <c r="AX402" s="14"/>
      <c r="AY402" s="14"/>
      <c r="AZ402" s="14"/>
      <c r="BA402" s="14"/>
    </row>
    <row r="403">
      <c r="A403" s="11"/>
      <c r="B403" s="11"/>
      <c r="C403" s="11"/>
      <c r="D403" s="11"/>
      <c r="E403" s="11"/>
      <c r="F403" s="11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3"/>
      <c r="T403" s="13"/>
      <c r="U403" s="13"/>
      <c r="V403" s="13"/>
      <c r="W403" s="13"/>
      <c r="X403" s="13"/>
      <c r="Y403" s="13"/>
      <c r="Z403" s="13"/>
      <c r="AA403" s="13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3"/>
      <c r="AO403" s="13"/>
      <c r="AP403" s="13"/>
      <c r="AQ403" s="13"/>
      <c r="AR403" s="13"/>
      <c r="AS403" s="13"/>
      <c r="AT403" s="13"/>
      <c r="AU403" s="13"/>
      <c r="AV403" s="13"/>
      <c r="AW403" s="14"/>
      <c r="AX403" s="14"/>
      <c r="AY403" s="14"/>
      <c r="AZ403" s="14"/>
      <c r="BA403" s="14"/>
    </row>
    <row r="404">
      <c r="A404" s="11"/>
      <c r="B404" s="11"/>
      <c r="C404" s="11"/>
      <c r="D404" s="11"/>
      <c r="E404" s="11"/>
      <c r="F404" s="11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3"/>
      <c r="T404" s="13"/>
      <c r="U404" s="13"/>
      <c r="V404" s="13"/>
      <c r="W404" s="13"/>
      <c r="X404" s="13"/>
      <c r="Y404" s="13"/>
      <c r="Z404" s="13"/>
      <c r="AA404" s="13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3"/>
      <c r="AO404" s="13"/>
      <c r="AP404" s="13"/>
      <c r="AQ404" s="13"/>
      <c r="AR404" s="13"/>
      <c r="AS404" s="13"/>
      <c r="AT404" s="13"/>
      <c r="AU404" s="13"/>
      <c r="AV404" s="13"/>
      <c r="AW404" s="14"/>
      <c r="AX404" s="14"/>
      <c r="AY404" s="14"/>
      <c r="AZ404" s="14"/>
      <c r="BA404" s="14"/>
    </row>
    <row r="405">
      <c r="A405" s="11"/>
      <c r="B405" s="11"/>
      <c r="C405" s="11"/>
      <c r="D405" s="11"/>
      <c r="E405" s="11"/>
      <c r="F405" s="11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3"/>
      <c r="T405" s="13"/>
      <c r="U405" s="13"/>
      <c r="V405" s="13"/>
      <c r="W405" s="13"/>
      <c r="X405" s="13"/>
      <c r="Y405" s="13"/>
      <c r="Z405" s="13"/>
      <c r="AA405" s="13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3"/>
      <c r="AO405" s="13"/>
      <c r="AP405" s="13"/>
      <c r="AQ405" s="13"/>
      <c r="AR405" s="13"/>
      <c r="AS405" s="13"/>
      <c r="AT405" s="13"/>
      <c r="AU405" s="13"/>
      <c r="AV405" s="13"/>
      <c r="AW405" s="14"/>
      <c r="AX405" s="14"/>
      <c r="AY405" s="14"/>
      <c r="AZ405" s="14"/>
      <c r="BA405" s="14"/>
    </row>
    <row r="406">
      <c r="A406" s="11"/>
      <c r="B406" s="11"/>
      <c r="C406" s="11"/>
      <c r="D406" s="11"/>
      <c r="E406" s="11"/>
      <c r="F406" s="11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3"/>
      <c r="T406" s="13"/>
      <c r="U406" s="13"/>
      <c r="V406" s="13"/>
      <c r="W406" s="13"/>
      <c r="X406" s="13"/>
      <c r="Y406" s="13"/>
      <c r="Z406" s="13"/>
      <c r="AA406" s="13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3"/>
      <c r="AO406" s="13"/>
      <c r="AP406" s="13"/>
      <c r="AQ406" s="13"/>
      <c r="AR406" s="13"/>
      <c r="AS406" s="13"/>
      <c r="AT406" s="13"/>
      <c r="AU406" s="13"/>
      <c r="AV406" s="13"/>
      <c r="AW406" s="14"/>
      <c r="AX406" s="14"/>
      <c r="AY406" s="14"/>
      <c r="AZ406" s="14"/>
      <c r="BA406" s="14"/>
    </row>
    <row r="407">
      <c r="A407" s="11"/>
      <c r="B407" s="11"/>
      <c r="C407" s="11"/>
      <c r="D407" s="11"/>
      <c r="E407" s="11"/>
      <c r="F407" s="11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3"/>
      <c r="T407" s="13"/>
      <c r="U407" s="13"/>
      <c r="V407" s="13"/>
      <c r="W407" s="13"/>
      <c r="X407" s="13"/>
      <c r="Y407" s="13"/>
      <c r="Z407" s="13"/>
      <c r="AA407" s="13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3"/>
      <c r="AO407" s="13"/>
      <c r="AP407" s="13"/>
      <c r="AQ407" s="13"/>
      <c r="AR407" s="13"/>
      <c r="AS407" s="13"/>
      <c r="AT407" s="13"/>
      <c r="AU407" s="13"/>
      <c r="AV407" s="13"/>
      <c r="AW407" s="14"/>
      <c r="AX407" s="14"/>
      <c r="AY407" s="14"/>
      <c r="AZ407" s="14"/>
      <c r="BA407" s="14"/>
    </row>
    <row r="408">
      <c r="A408" s="11"/>
      <c r="B408" s="11"/>
      <c r="C408" s="11"/>
      <c r="D408" s="11"/>
      <c r="E408" s="11"/>
      <c r="F408" s="11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3"/>
      <c r="T408" s="13"/>
      <c r="U408" s="13"/>
      <c r="V408" s="13"/>
      <c r="W408" s="13"/>
      <c r="X408" s="13"/>
      <c r="Y408" s="13"/>
      <c r="Z408" s="13"/>
      <c r="AA408" s="13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3"/>
      <c r="AO408" s="13"/>
      <c r="AP408" s="13"/>
      <c r="AQ408" s="13"/>
      <c r="AR408" s="13"/>
      <c r="AS408" s="13"/>
      <c r="AT408" s="13"/>
      <c r="AU408" s="13"/>
      <c r="AV408" s="13"/>
      <c r="AW408" s="14"/>
      <c r="AX408" s="14"/>
      <c r="AY408" s="14"/>
      <c r="AZ408" s="14"/>
      <c r="BA408" s="14"/>
    </row>
    <row r="409">
      <c r="A409" s="11"/>
      <c r="B409" s="11"/>
      <c r="C409" s="11"/>
      <c r="D409" s="11"/>
      <c r="E409" s="11"/>
      <c r="F409" s="11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3"/>
      <c r="T409" s="13"/>
      <c r="U409" s="13"/>
      <c r="V409" s="13"/>
      <c r="W409" s="13"/>
      <c r="X409" s="13"/>
      <c r="Y409" s="13"/>
      <c r="Z409" s="13"/>
      <c r="AA409" s="13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3"/>
      <c r="AO409" s="13"/>
      <c r="AP409" s="13"/>
      <c r="AQ409" s="13"/>
      <c r="AR409" s="13"/>
      <c r="AS409" s="13"/>
      <c r="AT409" s="13"/>
      <c r="AU409" s="13"/>
      <c r="AV409" s="13"/>
      <c r="AW409" s="14"/>
      <c r="AX409" s="14"/>
      <c r="AY409" s="14"/>
      <c r="AZ409" s="14"/>
      <c r="BA409" s="14"/>
    </row>
    <row r="410">
      <c r="A410" s="11"/>
      <c r="B410" s="11"/>
      <c r="C410" s="11"/>
      <c r="D410" s="11"/>
      <c r="E410" s="11"/>
      <c r="F410" s="11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3"/>
      <c r="T410" s="13"/>
      <c r="U410" s="13"/>
      <c r="V410" s="13"/>
      <c r="W410" s="13"/>
      <c r="X410" s="13"/>
      <c r="Y410" s="13"/>
      <c r="Z410" s="13"/>
      <c r="AA410" s="13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3"/>
      <c r="AO410" s="13"/>
      <c r="AP410" s="13"/>
      <c r="AQ410" s="13"/>
      <c r="AR410" s="13"/>
      <c r="AS410" s="13"/>
      <c r="AT410" s="13"/>
      <c r="AU410" s="13"/>
      <c r="AV410" s="13"/>
      <c r="AW410" s="14"/>
      <c r="AX410" s="14"/>
      <c r="AY410" s="14"/>
      <c r="AZ410" s="14"/>
      <c r="BA410" s="14"/>
    </row>
    <row r="411">
      <c r="A411" s="11"/>
      <c r="B411" s="11"/>
      <c r="C411" s="11"/>
      <c r="D411" s="11"/>
      <c r="E411" s="11"/>
      <c r="F411" s="11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3"/>
      <c r="T411" s="13"/>
      <c r="U411" s="13"/>
      <c r="V411" s="13"/>
      <c r="W411" s="13"/>
      <c r="X411" s="13"/>
      <c r="Y411" s="13"/>
      <c r="Z411" s="13"/>
      <c r="AA411" s="13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3"/>
      <c r="AO411" s="13"/>
      <c r="AP411" s="13"/>
      <c r="AQ411" s="13"/>
      <c r="AR411" s="13"/>
      <c r="AS411" s="13"/>
      <c r="AT411" s="13"/>
      <c r="AU411" s="13"/>
      <c r="AV411" s="13"/>
      <c r="AW411" s="14"/>
      <c r="AX411" s="14"/>
      <c r="AY411" s="14"/>
      <c r="AZ411" s="14"/>
      <c r="BA411" s="14"/>
    </row>
    <row r="412">
      <c r="A412" s="11"/>
      <c r="B412" s="11"/>
      <c r="C412" s="11"/>
      <c r="D412" s="11"/>
      <c r="E412" s="11"/>
      <c r="F412" s="11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3"/>
      <c r="T412" s="13"/>
      <c r="U412" s="13"/>
      <c r="V412" s="13"/>
      <c r="W412" s="13"/>
      <c r="X412" s="13"/>
      <c r="Y412" s="13"/>
      <c r="Z412" s="13"/>
      <c r="AA412" s="13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3"/>
      <c r="AO412" s="13"/>
      <c r="AP412" s="13"/>
      <c r="AQ412" s="13"/>
      <c r="AR412" s="13"/>
      <c r="AS412" s="13"/>
      <c r="AT412" s="13"/>
      <c r="AU412" s="13"/>
      <c r="AV412" s="13"/>
      <c r="AW412" s="14"/>
      <c r="AX412" s="14"/>
      <c r="AY412" s="14"/>
      <c r="AZ412" s="14"/>
      <c r="BA412" s="14"/>
    </row>
    <row r="413">
      <c r="A413" s="11"/>
      <c r="B413" s="11"/>
      <c r="C413" s="11"/>
      <c r="D413" s="11"/>
      <c r="E413" s="11"/>
      <c r="F413" s="11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3"/>
      <c r="T413" s="13"/>
      <c r="U413" s="13"/>
      <c r="V413" s="13"/>
      <c r="W413" s="13"/>
      <c r="X413" s="13"/>
      <c r="Y413" s="13"/>
      <c r="Z413" s="13"/>
      <c r="AA413" s="13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3"/>
      <c r="AO413" s="13"/>
      <c r="AP413" s="13"/>
      <c r="AQ413" s="13"/>
      <c r="AR413" s="13"/>
      <c r="AS413" s="13"/>
      <c r="AT413" s="13"/>
      <c r="AU413" s="13"/>
      <c r="AV413" s="13"/>
      <c r="AW413" s="14"/>
      <c r="AX413" s="14"/>
      <c r="AY413" s="14"/>
      <c r="AZ413" s="14"/>
      <c r="BA413" s="14"/>
    </row>
    <row r="414">
      <c r="A414" s="11"/>
      <c r="B414" s="11"/>
      <c r="C414" s="11"/>
      <c r="D414" s="11"/>
      <c r="E414" s="11"/>
      <c r="F414" s="11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3"/>
      <c r="T414" s="13"/>
      <c r="U414" s="13"/>
      <c r="V414" s="13"/>
      <c r="W414" s="13"/>
      <c r="X414" s="13"/>
      <c r="Y414" s="13"/>
      <c r="Z414" s="13"/>
      <c r="AA414" s="13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3"/>
      <c r="AO414" s="13"/>
      <c r="AP414" s="13"/>
      <c r="AQ414" s="13"/>
      <c r="AR414" s="13"/>
      <c r="AS414" s="13"/>
      <c r="AT414" s="13"/>
      <c r="AU414" s="13"/>
      <c r="AV414" s="13"/>
      <c r="AW414" s="14"/>
      <c r="AX414" s="14"/>
      <c r="AY414" s="14"/>
      <c r="AZ414" s="14"/>
      <c r="BA414" s="14"/>
    </row>
    <row r="415">
      <c r="A415" s="11"/>
      <c r="B415" s="11"/>
      <c r="C415" s="11"/>
      <c r="D415" s="11"/>
      <c r="E415" s="11"/>
      <c r="F415" s="11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3"/>
      <c r="T415" s="13"/>
      <c r="U415" s="13"/>
      <c r="V415" s="13"/>
      <c r="W415" s="13"/>
      <c r="X415" s="13"/>
      <c r="Y415" s="13"/>
      <c r="Z415" s="13"/>
      <c r="AA415" s="13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3"/>
      <c r="AO415" s="13"/>
      <c r="AP415" s="13"/>
      <c r="AQ415" s="13"/>
      <c r="AR415" s="13"/>
      <c r="AS415" s="13"/>
      <c r="AT415" s="13"/>
      <c r="AU415" s="13"/>
      <c r="AV415" s="13"/>
      <c r="AW415" s="14"/>
      <c r="AX415" s="14"/>
      <c r="AY415" s="14"/>
      <c r="AZ415" s="14"/>
      <c r="BA415" s="14"/>
    </row>
    <row r="416">
      <c r="A416" s="11"/>
      <c r="B416" s="11"/>
      <c r="C416" s="11"/>
      <c r="D416" s="11"/>
      <c r="E416" s="11"/>
      <c r="F416" s="11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3"/>
      <c r="T416" s="13"/>
      <c r="U416" s="13"/>
      <c r="V416" s="13"/>
      <c r="W416" s="13"/>
      <c r="X416" s="13"/>
      <c r="Y416" s="13"/>
      <c r="Z416" s="13"/>
      <c r="AA416" s="13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3"/>
      <c r="AO416" s="13"/>
      <c r="AP416" s="13"/>
      <c r="AQ416" s="13"/>
      <c r="AR416" s="13"/>
      <c r="AS416" s="13"/>
      <c r="AT416" s="13"/>
      <c r="AU416" s="13"/>
      <c r="AV416" s="13"/>
      <c r="AW416" s="14"/>
      <c r="AX416" s="14"/>
      <c r="AY416" s="14"/>
      <c r="AZ416" s="14"/>
      <c r="BA416" s="14"/>
    </row>
    <row r="417">
      <c r="A417" s="11"/>
      <c r="B417" s="11"/>
      <c r="C417" s="11"/>
      <c r="D417" s="11"/>
      <c r="E417" s="11"/>
      <c r="F417" s="11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3"/>
      <c r="T417" s="13"/>
      <c r="U417" s="13"/>
      <c r="V417" s="13"/>
      <c r="W417" s="13"/>
      <c r="X417" s="13"/>
      <c r="Y417" s="13"/>
      <c r="Z417" s="13"/>
      <c r="AA417" s="13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3"/>
      <c r="AO417" s="13"/>
      <c r="AP417" s="13"/>
      <c r="AQ417" s="13"/>
      <c r="AR417" s="13"/>
      <c r="AS417" s="13"/>
      <c r="AT417" s="13"/>
      <c r="AU417" s="13"/>
      <c r="AV417" s="13"/>
      <c r="AW417" s="14"/>
      <c r="AX417" s="14"/>
      <c r="AY417" s="14"/>
      <c r="AZ417" s="14"/>
      <c r="BA417" s="14"/>
    </row>
    <row r="418">
      <c r="A418" s="11"/>
      <c r="B418" s="11"/>
      <c r="C418" s="11"/>
      <c r="D418" s="11"/>
      <c r="E418" s="11"/>
      <c r="F418" s="11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3"/>
      <c r="T418" s="13"/>
      <c r="U418" s="13"/>
      <c r="V418" s="13"/>
      <c r="W418" s="13"/>
      <c r="X418" s="13"/>
      <c r="Y418" s="13"/>
      <c r="Z418" s="13"/>
      <c r="AA418" s="13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3"/>
      <c r="AO418" s="13"/>
      <c r="AP418" s="13"/>
      <c r="AQ418" s="13"/>
      <c r="AR418" s="13"/>
      <c r="AS418" s="13"/>
      <c r="AT418" s="13"/>
      <c r="AU418" s="13"/>
      <c r="AV418" s="13"/>
      <c r="AW418" s="14"/>
      <c r="AX418" s="14"/>
      <c r="AY418" s="14"/>
      <c r="AZ418" s="14"/>
      <c r="BA418" s="14"/>
    </row>
    <row r="419">
      <c r="A419" s="11"/>
      <c r="B419" s="11"/>
      <c r="C419" s="11"/>
      <c r="D419" s="11"/>
      <c r="E419" s="11"/>
      <c r="F419" s="11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3"/>
      <c r="T419" s="13"/>
      <c r="U419" s="13"/>
      <c r="V419" s="13"/>
      <c r="W419" s="13"/>
      <c r="X419" s="13"/>
      <c r="Y419" s="13"/>
      <c r="Z419" s="13"/>
      <c r="AA419" s="13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3"/>
      <c r="AO419" s="13"/>
      <c r="AP419" s="13"/>
      <c r="AQ419" s="13"/>
      <c r="AR419" s="13"/>
      <c r="AS419" s="13"/>
      <c r="AT419" s="13"/>
      <c r="AU419" s="13"/>
      <c r="AV419" s="13"/>
      <c r="AW419" s="14"/>
      <c r="AX419" s="14"/>
      <c r="AY419" s="14"/>
      <c r="AZ419" s="14"/>
      <c r="BA419" s="14"/>
    </row>
    <row r="420">
      <c r="A420" s="11"/>
      <c r="B420" s="11"/>
      <c r="C420" s="11"/>
      <c r="D420" s="11"/>
      <c r="E420" s="11"/>
      <c r="F420" s="11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3"/>
      <c r="T420" s="13"/>
      <c r="U420" s="13"/>
      <c r="V420" s="13"/>
      <c r="W420" s="13"/>
      <c r="X420" s="13"/>
      <c r="Y420" s="13"/>
      <c r="Z420" s="13"/>
      <c r="AA420" s="13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3"/>
      <c r="AO420" s="13"/>
      <c r="AP420" s="13"/>
      <c r="AQ420" s="13"/>
      <c r="AR420" s="13"/>
      <c r="AS420" s="13"/>
      <c r="AT420" s="13"/>
      <c r="AU420" s="13"/>
      <c r="AV420" s="13"/>
      <c r="AW420" s="14"/>
      <c r="AX420" s="14"/>
      <c r="AY420" s="14"/>
      <c r="AZ420" s="14"/>
      <c r="BA420" s="14"/>
    </row>
    <row r="421">
      <c r="A421" s="11"/>
      <c r="B421" s="11"/>
      <c r="C421" s="11"/>
      <c r="D421" s="11"/>
      <c r="E421" s="11"/>
      <c r="F421" s="11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3"/>
      <c r="T421" s="13"/>
      <c r="U421" s="13"/>
      <c r="V421" s="13"/>
      <c r="W421" s="13"/>
      <c r="X421" s="13"/>
      <c r="Y421" s="13"/>
      <c r="Z421" s="13"/>
      <c r="AA421" s="13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3"/>
      <c r="AO421" s="13"/>
      <c r="AP421" s="13"/>
      <c r="AQ421" s="13"/>
      <c r="AR421" s="13"/>
      <c r="AS421" s="13"/>
      <c r="AT421" s="13"/>
      <c r="AU421" s="13"/>
      <c r="AV421" s="13"/>
      <c r="AW421" s="14"/>
      <c r="AX421" s="14"/>
      <c r="AY421" s="14"/>
      <c r="AZ421" s="14"/>
      <c r="BA421" s="14"/>
    </row>
    <row r="422">
      <c r="A422" s="11"/>
      <c r="B422" s="11"/>
      <c r="C422" s="11"/>
      <c r="D422" s="11"/>
      <c r="E422" s="11"/>
      <c r="F422" s="11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3"/>
      <c r="T422" s="13"/>
      <c r="U422" s="13"/>
      <c r="V422" s="13"/>
      <c r="W422" s="13"/>
      <c r="X422" s="13"/>
      <c r="Y422" s="13"/>
      <c r="Z422" s="13"/>
      <c r="AA422" s="13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3"/>
      <c r="AO422" s="13"/>
      <c r="AP422" s="13"/>
      <c r="AQ422" s="13"/>
      <c r="AR422" s="13"/>
      <c r="AS422" s="13"/>
      <c r="AT422" s="13"/>
      <c r="AU422" s="13"/>
      <c r="AV422" s="13"/>
      <c r="AW422" s="14"/>
      <c r="AX422" s="14"/>
      <c r="AY422" s="14"/>
      <c r="AZ422" s="14"/>
      <c r="BA422" s="14"/>
    </row>
    <row r="423">
      <c r="A423" s="11"/>
      <c r="B423" s="11"/>
      <c r="C423" s="11"/>
      <c r="D423" s="11"/>
      <c r="E423" s="11"/>
      <c r="F423" s="11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3"/>
      <c r="T423" s="13"/>
      <c r="U423" s="13"/>
      <c r="V423" s="13"/>
      <c r="W423" s="13"/>
      <c r="X423" s="13"/>
      <c r="Y423" s="13"/>
      <c r="Z423" s="13"/>
      <c r="AA423" s="13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3"/>
      <c r="AO423" s="13"/>
      <c r="AP423" s="13"/>
      <c r="AQ423" s="13"/>
      <c r="AR423" s="13"/>
      <c r="AS423" s="13"/>
      <c r="AT423" s="13"/>
      <c r="AU423" s="13"/>
      <c r="AV423" s="13"/>
      <c r="AW423" s="14"/>
      <c r="AX423" s="14"/>
      <c r="AY423" s="14"/>
      <c r="AZ423" s="14"/>
      <c r="BA423" s="14"/>
    </row>
    <row r="424">
      <c r="A424" s="11"/>
      <c r="B424" s="11"/>
      <c r="C424" s="11"/>
      <c r="D424" s="11"/>
      <c r="E424" s="11"/>
      <c r="F424" s="11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3"/>
      <c r="T424" s="13"/>
      <c r="U424" s="13"/>
      <c r="V424" s="13"/>
      <c r="W424" s="13"/>
      <c r="X424" s="13"/>
      <c r="Y424" s="13"/>
      <c r="Z424" s="13"/>
      <c r="AA424" s="13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3"/>
      <c r="AO424" s="13"/>
      <c r="AP424" s="13"/>
      <c r="AQ424" s="13"/>
      <c r="AR424" s="13"/>
      <c r="AS424" s="13"/>
      <c r="AT424" s="13"/>
      <c r="AU424" s="13"/>
      <c r="AV424" s="13"/>
      <c r="AW424" s="14"/>
      <c r="AX424" s="14"/>
      <c r="AY424" s="14"/>
      <c r="AZ424" s="14"/>
      <c r="BA424" s="14"/>
    </row>
    <row r="425">
      <c r="A425" s="11"/>
      <c r="B425" s="11"/>
      <c r="C425" s="11"/>
      <c r="D425" s="11"/>
      <c r="E425" s="11"/>
      <c r="F425" s="11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3"/>
      <c r="T425" s="13"/>
      <c r="U425" s="13"/>
      <c r="V425" s="13"/>
      <c r="W425" s="13"/>
      <c r="X425" s="13"/>
      <c r="Y425" s="13"/>
      <c r="Z425" s="13"/>
      <c r="AA425" s="13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3"/>
      <c r="AO425" s="13"/>
      <c r="AP425" s="13"/>
      <c r="AQ425" s="13"/>
      <c r="AR425" s="13"/>
      <c r="AS425" s="13"/>
      <c r="AT425" s="13"/>
      <c r="AU425" s="13"/>
      <c r="AV425" s="13"/>
      <c r="AW425" s="14"/>
      <c r="AX425" s="14"/>
      <c r="AY425" s="14"/>
      <c r="AZ425" s="14"/>
      <c r="BA425" s="14"/>
    </row>
    <row r="426">
      <c r="A426" s="11"/>
      <c r="B426" s="11"/>
      <c r="C426" s="11"/>
      <c r="D426" s="11"/>
      <c r="E426" s="11"/>
      <c r="F426" s="11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3"/>
      <c r="T426" s="13"/>
      <c r="U426" s="13"/>
      <c r="V426" s="13"/>
      <c r="W426" s="13"/>
      <c r="X426" s="13"/>
      <c r="Y426" s="13"/>
      <c r="Z426" s="13"/>
      <c r="AA426" s="13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3"/>
      <c r="AO426" s="13"/>
      <c r="AP426" s="13"/>
      <c r="AQ426" s="13"/>
      <c r="AR426" s="13"/>
      <c r="AS426" s="13"/>
      <c r="AT426" s="13"/>
      <c r="AU426" s="13"/>
      <c r="AV426" s="13"/>
      <c r="AW426" s="14"/>
      <c r="AX426" s="14"/>
      <c r="AY426" s="14"/>
      <c r="AZ426" s="14"/>
      <c r="BA426" s="14"/>
    </row>
    <row r="427">
      <c r="A427" s="11"/>
      <c r="B427" s="11"/>
      <c r="C427" s="11"/>
      <c r="D427" s="11"/>
      <c r="E427" s="11"/>
      <c r="F427" s="11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3"/>
      <c r="T427" s="13"/>
      <c r="U427" s="13"/>
      <c r="V427" s="13"/>
      <c r="W427" s="13"/>
      <c r="X427" s="13"/>
      <c r="Y427" s="13"/>
      <c r="Z427" s="13"/>
      <c r="AA427" s="13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3"/>
      <c r="AO427" s="13"/>
      <c r="AP427" s="13"/>
      <c r="AQ427" s="13"/>
      <c r="AR427" s="13"/>
      <c r="AS427" s="13"/>
      <c r="AT427" s="13"/>
      <c r="AU427" s="13"/>
      <c r="AV427" s="13"/>
      <c r="AW427" s="14"/>
      <c r="AX427" s="14"/>
      <c r="AY427" s="14"/>
      <c r="AZ427" s="14"/>
      <c r="BA427" s="14"/>
    </row>
    <row r="428">
      <c r="A428" s="11"/>
      <c r="B428" s="11"/>
      <c r="C428" s="11"/>
      <c r="D428" s="11"/>
      <c r="E428" s="11"/>
      <c r="F428" s="11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3"/>
      <c r="T428" s="13"/>
      <c r="U428" s="13"/>
      <c r="V428" s="13"/>
      <c r="W428" s="13"/>
      <c r="X428" s="13"/>
      <c r="Y428" s="13"/>
      <c r="Z428" s="13"/>
      <c r="AA428" s="13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3"/>
      <c r="AO428" s="13"/>
      <c r="AP428" s="13"/>
      <c r="AQ428" s="13"/>
      <c r="AR428" s="13"/>
      <c r="AS428" s="13"/>
      <c r="AT428" s="13"/>
      <c r="AU428" s="13"/>
      <c r="AV428" s="13"/>
      <c r="AW428" s="14"/>
      <c r="AX428" s="14"/>
      <c r="AY428" s="14"/>
      <c r="AZ428" s="14"/>
      <c r="BA428" s="14"/>
    </row>
    <row r="429">
      <c r="A429" s="11"/>
      <c r="B429" s="11"/>
      <c r="C429" s="11"/>
      <c r="D429" s="11"/>
      <c r="E429" s="11"/>
      <c r="F429" s="11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3"/>
      <c r="T429" s="13"/>
      <c r="U429" s="13"/>
      <c r="V429" s="13"/>
      <c r="W429" s="13"/>
      <c r="X429" s="13"/>
      <c r="Y429" s="13"/>
      <c r="Z429" s="13"/>
      <c r="AA429" s="13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3"/>
      <c r="AO429" s="13"/>
      <c r="AP429" s="13"/>
      <c r="AQ429" s="13"/>
      <c r="AR429" s="13"/>
      <c r="AS429" s="13"/>
      <c r="AT429" s="13"/>
      <c r="AU429" s="13"/>
      <c r="AV429" s="13"/>
      <c r="AW429" s="14"/>
      <c r="AX429" s="14"/>
      <c r="AY429" s="14"/>
      <c r="AZ429" s="14"/>
      <c r="BA429" s="14"/>
    </row>
    <row r="430">
      <c r="A430" s="11"/>
      <c r="B430" s="11"/>
      <c r="C430" s="11"/>
      <c r="D430" s="11"/>
      <c r="E430" s="11"/>
      <c r="F430" s="11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3"/>
      <c r="T430" s="13"/>
      <c r="U430" s="13"/>
      <c r="V430" s="13"/>
      <c r="W430" s="13"/>
      <c r="X430" s="13"/>
      <c r="Y430" s="13"/>
      <c r="Z430" s="13"/>
      <c r="AA430" s="13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3"/>
      <c r="AO430" s="13"/>
      <c r="AP430" s="13"/>
      <c r="AQ430" s="13"/>
      <c r="AR430" s="13"/>
      <c r="AS430" s="13"/>
      <c r="AT430" s="13"/>
      <c r="AU430" s="13"/>
      <c r="AV430" s="13"/>
      <c r="AW430" s="14"/>
      <c r="AX430" s="14"/>
      <c r="AY430" s="14"/>
      <c r="AZ430" s="14"/>
      <c r="BA430" s="14"/>
    </row>
    <row r="431">
      <c r="A431" s="11"/>
      <c r="B431" s="11"/>
      <c r="C431" s="11"/>
      <c r="D431" s="11"/>
      <c r="E431" s="11"/>
      <c r="F431" s="11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3"/>
      <c r="T431" s="13"/>
      <c r="U431" s="13"/>
      <c r="V431" s="13"/>
      <c r="W431" s="13"/>
      <c r="X431" s="13"/>
      <c r="Y431" s="13"/>
      <c r="Z431" s="13"/>
      <c r="AA431" s="13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3"/>
      <c r="AO431" s="13"/>
      <c r="AP431" s="13"/>
      <c r="AQ431" s="13"/>
      <c r="AR431" s="13"/>
      <c r="AS431" s="13"/>
      <c r="AT431" s="13"/>
      <c r="AU431" s="13"/>
      <c r="AV431" s="13"/>
      <c r="AW431" s="14"/>
      <c r="AX431" s="14"/>
      <c r="AY431" s="14"/>
      <c r="AZ431" s="14"/>
      <c r="BA431" s="14"/>
    </row>
    <row r="432">
      <c r="A432" s="11"/>
      <c r="B432" s="11"/>
      <c r="C432" s="11"/>
      <c r="D432" s="11"/>
      <c r="E432" s="11"/>
      <c r="F432" s="11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3"/>
      <c r="T432" s="13"/>
      <c r="U432" s="13"/>
      <c r="V432" s="13"/>
      <c r="W432" s="13"/>
      <c r="X432" s="13"/>
      <c r="Y432" s="13"/>
      <c r="Z432" s="13"/>
      <c r="AA432" s="13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3"/>
      <c r="AO432" s="13"/>
      <c r="AP432" s="13"/>
      <c r="AQ432" s="13"/>
      <c r="AR432" s="13"/>
      <c r="AS432" s="13"/>
      <c r="AT432" s="13"/>
      <c r="AU432" s="13"/>
      <c r="AV432" s="13"/>
      <c r="AW432" s="14"/>
      <c r="AX432" s="14"/>
      <c r="AY432" s="14"/>
      <c r="AZ432" s="14"/>
      <c r="BA432" s="14"/>
    </row>
    <row r="433">
      <c r="A433" s="11"/>
      <c r="B433" s="11"/>
      <c r="C433" s="11"/>
      <c r="D433" s="11"/>
      <c r="E433" s="11"/>
      <c r="F433" s="11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3"/>
      <c r="T433" s="13"/>
      <c r="U433" s="13"/>
      <c r="V433" s="13"/>
      <c r="W433" s="13"/>
      <c r="X433" s="13"/>
      <c r="Y433" s="13"/>
      <c r="Z433" s="13"/>
      <c r="AA433" s="13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3"/>
      <c r="AO433" s="13"/>
      <c r="AP433" s="13"/>
      <c r="AQ433" s="13"/>
      <c r="AR433" s="13"/>
      <c r="AS433" s="13"/>
      <c r="AT433" s="13"/>
      <c r="AU433" s="13"/>
      <c r="AV433" s="13"/>
      <c r="AW433" s="14"/>
      <c r="AX433" s="14"/>
      <c r="AY433" s="14"/>
      <c r="AZ433" s="14"/>
      <c r="BA433" s="14"/>
    </row>
    <row r="434">
      <c r="A434" s="11"/>
      <c r="B434" s="11"/>
      <c r="C434" s="11"/>
      <c r="D434" s="11"/>
      <c r="E434" s="11"/>
      <c r="F434" s="11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3"/>
      <c r="T434" s="13"/>
      <c r="U434" s="13"/>
      <c r="V434" s="13"/>
      <c r="W434" s="13"/>
      <c r="X434" s="13"/>
      <c r="Y434" s="13"/>
      <c r="Z434" s="13"/>
      <c r="AA434" s="13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3"/>
      <c r="AO434" s="13"/>
      <c r="AP434" s="13"/>
      <c r="AQ434" s="13"/>
      <c r="AR434" s="13"/>
      <c r="AS434" s="13"/>
      <c r="AT434" s="13"/>
      <c r="AU434" s="13"/>
      <c r="AV434" s="13"/>
      <c r="AW434" s="14"/>
      <c r="AX434" s="14"/>
      <c r="AY434" s="14"/>
      <c r="AZ434" s="14"/>
      <c r="BA434" s="14"/>
    </row>
    <row r="435">
      <c r="A435" s="11"/>
      <c r="B435" s="11"/>
      <c r="C435" s="11"/>
      <c r="D435" s="11"/>
      <c r="E435" s="11"/>
      <c r="F435" s="11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3"/>
      <c r="T435" s="13"/>
      <c r="U435" s="13"/>
      <c r="V435" s="13"/>
      <c r="W435" s="13"/>
      <c r="X435" s="13"/>
      <c r="Y435" s="13"/>
      <c r="Z435" s="13"/>
      <c r="AA435" s="13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3"/>
      <c r="AO435" s="13"/>
      <c r="AP435" s="13"/>
      <c r="AQ435" s="13"/>
      <c r="AR435" s="13"/>
      <c r="AS435" s="13"/>
      <c r="AT435" s="13"/>
      <c r="AU435" s="13"/>
      <c r="AV435" s="13"/>
      <c r="AW435" s="14"/>
      <c r="AX435" s="14"/>
      <c r="AY435" s="14"/>
      <c r="AZ435" s="14"/>
      <c r="BA435" s="14"/>
    </row>
    <row r="436">
      <c r="A436" s="11"/>
      <c r="B436" s="11"/>
      <c r="C436" s="11"/>
      <c r="D436" s="11"/>
      <c r="E436" s="11"/>
      <c r="F436" s="11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3"/>
      <c r="T436" s="13"/>
      <c r="U436" s="13"/>
      <c r="V436" s="13"/>
      <c r="W436" s="13"/>
      <c r="X436" s="13"/>
      <c r="Y436" s="13"/>
      <c r="Z436" s="13"/>
      <c r="AA436" s="13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3"/>
      <c r="AO436" s="13"/>
      <c r="AP436" s="13"/>
      <c r="AQ436" s="13"/>
      <c r="AR436" s="13"/>
      <c r="AS436" s="13"/>
      <c r="AT436" s="13"/>
      <c r="AU436" s="13"/>
      <c r="AV436" s="13"/>
      <c r="AW436" s="14"/>
      <c r="AX436" s="14"/>
      <c r="AY436" s="14"/>
      <c r="AZ436" s="14"/>
      <c r="BA436" s="14"/>
    </row>
    <row r="437">
      <c r="A437" s="11"/>
      <c r="B437" s="11"/>
      <c r="C437" s="11"/>
      <c r="D437" s="11"/>
      <c r="E437" s="11"/>
      <c r="F437" s="11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3"/>
      <c r="T437" s="13"/>
      <c r="U437" s="13"/>
      <c r="V437" s="13"/>
      <c r="W437" s="13"/>
      <c r="X437" s="13"/>
      <c r="Y437" s="13"/>
      <c r="Z437" s="13"/>
      <c r="AA437" s="13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3"/>
      <c r="AO437" s="13"/>
      <c r="AP437" s="13"/>
      <c r="AQ437" s="13"/>
      <c r="AR437" s="13"/>
      <c r="AS437" s="13"/>
      <c r="AT437" s="13"/>
      <c r="AU437" s="13"/>
      <c r="AV437" s="13"/>
      <c r="AW437" s="14"/>
      <c r="AX437" s="14"/>
      <c r="AY437" s="14"/>
      <c r="AZ437" s="14"/>
      <c r="BA437" s="14"/>
    </row>
    <row r="438">
      <c r="A438" s="11"/>
      <c r="B438" s="11"/>
      <c r="C438" s="11"/>
      <c r="D438" s="11"/>
      <c r="E438" s="11"/>
      <c r="F438" s="11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3"/>
      <c r="T438" s="13"/>
      <c r="U438" s="13"/>
      <c r="V438" s="13"/>
      <c r="W438" s="13"/>
      <c r="X438" s="13"/>
      <c r="Y438" s="13"/>
      <c r="Z438" s="13"/>
      <c r="AA438" s="13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3"/>
      <c r="AO438" s="13"/>
      <c r="AP438" s="13"/>
      <c r="AQ438" s="13"/>
      <c r="AR438" s="13"/>
      <c r="AS438" s="13"/>
      <c r="AT438" s="13"/>
      <c r="AU438" s="13"/>
      <c r="AV438" s="13"/>
      <c r="AW438" s="14"/>
      <c r="AX438" s="14"/>
      <c r="AY438" s="14"/>
      <c r="AZ438" s="14"/>
      <c r="BA438" s="14"/>
    </row>
    <row r="439">
      <c r="A439" s="11"/>
      <c r="B439" s="11"/>
      <c r="C439" s="11"/>
      <c r="D439" s="11"/>
      <c r="E439" s="11"/>
      <c r="F439" s="11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3"/>
      <c r="T439" s="13"/>
      <c r="U439" s="13"/>
      <c r="V439" s="13"/>
      <c r="W439" s="13"/>
      <c r="X439" s="13"/>
      <c r="Y439" s="13"/>
      <c r="Z439" s="13"/>
      <c r="AA439" s="13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3"/>
      <c r="AO439" s="13"/>
      <c r="AP439" s="13"/>
      <c r="AQ439" s="13"/>
      <c r="AR439" s="13"/>
      <c r="AS439" s="13"/>
      <c r="AT439" s="13"/>
      <c r="AU439" s="13"/>
      <c r="AV439" s="13"/>
      <c r="AW439" s="14"/>
      <c r="AX439" s="14"/>
      <c r="AY439" s="14"/>
      <c r="AZ439" s="14"/>
      <c r="BA439" s="14"/>
    </row>
    <row r="440">
      <c r="A440" s="11"/>
      <c r="B440" s="11"/>
      <c r="C440" s="11"/>
      <c r="D440" s="11"/>
      <c r="E440" s="11"/>
      <c r="F440" s="11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3"/>
      <c r="T440" s="13"/>
      <c r="U440" s="13"/>
      <c r="V440" s="13"/>
      <c r="W440" s="13"/>
      <c r="X440" s="13"/>
      <c r="Y440" s="13"/>
      <c r="Z440" s="13"/>
      <c r="AA440" s="13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3"/>
      <c r="AO440" s="13"/>
      <c r="AP440" s="13"/>
      <c r="AQ440" s="13"/>
      <c r="AR440" s="13"/>
      <c r="AS440" s="13"/>
      <c r="AT440" s="13"/>
      <c r="AU440" s="13"/>
      <c r="AV440" s="13"/>
      <c r="AW440" s="14"/>
      <c r="AX440" s="14"/>
      <c r="AY440" s="14"/>
      <c r="AZ440" s="14"/>
      <c r="BA440" s="14"/>
    </row>
    <row r="441">
      <c r="A441" s="11"/>
      <c r="B441" s="11"/>
      <c r="C441" s="11"/>
      <c r="D441" s="11"/>
      <c r="E441" s="11"/>
      <c r="F441" s="11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3"/>
      <c r="T441" s="13"/>
      <c r="U441" s="13"/>
      <c r="V441" s="13"/>
      <c r="W441" s="13"/>
      <c r="X441" s="13"/>
      <c r="Y441" s="13"/>
      <c r="Z441" s="13"/>
      <c r="AA441" s="13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3"/>
      <c r="AO441" s="13"/>
      <c r="AP441" s="13"/>
      <c r="AQ441" s="13"/>
      <c r="AR441" s="13"/>
      <c r="AS441" s="13"/>
      <c r="AT441" s="13"/>
      <c r="AU441" s="13"/>
      <c r="AV441" s="13"/>
      <c r="AW441" s="14"/>
      <c r="AX441" s="14"/>
      <c r="AY441" s="14"/>
      <c r="AZ441" s="14"/>
      <c r="BA441" s="14"/>
    </row>
    <row r="442">
      <c r="A442" s="11"/>
      <c r="B442" s="11"/>
      <c r="C442" s="11"/>
      <c r="D442" s="11"/>
      <c r="E442" s="11"/>
      <c r="F442" s="11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3"/>
      <c r="T442" s="13"/>
      <c r="U442" s="13"/>
      <c r="V442" s="13"/>
      <c r="W442" s="13"/>
      <c r="X442" s="13"/>
      <c r="Y442" s="13"/>
      <c r="Z442" s="13"/>
      <c r="AA442" s="13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3"/>
      <c r="AO442" s="13"/>
      <c r="AP442" s="13"/>
      <c r="AQ442" s="13"/>
      <c r="AR442" s="13"/>
      <c r="AS442" s="13"/>
      <c r="AT442" s="13"/>
      <c r="AU442" s="13"/>
      <c r="AV442" s="13"/>
      <c r="AW442" s="14"/>
      <c r="AX442" s="14"/>
      <c r="AY442" s="14"/>
      <c r="AZ442" s="14"/>
      <c r="BA442" s="14"/>
    </row>
    <row r="443">
      <c r="A443" s="11"/>
      <c r="B443" s="11"/>
      <c r="C443" s="11"/>
      <c r="D443" s="11"/>
      <c r="E443" s="11"/>
      <c r="F443" s="11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3"/>
      <c r="T443" s="13"/>
      <c r="U443" s="13"/>
      <c r="V443" s="13"/>
      <c r="W443" s="13"/>
      <c r="X443" s="13"/>
      <c r="Y443" s="13"/>
      <c r="Z443" s="13"/>
      <c r="AA443" s="13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3"/>
      <c r="AO443" s="13"/>
      <c r="AP443" s="13"/>
      <c r="AQ443" s="13"/>
      <c r="AR443" s="13"/>
      <c r="AS443" s="13"/>
      <c r="AT443" s="13"/>
      <c r="AU443" s="13"/>
      <c r="AV443" s="13"/>
      <c r="AW443" s="14"/>
      <c r="AX443" s="14"/>
      <c r="AY443" s="14"/>
      <c r="AZ443" s="14"/>
      <c r="BA443" s="14"/>
    </row>
    <row r="444">
      <c r="A444" s="11"/>
      <c r="B444" s="11"/>
      <c r="C444" s="11"/>
      <c r="D444" s="11"/>
      <c r="E444" s="11"/>
      <c r="F444" s="11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3"/>
      <c r="T444" s="13"/>
      <c r="U444" s="13"/>
      <c r="V444" s="13"/>
      <c r="W444" s="13"/>
      <c r="X444" s="13"/>
      <c r="Y444" s="13"/>
      <c r="Z444" s="13"/>
      <c r="AA444" s="13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3"/>
      <c r="AO444" s="13"/>
      <c r="AP444" s="13"/>
      <c r="AQ444" s="13"/>
      <c r="AR444" s="13"/>
      <c r="AS444" s="13"/>
      <c r="AT444" s="13"/>
      <c r="AU444" s="13"/>
      <c r="AV444" s="13"/>
      <c r="AW444" s="14"/>
      <c r="AX444" s="14"/>
      <c r="AY444" s="14"/>
      <c r="AZ444" s="14"/>
      <c r="BA444" s="14"/>
    </row>
    <row r="445">
      <c r="A445" s="11"/>
      <c r="B445" s="11"/>
      <c r="C445" s="11"/>
      <c r="D445" s="11"/>
      <c r="E445" s="11"/>
      <c r="F445" s="11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3"/>
      <c r="T445" s="13"/>
      <c r="U445" s="13"/>
      <c r="V445" s="13"/>
      <c r="W445" s="13"/>
      <c r="X445" s="13"/>
      <c r="Y445" s="13"/>
      <c r="Z445" s="13"/>
      <c r="AA445" s="13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3"/>
      <c r="AO445" s="13"/>
      <c r="AP445" s="13"/>
      <c r="AQ445" s="13"/>
      <c r="AR445" s="13"/>
      <c r="AS445" s="13"/>
      <c r="AT445" s="13"/>
      <c r="AU445" s="13"/>
      <c r="AV445" s="13"/>
      <c r="AW445" s="14"/>
      <c r="AX445" s="14"/>
      <c r="AY445" s="14"/>
      <c r="AZ445" s="14"/>
      <c r="BA445" s="14"/>
    </row>
    <row r="446">
      <c r="A446" s="11"/>
      <c r="B446" s="11"/>
      <c r="C446" s="11"/>
      <c r="D446" s="11"/>
      <c r="E446" s="11"/>
      <c r="F446" s="11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3"/>
      <c r="T446" s="13"/>
      <c r="U446" s="13"/>
      <c r="V446" s="13"/>
      <c r="W446" s="13"/>
      <c r="X446" s="13"/>
      <c r="Y446" s="13"/>
      <c r="Z446" s="13"/>
      <c r="AA446" s="13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3"/>
      <c r="AO446" s="13"/>
      <c r="AP446" s="13"/>
      <c r="AQ446" s="13"/>
      <c r="AR446" s="13"/>
      <c r="AS446" s="13"/>
      <c r="AT446" s="13"/>
      <c r="AU446" s="13"/>
      <c r="AV446" s="13"/>
      <c r="AW446" s="14"/>
      <c r="AX446" s="14"/>
      <c r="AY446" s="14"/>
      <c r="AZ446" s="14"/>
      <c r="BA446" s="14"/>
    </row>
    <row r="447">
      <c r="A447" s="11"/>
      <c r="B447" s="11"/>
      <c r="C447" s="11"/>
      <c r="D447" s="11"/>
      <c r="E447" s="11"/>
      <c r="F447" s="11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3"/>
      <c r="T447" s="13"/>
      <c r="U447" s="13"/>
      <c r="V447" s="13"/>
      <c r="W447" s="13"/>
      <c r="X447" s="13"/>
      <c r="Y447" s="13"/>
      <c r="Z447" s="13"/>
      <c r="AA447" s="13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3"/>
      <c r="AO447" s="13"/>
      <c r="AP447" s="13"/>
      <c r="AQ447" s="13"/>
      <c r="AR447" s="13"/>
      <c r="AS447" s="13"/>
      <c r="AT447" s="13"/>
      <c r="AU447" s="13"/>
      <c r="AV447" s="13"/>
      <c r="AW447" s="14"/>
      <c r="AX447" s="14"/>
      <c r="AY447" s="14"/>
      <c r="AZ447" s="14"/>
      <c r="BA447" s="14"/>
    </row>
    <row r="448">
      <c r="A448" s="11"/>
      <c r="B448" s="11"/>
      <c r="C448" s="11"/>
      <c r="D448" s="11"/>
      <c r="E448" s="11"/>
      <c r="F448" s="11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3"/>
      <c r="T448" s="13"/>
      <c r="U448" s="13"/>
      <c r="V448" s="13"/>
      <c r="W448" s="13"/>
      <c r="X448" s="13"/>
      <c r="Y448" s="13"/>
      <c r="Z448" s="13"/>
      <c r="AA448" s="13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3"/>
      <c r="AO448" s="13"/>
      <c r="AP448" s="13"/>
      <c r="AQ448" s="13"/>
      <c r="AR448" s="13"/>
      <c r="AS448" s="13"/>
      <c r="AT448" s="13"/>
      <c r="AU448" s="13"/>
      <c r="AV448" s="13"/>
      <c r="AW448" s="14"/>
      <c r="AX448" s="14"/>
      <c r="AY448" s="14"/>
      <c r="AZ448" s="14"/>
      <c r="BA448" s="14"/>
    </row>
    <row r="449">
      <c r="A449" s="11"/>
      <c r="B449" s="11"/>
      <c r="C449" s="11"/>
      <c r="D449" s="11"/>
      <c r="E449" s="11"/>
      <c r="F449" s="11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3"/>
      <c r="T449" s="13"/>
      <c r="U449" s="13"/>
      <c r="V449" s="13"/>
      <c r="W449" s="13"/>
      <c r="X449" s="13"/>
      <c r="Y449" s="13"/>
      <c r="Z449" s="13"/>
      <c r="AA449" s="13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3"/>
      <c r="AO449" s="13"/>
      <c r="AP449" s="13"/>
      <c r="AQ449" s="13"/>
      <c r="AR449" s="13"/>
      <c r="AS449" s="13"/>
      <c r="AT449" s="13"/>
      <c r="AU449" s="13"/>
      <c r="AV449" s="13"/>
      <c r="AW449" s="14"/>
      <c r="AX449" s="14"/>
      <c r="AY449" s="14"/>
      <c r="AZ449" s="14"/>
      <c r="BA449" s="14"/>
    </row>
    <row r="450">
      <c r="A450" s="11"/>
      <c r="B450" s="11"/>
      <c r="C450" s="11"/>
      <c r="D450" s="11"/>
      <c r="E450" s="11"/>
      <c r="F450" s="11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3"/>
      <c r="T450" s="13"/>
      <c r="U450" s="13"/>
      <c r="V450" s="13"/>
      <c r="W450" s="13"/>
      <c r="X450" s="13"/>
      <c r="Y450" s="13"/>
      <c r="Z450" s="13"/>
      <c r="AA450" s="13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3"/>
      <c r="AO450" s="13"/>
      <c r="AP450" s="13"/>
      <c r="AQ450" s="13"/>
      <c r="AR450" s="13"/>
      <c r="AS450" s="13"/>
      <c r="AT450" s="13"/>
      <c r="AU450" s="13"/>
      <c r="AV450" s="13"/>
      <c r="AW450" s="14"/>
      <c r="AX450" s="14"/>
      <c r="AY450" s="14"/>
      <c r="AZ450" s="14"/>
      <c r="BA450" s="14"/>
    </row>
    <row r="451">
      <c r="A451" s="11"/>
      <c r="B451" s="11"/>
      <c r="C451" s="11"/>
      <c r="D451" s="11"/>
      <c r="E451" s="11"/>
      <c r="F451" s="11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3"/>
      <c r="T451" s="13"/>
      <c r="U451" s="13"/>
      <c r="V451" s="13"/>
      <c r="W451" s="13"/>
      <c r="X451" s="13"/>
      <c r="Y451" s="13"/>
      <c r="Z451" s="13"/>
      <c r="AA451" s="13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3"/>
      <c r="AO451" s="13"/>
      <c r="AP451" s="13"/>
      <c r="AQ451" s="13"/>
      <c r="AR451" s="13"/>
      <c r="AS451" s="13"/>
      <c r="AT451" s="13"/>
      <c r="AU451" s="13"/>
      <c r="AV451" s="13"/>
      <c r="AW451" s="14"/>
      <c r="AX451" s="14"/>
      <c r="AY451" s="14"/>
      <c r="AZ451" s="14"/>
      <c r="BA451" s="14"/>
    </row>
    <row r="452">
      <c r="A452" s="11"/>
      <c r="B452" s="11"/>
      <c r="C452" s="11"/>
      <c r="D452" s="11"/>
      <c r="E452" s="11"/>
      <c r="F452" s="11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3"/>
      <c r="T452" s="13"/>
      <c r="U452" s="13"/>
      <c r="V452" s="13"/>
      <c r="W452" s="13"/>
      <c r="X452" s="13"/>
      <c r="Y452" s="13"/>
      <c r="Z452" s="13"/>
      <c r="AA452" s="13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3"/>
      <c r="AO452" s="13"/>
      <c r="AP452" s="13"/>
      <c r="AQ452" s="13"/>
      <c r="AR452" s="13"/>
      <c r="AS452" s="13"/>
      <c r="AT452" s="13"/>
      <c r="AU452" s="13"/>
      <c r="AV452" s="13"/>
      <c r="AW452" s="14"/>
      <c r="AX452" s="14"/>
      <c r="AY452" s="14"/>
      <c r="AZ452" s="14"/>
      <c r="BA452" s="14"/>
    </row>
    <row r="453">
      <c r="A453" s="11"/>
      <c r="B453" s="11"/>
      <c r="C453" s="11"/>
      <c r="D453" s="11"/>
      <c r="E453" s="11"/>
      <c r="F453" s="11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3"/>
      <c r="T453" s="13"/>
      <c r="U453" s="13"/>
      <c r="V453" s="13"/>
      <c r="W453" s="13"/>
      <c r="X453" s="13"/>
      <c r="Y453" s="13"/>
      <c r="Z453" s="13"/>
      <c r="AA453" s="13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3"/>
      <c r="AO453" s="13"/>
      <c r="AP453" s="13"/>
      <c r="AQ453" s="13"/>
      <c r="AR453" s="13"/>
      <c r="AS453" s="13"/>
      <c r="AT453" s="13"/>
      <c r="AU453" s="13"/>
      <c r="AV453" s="13"/>
      <c r="AW453" s="14"/>
      <c r="AX453" s="14"/>
      <c r="AY453" s="14"/>
      <c r="AZ453" s="14"/>
      <c r="BA453" s="14"/>
    </row>
    <row r="454">
      <c r="A454" s="11"/>
      <c r="B454" s="11"/>
      <c r="C454" s="11"/>
      <c r="D454" s="11"/>
      <c r="E454" s="11"/>
      <c r="F454" s="11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3"/>
      <c r="T454" s="13"/>
      <c r="U454" s="13"/>
      <c r="V454" s="13"/>
      <c r="W454" s="13"/>
      <c r="X454" s="13"/>
      <c r="Y454" s="13"/>
      <c r="Z454" s="13"/>
      <c r="AA454" s="13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3"/>
      <c r="AO454" s="13"/>
      <c r="AP454" s="13"/>
      <c r="AQ454" s="13"/>
      <c r="AR454" s="13"/>
      <c r="AS454" s="13"/>
      <c r="AT454" s="13"/>
      <c r="AU454" s="13"/>
      <c r="AV454" s="13"/>
      <c r="AW454" s="14"/>
      <c r="AX454" s="14"/>
      <c r="AY454" s="14"/>
      <c r="AZ454" s="14"/>
      <c r="BA454" s="14"/>
    </row>
    <row r="455">
      <c r="A455" s="11"/>
      <c r="B455" s="11"/>
      <c r="C455" s="11"/>
      <c r="D455" s="11"/>
      <c r="E455" s="11"/>
      <c r="F455" s="11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3"/>
      <c r="T455" s="13"/>
      <c r="U455" s="13"/>
      <c r="V455" s="13"/>
      <c r="W455" s="13"/>
      <c r="X455" s="13"/>
      <c r="Y455" s="13"/>
      <c r="Z455" s="13"/>
      <c r="AA455" s="13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3"/>
      <c r="AO455" s="13"/>
      <c r="AP455" s="13"/>
      <c r="AQ455" s="13"/>
      <c r="AR455" s="13"/>
      <c r="AS455" s="13"/>
      <c r="AT455" s="13"/>
      <c r="AU455" s="13"/>
      <c r="AV455" s="13"/>
      <c r="AW455" s="14"/>
      <c r="AX455" s="14"/>
      <c r="AY455" s="14"/>
      <c r="AZ455" s="14"/>
      <c r="BA455" s="14"/>
    </row>
    <row r="456">
      <c r="A456" s="11"/>
      <c r="B456" s="11"/>
      <c r="C456" s="11"/>
      <c r="D456" s="11"/>
      <c r="E456" s="11"/>
      <c r="F456" s="11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3"/>
      <c r="T456" s="13"/>
      <c r="U456" s="13"/>
      <c r="V456" s="13"/>
      <c r="W456" s="13"/>
      <c r="X456" s="13"/>
      <c r="Y456" s="13"/>
      <c r="Z456" s="13"/>
      <c r="AA456" s="13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3"/>
      <c r="AO456" s="13"/>
      <c r="AP456" s="13"/>
      <c r="AQ456" s="13"/>
      <c r="AR456" s="13"/>
      <c r="AS456" s="13"/>
      <c r="AT456" s="13"/>
      <c r="AU456" s="13"/>
      <c r="AV456" s="13"/>
      <c r="AW456" s="14"/>
      <c r="AX456" s="14"/>
      <c r="AY456" s="14"/>
      <c r="AZ456" s="14"/>
      <c r="BA456" s="14"/>
    </row>
    <row r="457">
      <c r="A457" s="11"/>
      <c r="B457" s="11"/>
      <c r="C457" s="11"/>
      <c r="D457" s="11"/>
      <c r="E457" s="11"/>
      <c r="F457" s="11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3"/>
      <c r="T457" s="13"/>
      <c r="U457" s="13"/>
      <c r="V457" s="13"/>
      <c r="W457" s="13"/>
      <c r="X457" s="13"/>
      <c r="Y457" s="13"/>
      <c r="Z457" s="13"/>
      <c r="AA457" s="13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3"/>
      <c r="AO457" s="13"/>
      <c r="AP457" s="13"/>
      <c r="AQ457" s="13"/>
      <c r="AR457" s="13"/>
      <c r="AS457" s="13"/>
      <c r="AT457" s="13"/>
      <c r="AU457" s="13"/>
      <c r="AV457" s="13"/>
      <c r="AW457" s="14"/>
      <c r="AX457" s="14"/>
      <c r="AY457" s="14"/>
      <c r="AZ457" s="14"/>
      <c r="BA457" s="14"/>
    </row>
    <row r="458">
      <c r="A458" s="11"/>
      <c r="B458" s="11"/>
      <c r="C458" s="11"/>
      <c r="D458" s="11"/>
      <c r="E458" s="11"/>
      <c r="F458" s="11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3"/>
      <c r="T458" s="13"/>
      <c r="U458" s="13"/>
      <c r="V458" s="13"/>
      <c r="W458" s="13"/>
      <c r="X458" s="13"/>
      <c r="Y458" s="13"/>
      <c r="Z458" s="13"/>
      <c r="AA458" s="13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3"/>
      <c r="AO458" s="13"/>
      <c r="AP458" s="13"/>
      <c r="AQ458" s="13"/>
      <c r="AR458" s="13"/>
      <c r="AS458" s="13"/>
      <c r="AT458" s="13"/>
      <c r="AU458" s="13"/>
      <c r="AV458" s="13"/>
      <c r="AW458" s="14"/>
      <c r="AX458" s="14"/>
      <c r="AY458" s="14"/>
      <c r="AZ458" s="14"/>
      <c r="BA458" s="14"/>
    </row>
    <row r="459">
      <c r="A459" s="11"/>
      <c r="B459" s="11"/>
      <c r="C459" s="11"/>
      <c r="D459" s="11"/>
      <c r="E459" s="11"/>
      <c r="F459" s="11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3"/>
      <c r="T459" s="13"/>
      <c r="U459" s="13"/>
      <c r="V459" s="13"/>
      <c r="W459" s="13"/>
      <c r="X459" s="13"/>
      <c r="Y459" s="13"/>
      <c r="Z459" s="13"/>
      <c r="AA459" s="13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3"/>
      <c r="AO459" s="13"/>
      <c r="AP459" s="13"/>
      <c r="AQ459" s="13"/>
      <c r="AR459" s="13"/>
      <c r="AS459" s="13"/>
      <c r="AT459" s="13"/>
      <c r="AU459" s="13"/>
      <c r="AV459" s="13"/>
      <c r="AW459" s="14"/>
      <c r="AX459" s="14"/>
      <c r="AY459" s="14"/>
      <c r="AZ459" s="14"/>
      <c r="BA459" s="14"/>
    </row>
    <row r="460">
      <c r="A460" s="11"/>
      <c r="B460" s="11"/>
      <c r="C460" s="11"/>
      <c r="D460" s="11"/>
      <c r="E460" s="11"/>
      <c r="F460" s="11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3"/>
      <c r="T460" s="13"/>
      <c r="U460" s="13"/>
      <c r="V460" s="13"/>
      <c r="W460" s="13"/>
      <c r="X460" s="13"/>
      <c r="Y460" s="13"/>
      <c r="Z460" s="13"/>
      <c r="AA460" s="13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3"/>
      <c r="AO460" s="13"/>
      <c r="AP460" s="13"/>
      <c r="AQ460" s="13"/>
      <c r="AR460" s="13"/>
      <c r="AS460" s="13"/>
      <c r="AT460" s="13"/>
      <c r="AU460" s="13"/>
      <c r="AV460" s="13"/>
      <c r="AW460" s="14"/>
      <c r="AX460" s="14"/>
      <c r="AY460" s="14"/>
      <c r="AZ460" s="14"/>
      <c r="BA460" s="14"/>
    </row>
    <row r="461">
      <c r="A461" s="11"/>
      <c r="B461" s="11"/>
      <c r="C461" s="11"/>
      <c r="D461" s="11"/>
      <c r="E461" s="11"/>
      <c r="F461" s="11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3"/>
      <c r="T461" s="13"/>
      <c r="U461" s="13"/>
      <c r="V461" s="13"/>
      <c r="W461" s="13"/>
      <c r="X461" s="13"/>
      <c r="Y461" s="13"/>
      <c r="Z461" s="13"/>
      <c r="AA461" s="13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3"/>
      <c r="AO461" s="13"/>
      <c r="AP461" s="13"/>
      <c r="AQ461" s="13"/>
      <c r="AR461" s="13"/>
      <c r="AS461" s="13"/>
      <c r="AT461" s="13"/>
      <c r="AU461" s="13"/>
      <c r="AV461" s="13"/>
      <c r="AW461" s="14"/>
      <c r="AX461" s="14"/>
      <c r="AY461" s="14"/>
      <c r="AZ461" s="14"/>
      <c r="BA461" s="14"/>
    </row>
    <row r="462">
      <c r="A462" s="11"/>
      <c r="B462" s="11"/>
      <c r="C462" s="11"/>
      <c r="D462" s="11"/>
      <c r="E462" s="11"/>
      <c r="F462" s="11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3"/>
      <c r="T462" s="13"/>
      <c r="U462" s="13"/>
      <c r="V462" s="13"/>
      <c r="W462" s="13"/>
      <c r="X462" s="13"/>
      <c r="Y462" s="13"/>
      <c r="Z462" s="13"/>
      <c r="AA462" s="13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3"/>
      <c r="AO462" s="13"/>
      <c r="AP462" s="13"/>
      <c r="AQ462" s="13"/>
      <c r="AR462" s="13"/>
      <c r="AS462" s="13"/>
      <c r="AT462" s="13"/>
      <c r="AU462" s="13"/>
      <c r="AV462" s="13"/>
      <c r="AW462" s="14"/>
      <c r="AX462" s="14"/>
      <c r="AY462" s="14"/>
      <c r="AZ462" s="14"/>
      <c r="BA462" s="14"/>
    </row>
    <row r="463">
      <c r="A463" s="11"/>
      <c r="B463" s="11"/>
      <c r="C463" s="11"/>
      <c r="D463" s="11"/>
      <c r="E463" s="11"/>
      <c r="F463" s="11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3"/>
      <c r="T463" s="13"/>
      <c r="U463" s="13"/>
      <c r="V463" s="13"/>
      <c r="W463" s="13"/>
      <c r="X463" s="13"/>
      <c r="Y463" s="13"/>
      <c r="Z463" s="13"/>
      <c r="AA463" s="13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3"/>
      <c r="AO463" s="13"/>
      <c r="AP463" s="13"/>
      <c r="AQ463" s="13"/>
      <c r="AR463" s="13"/>
      <c r="AS463" s="13"/>
      <c r="AT463" s="13"/>
      <c r="AU463" s="13"/>
      <c r="AV463" s="13"/>
      <c r="AW463" s="14"/>
      <c r="AX463" s="14"/>
      <c r="AY463" s="14"/>
      <c r="AZ463" s="14"/>
      <c r="BA463" s="14"/>
    </row>
    <row r="464">
      <c r="A464" s="11"/>
      <c r="B464" s="11"/>
      <c r="C464" s="11"/>
      <c r="D464" s="11"/>
      <c r="E464" s="11"/>
      <c r="F464" s="11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3"/>
      <c r="T464" s="13"/>
      <c r="U464" s="13"/>
      <c r="V464" s="13"/>
      <c r="W464" s="13"/>
      <c r="X464" s="13"/>
      <c r="Y464" s="13"/>
      <c r="Z464" s="13"/>
      <c r="AA464" s="13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3"/>
      <c r="AO464" s="13"/>
      <c r="AP464" s="13"/>
      <c r="AQ464" s="13"/>
      <c r="AR464" s="13"/>
      <c r="AS464" s="13"/>
      <c r="AT464" s="13"/>
      <c r="AU464" s="13"/>
      <c r="AV464" s="13"/>
      <c r="AW464" s="14"/>
      <c r="AX464" s="14"/>
      <c r="AY464" s="14"/>
      <c r="AZ464" s="14"/>
      <c r="BA464" s="14"/>
    </row>
    <row r="465">
      <c r="A465" s="11"/>
      <c r="B465" s="11"/>
      <c r="C465" s="11"/>
      <c r="D465" s="11"/>
      <c r="E465" s="11"/>
      <c r="F465" s="11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3"/>
      <c r="T465" s="13"/>
      <c r="U465" s="13"/>
      <c r="V465" s="13"/>
      <c r="W465" s="13"/>
      <c r="X465" s="13"/>
      <c r="Y465" s="13"/>
      <c r="Z465" s="13"/>
      <c r="AA465" s="13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3"/>
      <c r="AO465" s="13"/>
      <c r="AP465" s="13"/>
      <c r="AQ465" s="13"/>
      <c r="AR465" s="13"/>
      <c r="AS465" s="13"/>
      <c r="AT465" s="13"/>
      <c r="AU465" s="13"/>
      <c r="AV465" s="13"/>
      <c r="AW465" s="14"/>
      <c r="AX465" s="14"/>
      <c r="AY465" s="14"/>
      <c r="AZ465" s="14"/>
      <c r="BA465" s="14"/>
    </row>
    <row r="466">
      <c r="A466" s="11"/>
      <c r="B466" s="11"/>
      <c r="C466" s="11"/>
      <c r="D466" s="11"/>
      <c r="E466" s="11"/>
      <c r="F466" s="11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3"/>
      <c r="T466" s="13"/>
      <c r="U466" s="13"/>
      <c r="V466" s="13"/>
      <c r="W466" s="13"/>
      <c r="X466" s="13"/>
      <c r="Y466" s="13"/>
      <c r="Z466" s="13"/>
      <c r="AA466" s="13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3"/>
      <c r="AO466" s="13"/>
      <c r="AP466" s="13"/>
      <c r="AQ466" s="13"/>
      <c r="AR466" s="13"/>
      <c r="AS466" s="13"/>
      <c r="AT466" s="13"/>
      <c r="AU466" s="13"/>
      <c r="AV466" s="13"/>
      <c r="AW466" s="14"/>
      <c r="AX466" s="14"/>
      <c r="AY466" s="14"/>
      <c r="AZ466" s="14"/>
      <c r="BA466" s="14"/>
    </row>
    <row r="467">
      <c r="A467" s="11"/>
      <c r="B467" s="11"/>
      <c r="C467" s="11"/>
      <c r="D467" s="11"/>
      <c r="E467" s="11"/>
      <c r="F467" s="11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3"/>
      <c r="T467" s="13"/>
      <c r="U467" s="13"/>
      <c r="V467" s="13"/>
      <c r="W467" s="13"/>
      <c r="X467" s="13"/>
      <c r="Y467" s="13"/>
      <c r="Z467" s="13"/>
      <c r="AA467" s="13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3"/>
      <c r="AO467" s="13"/>
      <c r="AP467" s="13"/>
      <c r="AQ467" s="13"/>
      <c r="AR467" s="13"/>
      <c r="AS467" s="13"/>
      <c r="AT467" s="13"/>
      <c r="AU467" s="13"/>
      <c r="AV467" s="13"/>
      <c r="AW467" s="14"/>
      <c r="AX467" s="14"/>
      <c r="AY467" s="14"/>
      <c r="AZ467" s="14"/>
      <c r="BA467" s="14"/>
    </row>
    <row r="468">
      <c r="A468" s="11"/>
      <c r="B468" s="11"/>
      <c r="C468" s="11"/>
      <c r="D468" s="11"/>
      <c r="E468" s="11"/>
      <c r="F468" s="11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3"/>
      <c r="T468" s="13"/>
      <c r="U468" s="13"/>
      <c r="V468" s="13"/>
      <c r="W468" s="13"/>
      <c r="X468" s="13"/>
      <c r="Y468" s="13"/>
      <c r="Z468" s="13"/>
      <c r="AA468" s="13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3"/>
      <c r="AO468" s="13"/>
      <c r="AP468" s="13"/>
      <c r="AQ468" s="13"/>
      <c r="AR468" s="13"/>
      <c r="AS468" s="13"/>
      <c r="AT468" s="13"/>
      <c r="AU468" s="13"/>
      <c r="AV468" s="13"/>
      <c r="AW468" s="14"/>
      <c r="AX468" s="14"/>
      <c r="AY468" s="14"/>
      <c r="AZ468" s="14"/>
      <c r="BA468" s="14"/>
    </row>
    <row r="469">
      <c r="A469" s="11"/>
      <c r="B469" s="11"/>
      <c r="C469" s="11"/>
      <c r="D469" s="11"/>
      <c r="E469" s="11"/>
      <c r="F469" s="11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3"/>
      <c r="T469" s="13"/>
      <c r="U469" s="13"/>
      <c r="V469" s="13"/>
      <c r="W469" s="13"/>
      <c r="X469" s="13"/>
      <c r="Y469" s="13"/>
      <c r="Z469" s="13"/>
      <c r="AA469" s="13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3"/>
      <c r="AO469" s="13"/>
      <c r="AP469" s="13"/>
      <c r="AQ469" s="13"/>
      <c r="AR469" s="13"/>
      <c r="AS469" s="13"/>
      <c r="AT469" s="13"/>
      <c r="AU469" s="13"/>
      <c r="AV469" s="13"/>
      <c r="AW469" s="14"/>
      <c r="AX469" s="14"/>
      <c r="AY469" s="14"/>
      <c r="AZ469" s="14"/>
      <c r="BA469" s="14"/>
    </row>
    <row r="470">
      <c r="A470" s="11"/>
      <c r="B470" s="11"/>
      <c r="C470" s="11"/>
      <c r="D470" s="11"/>
      <c r="E470" s="11"/>
      <c r="F470" s="11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3"/>
      <c r="T470" s="13"/>
      <c r="U470" s="13"/>
      <c r="V470" s="13"/>
      <c r="W470" s="13"/>
      <c r="X470" s="13"/>
      <c r="Y470" s="13"/>
      <c r="Z470" s="13"/>
      <c r="AA470" s="13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3"/>
      <c r="AO470" s="13"/>
      <c r="AP470" s="13"/>
      <c r="AQ470" s="13"/>
      <c r="AR470" s="13"/>
      <c r="AS470" s="13"/>
      <c r="AT470" s="13"/>
      <c r="AU470" s="13"/>
      <c r="AV470" s="13"/>
      <c r="AW470" s="14"/>
      <c r="AX470" s="14"/>
      <c r="AY470" s="14"/>
      <c r="AZ470" s="14"/>
      <c r="BA470" s="14"/>
    </row>
    <row r="471">
      <c r="A471" s="11"/>
      <c r="B471" s="11"/>
      <c r="C471" s="11"/>
      <c r="D471" s="11"/>
      <c r="E471" s="11"/>
      <c r="F471" s="11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3"/>
      <c r="T471" s="13"/>
      <c r="U471" s="13"/>
      <c r="V471" s="13"/>
      <c r="W471" s="13"/>
      <c r="X471" s="13"/>
      <c r="Y471" s="13"/>
      <c r="Z471" s="13"/>
      <c r="AA471" s="13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3"/>
      <c r="AO471" s="13"/>
      <c r="AP471" s="13"/>
      <c r="AQ471" s="13"/>
      <c r="AR471" s="13"/>
      <c r="AS471" s="13"/>
      <c r="AT471" s="13"/>
      <c r="AU471" s="13"/>
      <c r="AV471" s="13"/>
      <c r="AW471" s="14"/>
      <c r="AX471" s="14"/>
      <c r="AY471" s="14"/>
      <c r="AZ471" s="14"/>
      <c r="BA471" s="14"/>
    </row>
    <row r="472">
      <c r="A472" s="11"/>
      <c r="B472" s="11"/>
      <c r="C472" s="11"/>
      <c r="D472" s="11"/>
      <c r="E472" s="11"/>
      <c r="F472" s="11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3"/>
      <c r="T472" s="13"/>
      <c r="U472" s="13"/>
      <c r="V472" s="13"/>
      <c r="W472" s="13"/>
      <c r="X472" s="13"/>
      <c r="Y472" s="13"/>
      <c r="Z472" s="13"/>
      <c r="AA472" s="13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3"/>
      <c r="AO472" s="13"/>
      <c r="AP472" s="13"/>
      <c r="AQ472" s="13"/>
      <c r="AR472" s="13"/>
      <c r="AS472" s="13"/>
      <c r="AT472" s="13"/>
      <c r="AU472" s="13"/>
      <c r="AV472" s="13"/>
      <c r="AW472" s="14"/>
      <c r="AX472" s="14"/>
      <c r="AY472" s="14"/>
      <c r="AZ472" s="14"/>
      <c r="BA472" s="14"/>
    </row>
    <row r="473">
      <c r="A473" s="11"/>
      <c r="B473" s="11"/>
      <c r="C473" s="11"/>
      <c r="D473" s="11"/>
      <c r="E473" s="11"/>
      <c r="F473" s="11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3"/>
      <c r="T473" s="13"/>
      <c r="U473" s="13"/>
      <c r="V473" s="13"/>
      <c r="W473" s="13"/>
      <c r="X473" s="13"/>
      <c r="Y473" s="13"/>
      <c r="Z473" s="13"/>
      <c r="AA473" s="13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3"/>
      <c r="AO473" s="13"/>
      <c r="AP473" s="13"/>
      <c r="AQ473" s="13"/>
      <c r="AR473" s="13"/>
      <c r="AS473" s="13"/>
      <c r="AT473" s="13"/>
      <c r="AU473" s="13"/>
      <c r="AV473" s="13"/>
      <c r="AW473" s="14"/>
      <c r="AX473" s="14"/>
      <c r="AY473" s="14"/>
      <c r="AZ473" s="14"/>
      <c r="BA473" s="14"/>
    </row>
    <row r="474">
      <c r="A474" s="11"/>
      <c r="B474" s="11"/>
      <c r="C474" s="11"/>
      <c r="D474" s="11"/>
      <c r="E474" s="11"/>
      <c r="F474" s="11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3"/>
      <c r="T474" s="13"/>
      <c r="U474" s="13"/>
      <c r="V474" s="13"/>
      <c r="W474" s="13"/>
      <c r="X474" s="13"/>
      <c r="Y474" s="13"/>
      <c r="Z474" s="13"/>
      <c r="AA474" s="13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3"/>
      <c r="AO474" s="13"/>
      <c r="AP474" s="13"/>
      <c r="AQ474" s="13"/>
      <c r="AR474" s="13"/>
      <c r="AS474" s="13"/>
      <c r="AT474" s="13"/>
      <c r="AU474" s="13"/>
      <c r="AV474" s="13"/>
      <c r="AW474" s="14"/>
      <c r="AX474" s="14"/>
      <c r="AY474" s="14"/>
      <c r="AZ474" s="14"/>
      <c r="BA474" s="14"/>
    </row>
    <row r="475">
      <c r="A475" s="11"/>
      <c r="B475" s="11"/>
      <c r="C475" s="11"/>
      <c r="D475" s="11"/>
      <c r="E475" s="11"/>
      <c r="F475" s="11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3"/>
      <c r="T475" s="13"/>
      <c r="U475" s="13"/>
      <c r="V475" s="13"/>
      <c r="W475" s="13"/>
      <c r="X475" s="13"/>
      <c r="Y475" s="13"/>
      <c r="Z475" s="13"/>
      <c r="AA475" s="13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3"/>
      <c r="AO475" s="13"/>
      <c r="AP475" s="13"/>
      <c r="AQ475" s="13"/>
      <c r="AR475" s="13"/>
      <c r="AS475" s="13"/>
      <c r="AT475" s="13"/>
      <c r="AU475" s="13"/>
      <c r="AV475" s="13"/>
      <c r="AW475" s="14"/>
      <c r="AX475" s="14"/>
      <c r="AY475" s="14"/>
      <c r="AZ475" s="14"/>
      <c r="BA475" s="14"/>
    </row>
    <row r="476">
      <c r="A476" s="11"/>
      <c r="B476" s="11"/>
      <c r="C476" s="11"/>
      <c r="D476" s="11"/>
      <c r="E476" s="11"/>
      <c r="F476" s="11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3"/>
      <c r="T476" s="13"/>
      <c r="U476" s="13"/>
      <c r="V476" s="13"/>
      <c r="W476" s="13"/>
      <c r="X476" s="13"/>
      <c r="Y476" s="13"/>
      <c r="Z476" s="13"/>
      <c r="AA476" s="13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3"/>
      <c r="AO476" s="13"/>
      <c r="AP476" s="13"/>
      <c r="AQ476" s="13"/>
      <c r="AR476" s="13"/>
      <c r="AS476" s="13"/>
      <c r="AT476" s="13"/>
      <c r="AU476" s="13"/>
      <c r="AV476" s="13"/>
      <c r="AW476" s="14"/>
      <c r="AX476" s="14"/>
      <c r="AY476" s="14"/>
      <c r="AZ476" s="14"/>
      <c r="BA476" s="14"/>
    </row>
    <row r="477">
      <c r="A477" s="11"/>
      <c r="B477" s="11"/>
      <c r="C477" s="11"/>
      <c r="D477" s="11"/>
      <c r="E477" s="11"/>
      <c r="F477" s="11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3"/>
      <c r="T477" s="13"/>
      <c r="U477" s="13"/>
      <c r="V477" s="13"/>
      <c r="W477" s="13"/>
      <c r="X477" s="13"/>
      <c r="Y477" s="13"/>
      <c r="Z477" s="13"/>
      <c r="AA477" s="13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3"/>
      <c r="AO477" s="13"/>
      <c r="AP477" s="13"/>
      <c r="AQ477" s="13"/>
      <c r="AR477" s="13"/>
      <c r="AS477" s="13"/>
      <c r="AT477" s="13"/>
      <c r="AU477" s="13"/>
      <c r="AV477" s="13"/>
      <c r="AW477" s="14"/>
      <c r="AX477" s="14"/>
      <c r="AY477" s="14"/>
      <c r="AZ477" s="14"/>
      <c r="BA477" s="14"/>
    </row>
    <row r="478">
      <c r="A478" s="11"/>
      <c r="B478" s="11"/>
      <c r="C478" s="11"/>
      <c r="D478" s="11"/>
      <c r="E478" s="11"/>
      <c r="F478" s="11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3"/>
      <c r="T478" s="13"/>
      <c r="U478" s="13"/>
      <c r="V478" s="13"/>
      <c r="W478" s="13"/>
      <c r="X478" s="13"/>
      <c r="Y478" s="13"/>
      <c r="Z478" s="13"/>
      <c r="AA478" s="13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3"/>
      <c r="AO478" s="13"/>
      <c r="AP478" s="13"/>
      <c r="AQ478" s="13"/>
      <c r="AR478" s="13"/>
      <c r="AS478" s="13"/>
      <c r="AT478" s="13"/>
      <c r="AU478" s="13"/>
      <c r="AV478" s="13"/>
      <c r="AW478" s="14"/>
      <c r="AX478" s="14"/>
      <c r="AY478" s="14"/>
      <c r="AZ478" s="14"/>
      <c r="BA478" s="14"/>
    </row>
    <row r="479">
      <c r="A479" s="11"/>
      <c r="B479" s="11"/>
      <c r="C479" s="11"/>
      <c r="D479" s="11"/>
      <c r="E479" s="11"/>
      <c r="F479" s="11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3"/>
      <c r="T479" s="13"/>
      <c r="U479" s="13"/>
      <c r="V479" s="13"/>
      <c r="W479" s="13"/>
      <c r="X479" s="13"/>
      <c r="Y479" s="13"/>
      <c r="Z479" s="13"/>
      <c r="AA479" s="13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3"/>
      <c r="AO479" s="13"/>
      <c r="AP479" s="13"/>
      <c r="AQ479" s="13"/>
      <c r="AR479" s="13"/>
      <c r="AS479" s="13"/>
      <c r="AT479" s="13"/>
      <c r="AU479" s="13"/>
      <c r="AV479" s="13"/>
      <c r="AW479" s="14"/>
      <c r="AX479" s="14"/>
      <c r="AY479" s="14"/>
      <c r="AZ479" s="14"/>
      <c r="BA479" s="14"/>
    </row>
    <row r="480">
      <c r="A480" s="11"/>
      <c r="B480" s="11"/>
      <c r="C480" s="11"/>
      <c r="D480" s="11"/>
      <c r="E480" s="11"/>
      <c r="F480" s="11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3"/>
      <c r="T480" s="13"/>
      <c r="U480" s="13"/>
      <c r="V480" s="13"/>
      <c r="W480" s="13"/>
      <c r="X480" s="13"/>
      <c r="Y480" s="13"/>
      <c r="Z480" s="13"/>
      <c r="AA480" s="13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3"/>
      <c r="AO480" s="13"/>
      <c r="AP480" s="13"/>
      <c r="AQ480" s="13"/>
      <c r="AR480" s="13"/>
      <c r="AS480" s="13"/>
      <c r="AT480" s="13"/>
      <c r="AU480" s="13"/>
      <c r="AV480" s="13"/>
      <c r="AW480" s="14"/>
      <c r="AX480" s="14"/>
      <c r="AY480" s="14"/>
      <c r="AZ480" s="14"/>
      <c r="BA480" s="14"/>
    </row>
    <row r="481">
      <c r="A481" s="11"/>
      <c r="B481" s="11"/>
      <c r="C481" s="11"/>
      <c r="D481" s="11"/>
      <c r="E481" s="11"/>
      <c r="F481" s="11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3"/>
      <c r="T481" s="13"/>
      <c r="U481" s="13"/>
      <c r="V481" s="13"/>
      <c r="W481" s="13"/>
      <c r="X481" s="13"/>
      <c r="Y481" s="13"/>
      <c r="Z481" s="13"/>
      <c r="AA481" s="13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3"/>
      <c r="AO481" s="13"/>
      <c r="AP481" s="13"/>
      <c r="AQ481" s="13"/>
      <c r="AR481" s="13"/>
      <c r="AS481" s="13"/>
      <c r="AT481" s="13"/>
      <c r="AU481" s="13"/>
      <c r="AV481" s="13"/>
      <c r="AW481" s="14"/>
      <c r="AX481" s="14"/>
      <c r="AY481" s="14"/>
      <c r="AZ481" s="14"/>
      <c r="BA481" s="14"/>
    </row>
    <row r="482">
      <c r="A482" s="11"/>
      <c r="B482" s="11"/>
      <c r="C482" s="11"/>
      <c r="D482" s="11"/>
      <c r="E482" s="11"/>
      <c r="F482" s="11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3"/>
      <c r="T482" s="13"/>
      <c r="U482" s="13"/>
      <c r="V482" s="13"/>
      <c r="W482" s="13"/>
      <c r="X482" s="13"/>
      <c r="Y482" s="13"/>
      <c r="Z482" s="13"/>
      <c r="AA482" s="13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3"/>
      <c r="AO482" s="13"/>
      <c r="AP482" s="13"/>
      <c r="AQ482" s="13"/>
      <c r="AR482" s="13"/>
      <c r="AS482" s="13"/>
      <c r="AT482" s="13"/>
      <c r="AU482" s="13"/>
      <c r="AV482" s="13"/>
      <c r="AW482" s="14"/>
      <c r="AX482" s="14"/>
      <c r="AY482" s="14"/>
      <c r="AZ482" s="14"/>
      <c r="BA482" s="14"/>
    </row>
    <row r="483">
      <c r="A483" s="11"/>
      <c r="B483" s="11"/>
      <c r="C483" s="11"/>
      <c r="D483" s="11"/>
      <c r="E483" s="11"/>
      <c r="F483" s="11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3"/>
      <c r="T483" s="13"/>
      <c r="U483" s="13"/>
      <c r="V483" s="13"/>
      <c r="W483" s="13"/>
      <c r="X483" s="13"/>
      <c r="Y483" s="13"/>
      <c r="Z483" s="13"/>
      <c r="AA483" s="13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3"/>
      <c r="AO483" s="13"/>
      <c r="AP483" s="13"/>
      <c r="AQ483" s="13"/>
      <c r="AR483" s="13"/>
      <c r="AS483" s="13"/>
      <c r="AT483" s="13"/>
      <c r="AU483" s="13"/>
      <c r="AV483" s="13"/>
      <c r="AW483" s="14"/>
      <c r="AX483" s="14"/>
      <c r="AY483" s="14"/>
      <c r="AZ483" s="14"/>
      <c r="BA483" s="14"/>
    </row>
    <row r="484">
      <c r="A484" s="11"/>
      <c r="B484" s="11"/>
      <c r="C484" s="11"/>
      <c r="D484" s="11"/>
      <c r="E484" s="11"/>
      <c r="F484" s="11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3"/>
      <c r="T484" s="13"/>
      <c r="U484" s="13"/>
      <c r="V484" s="13"/>
      <c r="W484" s="13"/>
      <c r="X484" s="13"/>
      <c r="Y484" s="13"/>
      <c r="Z484" s="13"/>
      <c r="AA484" s="13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3"/>
      <c r="AO484" s="13"/>
      <c r="AP484" s="13"/>
      <c r="AQ484" s="13"/>
      <c r="AR484" s="13"/>
      <c r="AS484" s="13"/>
      <c r="AT484" s="13"/>
      <c r="AU484" s="13"/>
      <c r="AV484" s="13"/>
      <c r="AW484" s="14"/>
      <c r="AX484" s="14"/>
      <c r="AY484" s="14"/>
      <c r="AZ484" s="14"/>
      <c r="BA484" s="14"/>
    </row>
    <row r="485">
      <c r="A485" s="11"/>
      <c r="B485" s="11"/>
      <c r="C485" s="11"/>
      <c r="D485" s="11"/>
      <c r="E485" s="11"/>
      <c r="F485" s="11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3"/>
      <c r="T485" s="13"/>
      <c r="U485" s="13"/>
      <c r="V485" s="13"/>
      <c r="W485" s="13"/>
      <c r="X485" s="13"/>
      <c r="Y485" s="13"/>
      <c r="Z485" s="13"/>
      <c r="AA485" s="13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3"/>
      <c r="AO485" s="13"/>
      <c r="AP485" s="13"/>
      <c r="AQ485" s="13"/>
      <c r="AR485" s="13"/>
      <c r="AS485" s="13"/>
      <c r="AT485" s="13"/>
      <c r="AU485" s="13"/>
      <c r="AV485" s="13"/>
      <c r="AW485" s="14"/>
      <c r="AX485" s="14"/>
      <c r="AY485" s="14"/>
      <c r="AZ485" s="14"/>
      <c r="BA485" s="14"/>
    </row>
    <row r="486">
      <c r="A486" s="11"/>
      <c r="B486" s="11"/>
      <c r="C486" s="11"/>
      <c r="D486" s="11"/>
      <c r="E486" s="11"/>
      <c r="F486" s="11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3"/>
      <c r="T486" s="13"/>
      <c r="U486" s="13"/>
      <c r="V486" s="13"/>
      <c r="W486" s="13"/>
      <c r="X486" s="13"/>
      <c r="Y486" s="13"/>
      <c r="Z486" s="13"/>
      <c r="AA486" s="13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3"/>
      <c r="AO486" s="13"/>
      <c r="AP486" s="13"/>
      <c r="AQ486" s="13"/>
      <c r="AR486" s="13"/>
      <c r="AS486" s="13"/>
      <c r="AT486" s="13"/>
      <c r="AU486" s="13"/>
      <c r="AV486" s="13"/>
      <c r="AW486" s="14"/>
      <c r="AX486" s="14"/>
      <c r="AY486" s="14"/>
      <c r="AZ486" s="14"/>
      <c r="BA486" s="14"/>
    </row>
    <row r="487">
      <c r="A487" s="11"/>
      <c r="B487" s="11"/>
      <c r="C487" s="11"/>
      <c r="D487" s="11"/>
      <c r="E487" s="11"/>
      <c r="F487" s="11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3"/>
      <c r="T487" s="13"/>
      <c r="U487" s="13"/>
      <c r="V487" s="13"/>
      <c r="W487" s="13"/>
      <c r="X487" s="13"/>
      <c r="Y487" s="13"/>
      <c r="Z487" s="13"/>
      <c r="AA487" s="13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3"/>
      <c r="AO487" s="13"/>
      <c r="AP487" s="13"/>
      <c r="AQ487" s="13"/>
      <c r="AR487" s="13"/>
      <c r="AS487" s="13"/>
      <c r="AT487" s="13"/>
      <c r="AU487" s="13"/>
      <c r="AV487" s="13"/>
      <c r="AW487" s="14"/>
      <c r="AX487" s="14"/>
      <c r="AY487" s="14"/>
      <c r="AZ487" s="14"/>
      <c r="BA487" s="14"/>
    </row>
    <row r="488">
      <c r="A488" s="11"/>
      <c r="B488" s="11"/>
      <c r="C488" s="11"/>
      <c r="D488" s="11"/>
      <c r="E488" s="11"/>
      <c r="F488" s="11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3"/>
      <c r="T488" s="13"/>
      <c r="U488" s="13"/>
      <c r="V488" s="13"/>
      <c r="W488" s="13"/>
      <c r="X488" s="13"/>
      <c r="Y488" s="13"/>
      <c r="Z488" s="13"/>
      <c r="AA488" s="13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3"/>
      <c r="AO488" s="13"/>
      <c r="AP488" s="13"/>
      <c r="AQ488" s="13"/>
      <c r="AR488" s="13"/>
      <c r="AS488" s="13"/>
      <c r="AT488" s="13"/>
      <c r="AU488" s="13"/>
      <c r="AV488" s="13"/>
      <c r="AW488" s="14"/>
      <c r="AX488" s="14"/>
      <c r="AY488" s="14"/>
      <c r="AZ488" s="14"/>
      <c r="BA488" s="14"/>
    </row>
    <row r="489">
      <c r="A489" s="11"/>
      <c r="B489" s="11"/>
      <c r="C489" s="11"/>
      <c r="D489" s="11"/>
      <c r="E489" s="11"/>
      <c r="F489" s="11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3"/>
      <c r="T489" s="13"/>
      <c r="U489" s="13"/>
      <c r="V489" s="13"/>
      <c r="W489" s="13"/>
      <c r="X489" s="13"/>
      <c r="Y489" s="13"/>
      <c r="Z489" s="13"/>
      <c r="AA489" s="13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3"/>
      <c r="AO489" s="13"/>
      <c r="AP489" s="13"/>
      <c r="AQ489" s="13"/>
      <c r="AR489" s="13"/>
      <c r="AS489" s="13"/>
      <c r="AT489" s="13"/>
      <c r="AU489" s="13"/>
      <c r="AV489" s="13"/>
      <c r="AW489" s="14"/>
      <c r="AX489" s="14"/>
      <c r="AY489" s="14"/>
      <c r="AZ489" s="14"/>
      <c r="BA489" s="14"/>
    </row>
    <row r="490">
      <c r="A490" s="11"/>
      <c r="B490" s="11"/>
      <c r="C490" s="11"/>
      <c r="D490" s="11"/>
      <c r="E490" s="11"/>
      <c r="F490" s="11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3"/>
      <c r="T490" s="13"/>
      <c r="U490" s="13"/>
      <c r="V490" s="13"/>
      <c r="W490" s="13"/>
      <c r="X490" s="13"/>
      <c r="Y490" s="13"/>
      <c r="Z490" s="13"/>
      <c r="AA490" s="13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3"/>
      <c r="AO490" s="13"/>
      <c r="AP490" s="13"/>
      <c r="AQ490" s="13"/>
      <c r="AR490" s="13"/>
      <c r="AS490" s="13"/>
      <c r="AT490" s="13"/>
      <c r="AU490" s="13"/>
      <c r="AV490" s="13"/>
      <c r="AW490" s="14"/>
      <c r="AX490" s="14"/>
      <c r="AY490" s="14"/>
      <c r="AZ490" s="14"/>
      <c r="BA490" s="14"/>
    </row>
    <row r="491">
      <c r="A491" s="11"/>
      <c r="B491" s="11"/>
      <c r="C491" s="11"/>
      <c r="D491" s="11"/>
      <c r="E491" s="11"/>
      <c r="F491" s="11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3"/>
      <c r="T491" s="13"/>
      <c r="U491" s="13"/>
      <c r="V491" s="13"/>
      <c r="W491" s="13"/>
      <c r="X491" s="13"/>
      <c r="Y491" s="13"/>
      <c r="Z491" s="13"/>
      <c r="AA491" s="13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3"/>
      <c r="AO491" s="13"/>
      <c r="AP491" s="13"/>
      <c r="AQ491" s="13"/>
      <c r="AR491" s="13"/>
      <c r="AS491" s="13"/>
      <c r="AT491" s="13"/>
      <c r="AU491" s="13"/>
      <c r="AV491" s="13"/>
      <c r="AW491" s="14"/>
      <c r="AX491" s="14"/>
      <c r="AY491" s="14"/>
      <c r="AZ491" s="14"/>
      <c r="BA491" s="14"/>
    </row>
    <row r="492">
      <c r="A492" s="11"/>
      <c r="B492" s="11"/>
      <c r="C492" s="11"/>
      <c r="D492" s="11"/>
      <c r="E492" s="11"/>
      <c r="F492" s="11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3"/>
      <c r="T492" s="13"/>
      <c r="U492" s="13"/>
      <c r="V492" s="13"/>
      <c r="W492" s="13"/>
      <c r="X492" s="13"/>
      <c r="Y492" s="13"/>
      <c r="Z492" s="13"/>
      <c r="AA492" s="13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3"/>
      <c r="AO492" s="13"/>
      <c r="AP492" s="13"/>
      <c r="AQ492" s="13"/>
      <c r="AR492" s="13"/>
      <c r="AS492" s="13"/>
      <c r="AT492" s="13"/>
      <c r="AU492" s="13"/>
      <c r="AV492" s="13"/>
      <c r="AW492" s="14"/>
      <c r="AX492" s="14"/>
      <c r="AY492" s="14"/>
      <c r="AZ492" s="14"/>
      <c r="BA492" s="14"/>
    </row>
    <row r="493">
      <c r="A493" s="11"/>
      <c r="B493" s="11"/>
      <c r="C493" s="11"/>
      <c r="D493" s="11"/>
      <c r="E493" s="11"/>
      <c r="F493" s="11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3"/>
      <c r="T493" s="13"/>
      <c r="U493" s="13"/>
      <c r="V493" s="13"/>
      <c r="W493" s="13"/>
      <c r="X493" s="13"/>
      <c r="Y493" s="13"/>
      <c r="Z493" s="13"/>
      <c r="AA493" s="13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3"/>
      <c r="AO493" s="13"/>
      <c r="AP493" s="13"/>
      <c r="AQ493" s="13"/>
      <c r="AR493" s="13"/>
      <c r="AS493" s="13"/>
      <c r="AT493" s="13"/>
      <c r="AU493" s="13"/>
      <c r="AV493" s="13"/>
      <c r="AW493" s="14"/>
      <c r="AX493" s="14"/>
      <c r="AY493" s="14"/>
      <c r="AZ493" s="14"/>
      <c r="BA493" s="14"/>
    </row>
    <row r="494">
      <c r="A494" s="11"/>
      <c r="B494" s="11"/>
      <c r="C494" s="11"/>
      <c r="D494" s="11"/>
      <c r="E494" s="11"/>
      <c r="F494" s="11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3"/>
      <c r="T494" s="13"/>
      <c r="U494" s="13"/>
      <c r="V494" s="13"/>
      <c r="W494" s="13"/>
      <c r="X494" s="13"/>
      <c r="Y494" s="13"/>
      <c r="Z494" s="13"/>
      <c r="AA494" s="13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3"/>
      <c r="AO494" s="13"/>
      <c r="AP494" s="13"/>
      <c r="AQ494" s="13"/>
      <c r="AR494" s="13"/>
      <c r="AS494" s="13"/>
      <c r="AT494" s="13"/>
      <c r="AU494" s="13"/>
      <c r="AV494" s="13"/>
      <c r="AW494" s="14"/>
      <c r="AX494" s="14"/>
      <c r="AY494" s="14"/>
      <c r="AZ494" s="14"/>
      <c r="BA494" s="14"/>
    </row>
    <row r="495">
      <c r="A495" s="11"/>
      <c r="B495" s="11"/>
      <c r="C495" s="11"/>
      <c r="D495" s="11"/>
      <c r="E495" s="11"/>
      <c r="F495" s="11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3"/>
      <c r="T495" s="13"/>
      <c r="U495" s="13"/>
      <c r="V495" s="13"/>
      <c r="W495" s="13"/>
      <c r="X495" s="13"/>
      <c r="Y495" s="13"/>
      <c r="Z495" s="13"/>
      <c r="AA495" s="13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3"/>
      <c r="AO495" s="13"/>
      <c r="AP495" s="13"/>
      <c r="AQ495" s="13"/>
      <c r="AR495" s="13"/>
      <c r="AS495" s="13"/>
      <c r="AT495" s="13"/>
      <c r="AU495" s="13"/>
      <c r="AV495" s="13"/>
      <c r="AW495" s="14"/>
      <c r="AX495" s="14"/>
      <c r="AY495" s="14"/>
      <c r="AZ495" s="14"/>
      <c r="BA495" s="14"/>
    </row>
    <row r="496">
      <c r="A496" s="11"/>
      <c r="B496" s="11"/>
      <c r="C496" s="11"/>
      <c r="D496" s="11"/>
      <c r="E496" s="11"/>
      <c r="F496" s="11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3"/>
      <c r="T496" s="13"/>
      <c r="U496" s="13"/>
      <c r="V496" s="13"/>
      <c r="W496" s="13"/>
      <c r="X496" s="13"/>
      <c r="Y496" s="13"/>
      <c r="Z496" s="13"/>
      <c r="AA496" s="13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3"/>
      <c r="AO496" s="13"/>
      <c r="AP496" s="13"/>
      <c r="AQ496" s="13"/>
      <c r="AR496" s="13"/>
      <c r="AS496" s="13"/>
      <c r="AT496" s="13"/>
      <c r="AU496" s="13"/>
      <c r="AV496" s="13"/>
      <c r="AW496" s="14"/>
      <c r="AX496" s="14"/>
      <c r="AY496" s="14"/>
      <c r="AZ496" s="14"/>
      <c r="BA496" s="14"/>
    </row>
    <row r="497">
      <c r="A497" s="11"/>
      <c r="B497" s="11"/>
      <c r="C497" s="11"/>
      <c r="D497" s="11"/>
      <c r="E497" s="11"/>
      <c r="F497" s="11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3"/>
      <c r="T497" s="13"/>
      <c r="U497" s="13"/>
      <c r="V497" s="13"/>
      <c r="W497" s="13"/>
      <c r="X497" s="13"/>
      <c r="Y497" s="13"/>
      <c r="Z497" s="13"/>
      <c r="AA497" s="13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3"/>
      <c r="AO497" s="13"/>
      <c r="AP497" s="13"/>
      <c r="AQ497" s="13"/>
      <c r="AR497" s="13"/>
      <c r="AS497" s="13"/>
      <c r="AT497" s="13"/>
      <c r="AU497" s="13"/>
      <c r="AV497" s="13"/>
      <c r="AW497" s="14"/>
      <c r="AX497" s="14"/>
      <c r="AY497" s="14"/>
      <c r="AZ497" s="14"/>
      <c r="BA497" s="14"/>
    </row>
    <row r="498">
      <c r="A498" s="11"/>
      <c r="B498" s="11"/>
      <c r="C498" s="11"/>
      <c r="D498" s="11"/>
      <c r="E498" s="11"/>
      <c r="F498" s="11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3"/>
      <c r="T498" s="13"/>
      <c r="U498" s="13"/>
      <c r="V498" s="13"/>
      <c r="W498" s="13"/>
      <c r="X498" s="13"/>
      <c r="Y498" s="13"/>
      <c r="Z498" s="13"/>
      <c r="AA498" s="13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3"/>
      <c r="AO498" s="13"/>
      <c r="AP498" s="13"/>
      <c r="AQ498" s="13"/>
      <c r="AR498" s="13"/>
      <c r="AS498" s="13"/>
      <c r="AT498" s="13"/>
      <c r="AU498" s="13"/>
      <c r="AV498" s="13"/>
      <c r="AW498" s="14"/>
      <c r="AX498" s="14"/>
      <c r="AY498" s="14"/>
      <c r="AZ498" s="14"/>
      <c r="BA498" s="14"/>
    </row>
    <row r="499">
      <c r="A499" s="11"/>
      <c r="B499" s="11"/>
      <c r="C499" s="11"/>
      <c r="D499" s="11"/>
      <c r="E499" s="11"/>
      <c r="F499" s="11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3"/>
      <c r="T499" s="13"/>
      <c r="U499" s="13"/>
      <c r="V499" s="13"/>
      <c r="W499" s="13"/>
      <c r="X499" s="13"/>
      <c r="Y499" s="13"/>
      <c r="Z499" s="13"/>
      <c r="AA499" s="13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3"/>
      <c r="AO499" s="13"/>
      <c r="AP499" s="13"/>
      <c r="AQ499" s="13"/>
      <c r="AR499" s="13"/>
      <c r="AS499" s="13"/>
      <c r="AT499" s="13"/>
      <c r="AU499" s="13"/>
      <c r="AV499" s="13"/>
      <c r="AW499" s="14"/>
      <c r="AX499" s="14"/>
      <c r="AY499" s="14"/>
      <c r="AZ499" s="14"/>
      <c r="BA499" s="14"/>
    </row>
    <row r="500">
      <c r="A500" s="11"/>
      <c r="B500" s="11"/>
      <c r="C500" s="11"/>
      <c r="D500" s="11"/>
      <c r="E500" s="11"/>
      <c r="F500" s="11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3"/>
      <c r="T500" s="13"/>
      <c r="U500" s="13"/>
      <c r="V500" s="13"/>
      <c r="W500" s="13"/>
      <c r="X500" s="13"/>
      <c r="Y500" s="13"/>
      <c r="Z500" s="13"/>
      <c r="AA500" s="13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3"/>
      <c r="AO500" s="13"/>
      <c r="AP500" s="13"/>
      <c r="AQ500" s="13"/>
      <c r="AR500" s="13"/>
      <c r="AS500" s="13"/>
      <c r="AT500" s="13"/>
      <c r="AU500" s="13"/>
      <c r="AV500" s="13"/>
      <c r="AW500" s="14"/>
      <c r="AX500" s="14"/>
      <c r="AY500" s="14"/>
      <c r="AZ500" s="14"/>
      <c r="BA500" s="14"/>
    </row>
    <row r="501">
      <c r="A501" s="11"/>
      <c r="B501" s="11"/>
      <c r="C501" s="11"/>
      <c r="D501" s="11"/>
      <c r="E501" s="11"/>
      <c r="F501" s="11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3"/>
      <c r="T501" s="13"/>
      <c r="U501" s="13"/>
      <c r="V501" s="13"/>
      <c r="W501" s="13"/>
      <c r="X501" s="13"/>
      <c r="Y501" s="13"/>
      <c r="Z501" s="13"/>
      <c r="AA501" s="13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3"/>
      <c r="AO501" s="13"/>
      <c r="AP501" s="13"/>
      <c r="AQ501" s="13"/>
      <c r="AR501" s="13"/>
      <c r="AS501" s="13"/>
      <c r="AT501" s="13"/>
      <c r="AU501" s="13"/>
      <c r="AV501" s="13"/>
      <c r="AW501" s="14"/>
      <c r="AX501" s="14"/>
      <c r="AY501" s="14"/>
      <c r="AZ501" s="14"/>
      <c r="BA501" s="14"/>
    </row>
    <row r="502">
      <c r="A502" s="11"/>
      <c r="B502" s="11"/>
      <c r="C502" s="11"/>
      <c r="D502" s="11"/>
      <c r="E502" s="11"/>
      <c r="F502" s="11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3"/>
      <c r="T502" s="13"/>
      <c r="U502" s="13"/>
      <c r="V502" s="13"/>
      <c r="W502" s="13"/>
      <c r="X502" s="13"/>
      <c r="Y502" s="13"/>
      <c r="Z502" s="13"/>
      <c r="AA502" s="13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3"/>
      <c r="AO502" s="13"/>
      <c r="AP502" s="13"/>
      <c r="AQ502" s="13"/>
      <c r="AR502" s="13"/>
      <c r="AS502" s="13"/>
      <c r="AT502" s="13"/>
      <c r="AU502" s="13"/>
      <c r="AV502" s="13"/>
      <c r="AW502" s="14"/>
      <c r="AX502" s="14"/>
      <c r="AY502" s="14"/>
      <c r="AZ502" s="14"/>
      <c r="BA502" s="14"/>
    </row>
    <row r="503">
      <c r="A503" s="11"/>
      <c r="B503" s="11"/>
      <c r="C503" s="11"/>
      <c r="D503" s="11"/>
      <c r="E503" s="11"/>
      <c r="F503" s="11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3"/>
      <c r="T503" s="13"/>
      <c r="U503" s="13"/>
      <c r="V503" s="13"/>
      <c r="W503" s="13"/>
      <c r="X503" s="13"/>
      <c r="Y503" s="13"/>
      <c r="Z503" s="13"/>
      <c r="AA503" s="13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3"/>
      <c r="AO503" s="13"/>
      <c r="AP503" s="13"/>
      <c r="AQ503" s="13"/>
      <c r="AR503" s="13"/>
      <c r="AS503" s="13"/>
      <c r="AT503" s="13"/>
      <c r="AU503" s="13"/>
      <c r="AV503" s="13"/>
      <c r="AW503" s="14"/>
      <c r="AX503" s="14"/>
      <c r="AY503" s="14"/>
      <c r="AZ503" s="14"/>
      <c r="BA503" s="14"/>
    </row>
    <row r="504">
      <c r="A504" s="11"/>
      <c r="B504" s="11"/>
      <c r="C504" s="11"/>
      <c r="D504" s="11"/>
      <c r="E504" s="11"/>
      <c r="F504" s="11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3"/>
      <c r="T504" s="13"/>
      <c r="U504" s="13"/>
      <c r="V504" s="13"/>
      <c r="W504" s="13"/>
      <c r="X504" s="13"/>
      <c r="Y504" s="13"/>
      <c r="Z504" s="13"/>
      <c r="AA504" s="13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3"/>
      <c r="AO504" s="13"/>
      <c r="AP504" s="13"/>
      <c r="AQ504" s="13"/>
      <c r="AR504" s="13"/>
      <c r="AS504" s="13"/>
      <c r="AT504" s="13"/>
      <c r="AU504" s="13"/>
      <c r="AV504" s="13"/>
      <c r="AW504" s="14"/>
      <c r="AX504" s="14"/>
      <c r="AY504" s="14"/>
      <c r="AZ504" s="14"/>
      <c r="BA504" s="14"/>
    </row>
    <row r="505">
      <c r="A505" s="11"/>
      <c r="B505" s="11"/>
      <c r="C505" s="11"/>
      <c r="D505" s="11"/>
      <c r="E505" s="11"/>
      <c r="F505" s="11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3"/>
      <c r="T505" s="13"/>
      <c r="U505" s="13"/>
      <c r="V505" s="13"/>
      <c r="W505" s="13"/>
      <c r="X505" s="13"/>
      <c r="Y505" s="13"/>
      <c r="Z505" s="13"/>
      <c r="AA505" s="13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3"/>
      <c r="AO505" s="13"/>
      <c r="AP505" s="13"/>
      <c r="AQ505" s="13"/>
      <c r="AR505" s="13"/>
      <c r="AS505" s="13"/>
      <c r="AT505" s="13"/>
      <c r="AU505" s="13"/>
      <c r="AV505" s="13"/>
      <c r="AW505" s="14"/>
      <c r="AX505" s="14"/>
      <c r="AY505" s="14"/>
      <c r="AZ505" s="14"/>
      <c r="BA505" s="14"/>
    </row>
    <row r="506">
      <c r="A506" s="11"/>
      <c r="B506" s="11"/>
      <c r="C506" s="11"/>
      <c r="D506" s="11"/>
      <c r="E506" s="11"/>
      <c r="F506" s="11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3"/>
      <c r="T506" s="13"/>
      <c r="U506" s="13"/>
      <c r="V506" s="13"/>
      <c r="W506" s="13"/>
      <c r="X506" s="13"/>
      <c r="Y506" s="13"/>
      <c r="Z506" s="13"/>
      <c r="AA506" s="13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3"/>
      <c r="AO506" s="13"/>
      <c r="AP506" s="13"/>
      <c r="AQ506" s="13"/>
      <c r="AR506" s="13"/>
      <c r="AS506" s="13"/>
      <c r="AT506" s="13"/>
      <c r="AU506" s="13"/>
      <c r="AV506" s="13"/>
      <c r="AW506" s="14"/>
      <c r="AX506" s="14"/>
      <c r="AY506" s="14"/>
      <c r="AZ506" s="14"/>
      <c r="BA506" s="14"/>
    </row>
    <row r="507">
      <c r="A507" s="11"/>
      <c r="B507" s="11"/>
      <c r="C507" s="11"/>
      <c r="D507" s="11"/>
      <c r="E507" s="11"/>
      <c r="F507" s="11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3"/>
      <c r="T507" s="13"/>
      <c r="U507" s="13"/>
      <c r="V507" s="13"/>
      <c r="W507" s="13"/>
      <c r="X507" s="13"/>
      <c r="Y507" s="13"/>
      <c r="Z507" s="13"/>
      <c r="AA507" s="13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3"/>
      <c r="AO507" s="13"/>
      <c r="AP507" s="13"/>
      <c r="AQ507" s="13"/>
      <c r="AR507" s="13"/>
      <c r="AS507" s="13"/>
      <c r="AT507" s="13"/>
      <c r="AU507" s="13"/>
      <c r="AV507" s="13"/>
      <c r="AW507" s="14"/>
      <c r="AX507" s="14"/>
      <c r="AY507" s="14"/>
      <c r="AZ507" s="14"/>
      <c r="BA507" s="14"/>
    </row>
    <row r="508">
      <c r="A508" s="11"/>
      <c r="B508" s="11"/>
      <c r="C508" s="11"/>
      <c r="D508" s="11"/>
      <c r="E508" s="11"/>
      <c r="F508" s="11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3"/>
      <c r="T508" s="13"/>
      <c r="U508" s="13"/>
      <c r="V508" s="13"/>
      <c r="W508" s="13"/>
      <c r="X508" s="13"/>
      <c r="Y508" s="13"/>
      <c r="Z508" s="13"/>
      <c r="AA508" s="13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3"/>
      <c r="AO508" s="13"/>
      <c r="AP508" s="13"/>
      <c r="AQ508" s="13"/>
      <c r="AR508" s="13"/>
      <c r="AS508" s="13"/>
      <c r="AT508" s="13"/>
      <c r="AU508" s="13"/>
      <c r="AV508" s="13"/>
      <c r="AW508" s="14"/>
      <c r="AX508" s="14"/>
      <c r="AY508" s="14"/>
      <c r="AZ508" s="14"/>
      <c r="BA508" s="14"/>
    </row>
    <row r="509">
      <c r="A509" s="11"/>
      <c r="B509" s="11"/>
      <c r="C509" s="11"/>
      <c r="D509" s="11"/>
      <c r="E509" s="11"/>
      <c r="F509" s="11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3"/>
      <c r="T509" s="13"/>
      <c r="U509" s="13"/>
      <c r="V509" s="13"/>
      <c r="W509" s="13"/>
      <c r="X509" s="13"/>
      <c r="Y509" s="13"/>
      <c r="Z509" s="13"/>
      <c r="AA509" s="13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3"/>
      <c r="AO509" s="13"/>
      <c r="AP509" s="13"/>
      <c r="AQ509" s="13"/>
      <c r="AR509" s="13"/>
      <c r="AS509" s="13"/>
      <c r="AT509" s="13"/>
      <c r="AU509" s="13"/>
      <c r="AV509" s="13"/>
      <c r="AW509" s="14"/>
      <c r="AX509" s="14"/>
      <c r="AY509" s="14"/>
      <c r="AZ509" s="14"/>
      <c r="BA509" s="14"/>
    </row>
    <row r="510">
      <c r="A510" s="11"/>
      <c r="B510" s="11"/>
      <c r="C510" s="11"/>
      <c r="D510" s="11"/>
      <c r="E510" s="11"/>
      <c r="F510" s="11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3"/>
      <c r="T510" s="13"/>
      <c r="U510" s="13"/>
      <c r="V510" s="13"/>
      <c r="W510" s="13"/>
      <c r="X510" s="13"/>
      <c r="Y510" s="13"/>
      <c r="Z510" s="13"/>
      <c r="AA510" s="13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3"/>
      <c r="AO510" s="13"/>
      <c r="AP510" s="13"/>
      <c r="AQ510" s="13"/>
      <c r="AR510" s="13"/>
      <c r="AS510" s="13"/>
      <c r="AT510" s="13"/>
      <c r="AU510" s="13"/>
      <c r="AV510" s="13"/>
      <c r="AW510" s="14"/>
      <c r="AX510" s="14"/>
      <c r="AY510" s="14"/>
      <c r="AZ510" s="14"/>
      <c r="BA510" s="14"/>
    </row>
    <row r="511">
      <c r="A511" s="11"/>
      <c r="B511" s="11"/>
      <c r="C511" s="11"/>
      <c r="D511" s="11"/>
      <c r="E511" s="11"/>
      <c r="F511" s="11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3"/>
      <c r="T511" s="13"/>
      <c r="U511" s="13"/>
      <c r="V511" s="13"/>
      <c r="W511" s="13"/>
      <c r="X511" s="13"/>
      <c r="Y511" s="13"/>
      <c r="Z511" s="13"/>
      <c r="AA511" s="13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3"/>
      <c r="AO511" s="13"/>
      <c r="AP511" s="13"/>
      <c r="AQ511" s="13"/>
      <c r="AR511" s="13"/>
      <c r="AS511" s="13"/>
      <c r="AT511" s="13"/>
      <c r="AU511" s="13"/>
      <c r="AV511" s="13"/>
      <c r="AW511" s="14"/>
      <c r="AX511" s="14"/>
      <c r="AY511" s="14"/>
      <c r="AZ511" s="14"/>
      <c r="BA511" s="14"/>
    </row>
    <row r="512">
      <c r="A512" s="11"/>
      <c r="B512" s="11"/>
      <c r="C512" s="11"/>
      <c r="D512" s="11"/>
      <c r="E512" s="11"/>
      <c r="F512" s="11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3"/>
      <c r="T512" s="13"/>
      <c r="U512" s="13"/>
      <c r="V512" s="13"/>
      <c r="W512" s="13"/>
      <c r="X512" s="13"/>
      <c r="Y512" s="13"/>
      <c r="Z512" s="13"/>
      <c r="AA512" s="13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3"/>
      <c r="AO512" s="13"/>
      <c r="AP512" s="13"/>
      <c r="AQ512" s="13"/>
      <c r="AR512" s="13"/>
      <c r="AS512" s="13"/>
      <c r="AT512" s="13"/>
      <c r="AU512" s="13"/>
      <c r="AV512" s="13"/>
      <c r="AW512" s="14"/>
      <c r="AX512" s="14"/>
      <c r="AY512" s="14"/>
      <c r="AZ512" s="14"/>
      <c r="BA512" s="14"/>
    </row>
    <row r="513">
      <c r="A513" s="11"/>
      <c r="B513" s="11"/>
      <c r="C513" s="11"/>
      <c r="D513" s="11"/>
      <c r="E513" s="11"/>
      <c r="F513" s="11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3"/>
      <c r="T513" s="13"/>
      <c r="U513" s="13"/>
      <c r="V513" s="13"/>
      <c r="W513" s="13"/>
      <c r="X513" s="13"/>
      <c r="Y513" s="13"/>
      <c r="Z513" s="13"/>
      <c r="AA513" s="13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3"/>
      <c r="AO513" s="13"/>
      <c r="AP513" s="13"/>
      <c r="AQ513" s="13"/>
      <c r="AR513" s="13"/>
      <c r="AS513" s="13"/>
      <c r="AT513" s="13"/>
      <c r="AU513" s="13"/>
      <c r="AV513" s="13"/>
      <c r="AW513" s="14"/>
      <c r="AX513" s="14"/>
      <c r="AY513" s="14"/>
      <c r="AZ513" s="14"/>
      <c r="BA513" s="14"/>
    </row>
    <row r="514">
      <c r="A514" s="11"/>
      <c r="B514" s="11"/>
      <c r="C514" s="11"/>
      <c r="D514" s="11"/>
      <c r="E514" s="11"/>
      <c r="F514" s="11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3"/>
      <c r="T514" s="13"/>
      <c r="U514" s="13"/>
      <c r="V514" s="13"/>
      <c r="W514" s="13"/>
      <c r="X514" s="13"/>
      <c r="Y514" s="13"/>
      <c r="Z514" s="13"/>
      <c r="AA514" s="13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3"/>
      <c r="AO514" s="13"/>
      <c r="AP514" s="13"/>
      <c r="AQ514" s="13"/>
      <c r="AR514" s="13"/>
      <c r="AS514" s="13"/>
      <c r="AT514" s="13"/>
      <c r="AU514" s="13"/>
      <c r="AV514" s="13"/>
      <c r="AW514" s="14"/>
      <c r="AX514" s="14"/>
      <c r="AY514" s="14"/>
      <c r="AZ514" s="14"/>
      <c r="BA514" s="14"/>
    </row>
    <row r="515">
      <c r="A515" s="11"/>
      <c r="B515" s="11"/>
      <c r="C515" s="11"/>
      <c r="D515" s="11"/>
      <c r="E515" s="11"/>
      <c r="F515" s="11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3"/>
      <c r="T515" s="13"/>
      <c r="U515" s="13"/>
      <c r="V515" s="13"/>
      <c r="W515" s="13"/>
      <c r="X515" s="13"/>
      <c r="Y515" s="13"/>
      <c r="Z515" s="13"/>
      <c r="AA515" s="13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3"/>
      <c r="AO515" s="13"/>
      <c r="AP515" s="13"/>
      <c r="AQ515" s="13"/>
      <c r="AR515" s="13"/>
      <c r="AS515" s="13"/>
      <c r="AT515" s="13"/>
      <c r="AU515" s="13"/>
      <c r="AV515" s="13"/>
      <c r="AW515" s="14"/>
      <c r="AX515" s="14"/>
      <c r="AY515" s="14"/>
      <c r="AZ515" s="14"/>
      <c r="BA515" s="14"/>
    </row>
    <row r="516">
      <c r="A516" s="11"/>
      <c r="B516" s="11"/>
      <c r="C516" s="11"/>
      <c r="D516" s="11"/>
      <c r="E516" s="11"/>
      <c r="F516" s="11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3"/>
      <c r="T516" s="13"/>
      <c r="U516" s="13"/>
      <c r="V516" s="13"/>
      <c r="W516" s="13"/>
      <c r="X516" s="13"/>
      <c r="Y516" s="13"/>
      <c r="Z516" s="13"/>
      <c r="AA516" s="13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3"/>
      <c r="AO516" s="13"/>
      <c r="AP516" s="13"/>
      <c r="AQ516" s="13"/>
      <c r="AR516" s="13"/>
      <c r="AS516" s="13"/>
      <c r="AT516" s="13"/>
      <c r="AU516" s="13"/>
      <c r="AV516" s="13"/>
      <c r="AW516" s="14"/>
      <c r="AX516" s="14"/>
      <c r="AY516" s="14"/>
      <c r="AZ516" s="14"/>
      <c r="BA516" s="14"/>
    </row>
    <row r="517">
      <c r="A517" s="11"/>
      <c r="B517" s="11"/>
      <c r="C517" s="11"/>
      <c r="D517" s="11"/>
      <c r="E517" s="11"/>
      <c r="F517" s="11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3"/>
      <c r="T517" s="13"/>
      <c r="U517" s="13"/>
      <c r="V517" s="13"/>
      <c r="W517" s="13"/>
      <c r="X517" s="13"/>
      <c r="Y517" s="13"/>
      <c r="Z517" s="13"/>
      <c r="AA517" s="13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3"/>
      <c r="AO517" s="13"/>
      <c r="AP517" s="13"/>
      <c r="AQ517" s="13"/>
      <c r="AR517" s="13"/>
      <c r="AS517" s="13"/>
      <c r="AT517" s="13"/>
      <c r="AU517" s="13"/>
      <c r="AV517" s="13"/>
      <c r="AW517" s="14"/>
      <c r="AX517" s="14"/>
      <c r="AY517" s="14"/>
      <c r="AZ517" s="14"/>
      <c r="BA517" s="14"/>
    </row>
    <row r="518">
      <c r="A518" s="11"/>
      <c r="B518" s="11"/>
      <c r="C518" s="11"/>
      <c r="D518" s="11"/>
      <c r="E518" s="11"/>
      <c r="F518" s="11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3"/>
      <c r="T518" s="13"/>
      <c r="U518" s="13"/>
      <c r="V518" s="13"/>
      <c r="W518" s="13"/>
      <c r="X518" s="13"/>
      <c r="Y518" s="13"/>
      <c r="Z518" s="13"/>
      <c r="AA518" s="13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3"/>
      <c r="AO518" s="13"/>
      <c r="AP518" s="13"/>
      <c r="AQ518" s="13"/>
      <c r="AR518" s="13"/>
      <c r="AS518" s="13"/>
      <c r="AT518" s="13"/>
      <c r="AU518" s="13"/>
      <c r="AV518" s="13"/>
      <c r="AW518" s="14"/>
      <c r="AX518" s="14"/>
      <c r="AY518" s="14"/>
      <c r="AZ518" s="14"/>
      <c r="BA518" s="14"/>
    </row>
    <row r="519">
      <c r="A519" s="11"/>
      <c r="B519" s="11"/>
      <c r="C519" s="11"/>
      <c r="D519" s="11"/>
      <c r="E519" s="11"/>
      <c r="F519" s="11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3"/>
      <c r="T519" s="13"/>
      <c r="U519" s="13"/>
      <c r="V519" s="13"/>
      <c r="W519" s="13"/>
      <c r="X519" s="13"/>
      <c r="Y519" s="13"/>
      <c r="Z519" s="13"/>
      <c r="AA519" s="13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3"/>
      <c r="AO519" s="13"/>
      <c r="AP519" s="13"/>
      <c r="AQ519" s="13"/>
      <c r="AR519" s="13"/>
      <c r="AS519" s="13"/>
      <c r="AT519" s="13"/>
      <c r="AU519" s="13"/>
      <c r="AV519" s="13"/>
      <c r="AW519" s="14"/>
      <c r="AX519" s="14"/>
      <c r="AY519" s="14"/>
      <c r="AZ519" s="14"/>
      <c r="BA519" s="14"/>
    </row>
    <row r="520">
      <c r="A520" s="11"/>
      <c r="B520" s="11"/>
      <c r="C520" s="11"/>
      <c r="D520" s="11"/>
      <c r="E520" s="11"/>
      <c r="F520" s="11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3"/>
      <c r="T520" s="13"/>
      <c r="U520" s="13"/>
      <c r="V520" s="13"/>
      <c r="W520" s="13"/>
      <c r="X520" s="13"/>
      <c r="Y520" s="13"/>
      <c r="Z520" s="13"/>
      <c r="AA520" s="13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3"/>
      <c r="AO520" s="13"/>
      <c r="AP520" s="13"/>
      <c r="AQ520" s="13"/>
      <c r="AR520" s="13"/>
      <c r="AS520" s="13"/>
      <c r="AT520" s="13"/>
      <c r="AU520" s="13"/>
      <c r="AV520" s="13"/>
      <c r="AW520" s="14"/>
      <c r="AX520" s="14"/>
      <c r="AY520" s="14"/>
      <c r="AZ520" s="14"/>
      <c r="BA520" s="14"/>
    </row>
    <row r="521">
      <c r="A521" s="11"/>
      <c r="B521" s="11"/>
      <c r="C521" s="11"/>
      <c r="D521" s="11"/>
      <c r="E521" s="11"/>
      <c r="F521" s="11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3"/>
      <c r="T521" s="13"/>
      <c r="U521" s="13"/>
      <c r="V521" s="13"/>
      <c r="W521" s="13"/>
      <c r="X521" s="13"/>
      <c r="Y521" s="13"/>
      <c r="Z521" s="13"/>
      <c r="AA521" s="13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3"/>
      <c r="AO521" s="13"/>
      <c r="AP521" s="13"/>
      <c r="AQ521" s="13"/>
      <c r="AR521" s="13"/>
      <c r="AS521" s="13"/>
      <c r="AT521" s="13"/>
      <c r="AU521" s="13"/>
      <c r="AV521" s="13"/>
      <c r="AW521" s="14"/>
      <c r="AX521" s="14"/>
      <c r="AY521" s="14"/>
      <c r="AZ521" s="14"/>
      <c r="BA521" s="14"/>
    </row>
    <row r="522">
      <c r="A522" s="11"/>
      <c r="B522" s="11"/>
      <c r="C522" s="11"/>
      <c r="D522" s="11"/>
      <c r="E522" s="11"/>
      <c r="F522" s="11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3"/>
      <c r="T522" s="13"/>
      <c r="U522" s="13"/>
      <c r="V522" s="13"/>
      <c r="W522" s="13"/>
      <c r="X522" s="13"/>
      <c r="Y522" s="13"/>
      <c r="Z522" s="13"/>
      <c r="AA522" s="13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3"/>
      <c r="AO522" s="13"/>
      <c r="AP522" s="13"/>
      <c r="AQ522" s="13"/>
      <c r="AR522" s="13"/>
      <c r="AS522" s="13"/>
      <c r="AT522" s="13"/>
      <c r="AU522" s="13"/>
      <c r="AV522" s="13"/>
      <c r="AW522" s="14"/>
      <c r="AX522" s="14"/>
      <c r="AY522" s="14"/>
      <c r="AZ522" s="14"/>
      <c r="BA522" s="14"/>
    </row>
    <row r="523">
      <c r="A523" s="11"/>
      <c r="B523" s="11"/>
      <c r="C523" s="11"/>
      <c r="D523" s="11"/>
      <c r="E523" s="11"/>
      <c r="F523" s="11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3"/>
      <c r="T523" s="13"/>
      <c r="U523" s="13"/>
      <c r="V523" s="13"/>
      <c r="W523" s="13"/>
      <c r="X523" s="13"/>
      <c r="Y523" s="13"/>
      <c r="Z523" s="13"/>
      <c r="AA523" s="13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3"/>
      <c r="AO523" s="13"/>
      <c r="AP523" s="13"/>
      <c r="AQ523" s="13"/>
      <c r="AR523" s="13"/>
      <c r="AS523" s="13"/>
      <c r="AT523" s="13"/>
      <c r="AU523" s="13"/>
      <c r="AV523" s="13"/>
      <c r="AW523" s="14"/>
      <c r="AX523" s="14"/>
      <c r="AY523" s="14"/>
      <c r="AZ523" s="14"/>
      <c r="BA523" s="14"/>
    </row>
    <row r="524">
      <c r="A524" s="11"/>
      <c r="B524" s="11"/>
      <c r="C524" s="11"/>
      <c r="D524" s="11"/>
      <c r="E524" s="11"/>
      <c r="F524" s="11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3"/>
      <c r="T524" s="13"/>
      <c r="U524" s="13"/>
      <c r="V524" s="13"/>
      <c r="W524" s="13"/>
      <c r="X524" s="13"/>
      <c r="Y524" s="13"/>
      <c r="Z524" s="13"/>
      <c r="AA524" s="13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3"/>
      <c r="AO524" s="13"/>
      <c r="AP524" s="13"/>
      <c r="AQ524" s="13"/>
      <c r="AR524" s="13"/>
      <c r="AS524" s="13"/>
      <c r="AT524" s="13"/>
      <c r="AU524" s="13"/>
      <c r="AV524" s="13"/>
      <c r="AW524" s="14"/>
      <c r="AX524" s="14"/>
      <c r="AY524" s="14"/>
      <c r="AZ524" s="14"/>
      <c r="BA524" s="14"/>
    </row>
    <row r="525">
      <c r="A525" s="11"/>
      <c r="B525" s="11"/>
      <c r="C525" s="11"/>
      <c r="D525" s="11"/>
      <c r="E525" s="11"/>
      <c r="F525" s="11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3"/>
      <c r="T525" s="13"/>
      <c r="U525" s="13"/>
      <c r="V525" s="13"/>
      <c r="W525" s="13"/>
      <c r="X525" s="13"/>
      <c r="Y525" s="13"/>
      <c r="Z525" s="13"/>
      <c r="AA525" s="13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3"/>
      <c r="AO525" s="13"/>
      <c r="AP525" s="13"/>
      <c r="AQ525" s="13"/>
      <c r="AR525" s="13"/>
      <c r="AS525" s="13"/>
      <c r="AT525" s="13"/>
      <c r="AU525" s="13"/>
      <c r="AV525" s="13"/>
      <c r="AW525" s="14"/>
      <c r="AX525" s="14"/>
      <c r="AY525" s="14"/>
      <c r="AZ525" s="14"/>
      <c r="BA525" s="14"/>
    </row>
    <row r="526">
      <c r="A526" s="11"/>
      <c r="B526" s="11"/>
      <c r="C526" s="11"/>
      <c r="D526" s="11"/>
      <c r="E526" s="11"/>
      <c r="F526" s="11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3"/>
      <c r="T526" s="13"/>
      <c r="U526" s="13"/>
      <c r="V526" s="13"/>
      <c r="W526" s="13"/>
      <c r="X526" s="13"/>
      <c r="Y526" s="13"/>
      <c r="Z526" s="13"/>
      <c r="AA526" s="13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3"/>
      <c r="AO526" s="13"/>
      <c r="AP526" s="13"/>
      <c r="AQ526" s="13"/>
      <c r="AR526" s="13"/>
      <c r="AS526" s="13"/>
      <c r="AT526" s="13"/>
      <c r="AU526" s="13"/>
      <c r="AV526" s="13"/>
      <c r="AW526" s="14"/>
      <c r="AX526" s="14"/>
      <c r="AY526" s="14"/>
      <c r="AZ526" s="14"/>
      <c r="BA526" s="14"/>
    </row>
    <row r="527">
      <c r="A527" s="11"/>
      <c r="B527" s="11"/>
      <c r="C527" s="11"/>
      <c r="D527" s="11"/>
      <c r="E527" s="11"/>
      <c r="F527" s="11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3"/>
      <c r="T527" s="13"/>
      <c r="U527" s="13"/>
      <c r="V527" s="13"/>
      <c r="W527" s="13"/>
      <c r="X527" s="13"/>
      <c r="Y527" s="13"/>
      <c r="Z527" s="13"/>
      <c r="AA527" s="13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3"/>
      <c r="AO527" s="13"/>
      <c r="AP527" s="13"/>
      <c r="AQ527" s="13"/>
      <c r="AR527" s="13"/>
      <c r="AS527" s="13"/>
      <c r="AT527" s="13"/>
      <c r="AU527" s="13"/>
      <c r="AV527" s="13"/>
      <c r="AW527" s="14"/>
      <c r="AX527" s="14"/>
      <c r="AY527" s="14"/>
      <c r="AZ527" s="14"/>
      <c r="BA527" s="14"/>
    </row>
    <row r="528">
      <c r="A528" s="11"/>
      <c r="B528" s="11"/>
      <c r="C528" s="11"/>
      <c r="D528" s="11"/>
      <c r="E528" s="11"/>
      <c r="F528" s="11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3"/>
      <c r="T528" s="13"/>
      <c r="U528" s="13"/>
      <c r="V528" s="13"/>
      <c r="W528" s="13"/>
      <c r="X528" s="13"/>
      <c r="Y528" s="13"/>
      <c r="Z528" s="13"/>
      <c r="AA528" s="13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3"/>
      <c r="AO528" s="13"/>
      <c r="AP528" s="13"/>
      <c r="AQ528" s="13"/>
      <c r="AR528" s="13"/>
      <c r="AS528" s="13"/>
      <c r="AT528" s="13"/>
      <c r="AU528" s="13"/>
      <c r="AV528" s="13"/>
      <c r="AW528" s="14"/>
      <c r="AX528" s="14"/>
      <c r="AY528" s="14"/>
      <c r="AZ528" s="14"/>
      <c r="BA528" s="14"/>
    </row>
    <row r="529">
      <c r="A529" s="11"/>
      <c r="B529" s="11"/>
      <c r="C529" s="11"/>
      <c r="D529" s="11"/>
      <c r="E529" s="11"/>
      <c r="F529" s="11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3"/>
      <c r="T529" s="13"/>
      <c r="U529" s="13"/>
      <c r="V529" s="13"/>
      <c r="W529" s="13"/>
      <c r="X529" s="13"/>
      <c r="Y529" s="13"/>
      <c r="Z529" s="13"/>
      <c r="AA529" s="13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3"/>
      <c r="AO529" s="13"/>
      <c r="AP529" s="13"/>
      <c r="AQ529" s="13"/>
      <c r="AR529" s="13"/>
      <c r="AS529" s="13"/>
      <c r="AT529" s="13"/>
      <c r="AU529" s="13"/>
      <c r="AV529" s="13"/>
      <c r="AW529" s="14"/>
      <c r="AX529" s="14"/>
      <c r="AY529" s="14"/>
      <c r="AZ529" s="14"/>
      <c r="BA529" s="14"/>
    </row>
    <row r="530">
      <c r="A530" s="11"/>
      <c r="B530" s="11"/>
      <c r="C530" s="11"/>
      <c r="D530" s="11"/>
      <c r="E530" s="11"/>
      <c r="F530" s="11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3"/>
      <c r="T530" s="13"/>
      <c r="U530" s="13"/>
      <c r="V530" s="13"/>
      <c r="W530" s="13"/>
      <c r="X530" s="13"/>
      <c r="Y530" s="13"/>
      <c r="Z530" s="13"/>
      <c r="AA530" s="13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3"/>
      <c r="AO530" s="13"/>
      <c r="AP530" s="13"/>
      <c r="AQ530" s="13"/>
      <c r="AR530" s="13"/>
      <c r="AS530" s="13"/>
      <c r="AT530" s="13"/>
      <c r="AU530" s="13"/>
      <c r="AV530" s="13"/>
      <c r="AW530" s="14"/>
      <c r="AX530" s="14"/>
      <c r="AY530" s="14"/>
      <c r="AZ530" s="14"/>
      <c r="BA530" s="14"/>
    </row>
    <row r="531">
      <c r="A531" s="11"/>
      <c r="B531" s="11"/>
      <c r="C531" s="11"/>
      <c r="D531" s="11"/>
      <c r="E531" s="11"/>
      <c r="F531" s="11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3"/>
      <c r="T531" s="13"/>
      <c r="U531" s="13"/>
      <c r="V531" s="13"/>
      <c r="W531" s="13"/>
      <c r="X531" s="13"/>
      <c r="Y531" s="13"/>
      <c r="Z531" s="13"/>
      <c r="AA531" s="13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3"/>
      <c r="AO531" s="13"/>
      <c r="AP531" s="13"/>
      <c r="AQ531" s="13"/>
      <c r="AR531" s="13"/>
      <c r="AS531" s="13"/>
      <c r="AT531" s="13"/>
      <c r="AU531" s="13"/>
      <c r="AV531" s="13"/>
      <c r="AW531" s="14"/>
      <c r="AX531" s="14"/>
      <c r="AY531" s="14"/>
      <c r="AZ531" s="14"/>
      <c r="BA531" s="14"/>
    </row>
    <row r="532">
      <c r="A532" s="11"/>
      <c r="B532" s="11"/>
      <c r="C532" s="11"/>
      <c r="D532" s="11"/>
      <c r="E532" s="11"/>
      <c r="F532" s="11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3"/>
      <c r="T532" s="13"/>
      <c r="U532" s="13"/>
      <c r="V532" s="13"/>
      <c r="W532" s="13"/>
      <c r="X532" s="13"/>
      <c r="Y532" s="13"/>
      <c r="Z532" s="13"/>
      <c r="AA532" s="13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3"/>
      <c r="AO532" s="13"/>
      <c r="AP532" s="13"/>
      <c r="AQ532" s="13"/>
      <c r="AR532" s="13"/>
      <c r="AS532" s="13"/>
      <c r="AT532" s="13"/>
      <c r="AU532" s="13"/>
      <c r="AV532" s="13"/>
      <c r="AW532" s="14"/>
      <c r="AX532" s="14"/>
      <c r="AY532" s="14"/>
      <c r="AZ532" s="14"/>
      <c r="BA532" s="14"/>
    </row>
    <row r="533">
      <c r="A533" s="11"/>
      <c r="B533" s="11"/>
      <c r="C533" s="11"/>
      <c r="D533" s="11"/>
      <c r="E533" s="11"/>
      <c r="F533" s="11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3"/>
      <c r="T533" s="13"/>
      <c r="U533" s="13"/>
      <c r="V533" s="13"/>
      <c r="W533" s="13"/>
      <c r="X533" s="13"/>
      <c r="Y533" s="13"/>
      <c r="Z533" s="13"/>
      <c r="AA533" s="13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3"/>
      <c r="AO533" s="13"/>
      <c r="AP533" s="13"/>
      <c r="AQ533" s="13"/>
      <c r="AR533" s="13"/>
      <c r="AS533" s="13"/>
      <c r="AT533" s="13"/>
      <c r="AU533" s="13"/>
      <c r="AV533" s="13"/>
      <c r="AW533" s="14"/>
      <c r="AX533" s="14"/>
      <c r="AY533" s="14"/>
      <c r="AZ533" s="14"/>
      <c r="BA533" s="14"/>
    </row>
    <row r="534">
      <c r="A534" s="11"/>
      <c r="B534" s="11"/>
      <c r="C534" s="11"/>
      <c r="D534" s="11"/>
      <c r="E534" s="11"/>
      <c r="F534" s="11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3"/>
      <c r="T534" s="13"/>
      <c r="U534" s="13"/>
      <c r="V534" s="13"/>
      <c r="W534" s="13"/>
      <c r="X534" s="13"/>
      <c r="Y534" s="13"/>
      <c r="Z534" s="13"/>
      <c r="AA534" s="13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3"/>
      <c r="AO534" s="13"/>
      <c r="AP534" s="13"/>
      <c r="AQ534" s="13"/>
      <c r="AR534" s="13"/>
      <c r="AS534" s="13"/>
      <c r="AT534" s="13"/>
      <c r="AU534" s="13"/>
      <c r="AV534" s="13"/>
      <c r="AW534" s="14"/>
      <c r="AX534" s="14"/>
      <c r="AY534" s="14"/>
      <c r="AZ534" s="14"/>
      <c r="BA534" s="14"/>
    </row>
    <row r="535">
      <c r="A535" s="11"/>
      <c r="B535" s="11"/>
      <c r="C535" s="11"/>
      <c r="D535" s="11"/>
      <c r="E535" s="11"/>
      <c r="F535" s="11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3"/>
      <c r="T535" s="13"/>
      <c r="U535" s="13"/>
      <c r="V535" s="13"/>
      <c r="W535" s="13"/>
      <c r="X535" s="13"/>
      <c r="Y535" s="13"/>
      <c r="Z535" s="13"/>
      <c r="AA535" s="13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3"/>
      <c r="AO535" s="13"/>
      <c r="AP535" s="13"/>
      <c r="AQ535" s="13"/>
      <c r="AR535" s="13"/>
      <c r="AS535" s="13"/>
      <c r="AT535" s="13"/>
      <c r="AU535" s="13"/>
      <c r="AV535" s="13"/>
      <c r="AW535" s="14"/>
      <c r="AX535" s="14"/>
      <c r="AY535" s="14"/>
      <c r="AZ535" s="14"/>
      <c r="BA535" s="14"/>
    </row>
    <row r="536">
      <c r="A536" s="11"/>
      <c r="B536" s="11"/>
      <c r="C536" s="11"/>
      <c r="D536" s="11"/>
      <c r="E536" s="11"/>
      <c r="F536" s="11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3"/>
      <c r="T536" s="13"/>
      <c r="U536" s="13"/>
      <c r="V536" s="13"/>
      <c r="W536" s="13"/>
      <c r="X536" s="13"/>
      <c r="Y536" s="13"/>
      <c r="Z536" s="13"/>
      <c r="AA536" s="13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3"/>
      <c r="AO536" s="13"/>
      <c r="AP536" s="13"/>
      <c r="AQ536" s="13"/>
      <c r="AR536" s="13"/>
      <c r="AS536" s="13"/>
      <c r="AT536" s="13"/>
      <c r="AU536" s="13"/>
      <c r="AV536" s="13"/>
      <c r="AW536" s="14"/>
      <c r="AX536" s="14"/>
      <c r="AY536" s="14"/>
      <c r="AZ536" s="14"/>
      <c r="BA536" s="14"/>
    </row>
    <row r="537">
      <c r="A537" s="11"/>
      <c r="B537" s="11"/>
      <c r="C537" s="11"/>
      <c r="D537" s="11"/>
      <c r="E537" s="11"/>
      <c r="F537" s="11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3"/>
      <c r="T537" s="13"/>
      <c r="U537" s="13"/>
      <c r="V537" s="13"/>
      <c r="W537" s="13"/>
      <c r="X537" s="13"/>
      <c r="Y537" s="13"/>
      <c r="Z537" s="13"/>
      <c r="AA537" s="13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3"/>
      <c r="AO537" s="13"/>
      <c r="AP537" s="13"/>
      <c r="AQ537" s="13"/>
      <c r="AR537" s="13"/>
      <c r="AS537" s="13"/>
      <c r="AT537" s="13"/>
      <c r="AU537" s="13"/>
      <c r="AV537" s="13"/>
      <c r="AW537" s="14"/>
      <c r="AX537" s="14"/>
      <c r="AY537" s="14"/>
      <c r="AZ537" s="14"/>
      <c r="BA537" s="14"/>
    </row>
    <row r="538">
      <c r="A538" s="11"/>
      <c r="B538" s="11"/>
      <c r="C538" s="11"/>
      <c r="D538" s="11"/>
      <c r="E538" s="11"/>
      <c r="F538" s="11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3"/>
      <c r="T538" s="13"/>
      <c r="U538" s="13"/>
      <c r="V538" s="13"/>
      <c r="W538" s="13"/>
      <c r="X538" s="13"/>
      <c r="Y538" s="13"/>
      <c r="Z538" s="13"/>
      <c r="AA538" s="13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3"/>
      <c r="AO538" s="13"/>
      <c r="AP538" s="13"/>
      <c r="AQ538" s="13"/>
      <c r="AR538" s="13"/>
      <c r="AS538" s="13"/>
      <c r="AT538" s="13"/>
      <c r="AU538" s="13"/>
      <c r="AV538" s="13"/>
      <c r="AW538" s="14"/>
      <c r="AX538" s="14"/>
      <c r="AY538" s="14"/>
      <c r="AZ538" s="14"/>
      <c r="BA538" s="14"/>
    </row>
    <row r="539">
      <c r="A539" s="11"/>
      <c r="B539" s="11"/>
      <c r="C539" s="11"/>
      <c r="D539" s="11"/>
      <c r="E539" s="11"/>
      <c r="F539" s="11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3"/>
      <c r="T539" s="13"/>
      <c r="U539" s="13"/>
      <c r="V539" s="13"/>
      <c r="W539" s="13"/>
      <c r="X539" s="13"/>
      <c r="Y539" s="13"/>
      <c r="Z539" s="13"/>
      <c r="AA539" s="13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3"/>
      <c r="AO539" s="13"/>
      <c r="AP539" s="13"/>
      <c r="AQ539" s="13"/>
      <c r="AR539" s="13"/>
      <c r="AS539" s="13"/>
      <c r="AT539" s="13"/>
      <c r="AU539" s="13"/>
      <c r="AV539" s="13"/>
      <c r="AW539" s="14"/>
      <c r="AX539" s="14"/>
      <c r="AY539" s="14"/>
      <c r="AZ539" s="14"/>
      <c r="BA539" s="14"/>
    </row>
    <row r="540">
      <c r="A540" s="11"/>
      <c r="B540" s="11"/>
      <c r="C540" s="11"/>
      <c r="D540" s="11"/>
      <c r="E540" s="11"/>
      <c r="F540" s="11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3"/>
      <c r="T540" s="13"/>
      <c r="U540" s="13"/>
      <c r="V540" s="13"/>
      <c r="W540" s="13"/>
      <c r="X540" s="13"/>
      <c r="Y540" s="13"/>
      <c r="Z540" s="13"/>
      <c r="AA540" s="13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3"/>
      <c r="AO540" s="13"/>
      <c r="AP540" s="13"/>
      <c r="AQ540" s="13"/>
      <c r="AR540" s="13"/>
      <c r="AS540" s="13"/>
      <c r="AT540" s="13"/>
      <c r="AU540" s="13"/>
      <c r="AV540" s="13"/>
      <c r="AW540" s="14"/>
      <c r="AX540" s="14"/>
      <c r="AY540" s="14"/>
      <c r="AZ540" s="14"/>
      <c r="BA540" s="14"/>
    </row>
    <row r="541">
      <c r="A541" s="11"/>
      <c r="B541" s="11"/>
      <c r="C541" s="11"/>
      <c r="D541" s="11"/>
      <c r="E541" s="11"/>
      <c r="F541" s="11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3"/>
      <c r="T541" s="13"/>
      <c r="U541" s="13"/>
      <c r="V541" s="13"/>
      <c r="W541" s="13"/>
      <c r="X541" s="13"/>
      <c r="Y541" s="13"/>
      <c r="Z541" s="13"/>
      <c r="AA541" s="13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3"/>
      <c r="AO541" s="13"/>
      <c r="AP541" s="13"/>
      <c r="AQ541" s="13"/>
      <c r="AR541" s="13"/>
      <c r="AS541" s="13"/>
      <c r="AT541" s="13"/>
      <c r="AU541" s="13"/>
      <c r="AV541" s="13"/>
      <c r="AW541" s="14"/>
      <c r="AX541" s="14"/>
      <c r="AY541" s="14"/>
      <c r="AZ541" s="14"/>
      <c r="BA541" s="14"/>
    </row>
    <row r="542">
      <c r="A542" s="11"/>
      <c r="B542" s="11"/>
      <c r="C542" s="11"/>
      <c r="D542" s="11"/>
      <c r="E542" s="11"/>
      <c r="F542" s="11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3"/>
      <c r="T542" s="13"/>
      <c r="U542" s="13"/>
      <c r="V542" s="13"/>
      <c r="W542" s="13"/>
      <c r="X542" s="13"/>
      <c r="Y542" s="13"/>
      <c r="Z542" s="13"/>
      <c r="AA542" s="13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3"/>
      <c r="AO542" s="13"/>
      <c r="AP542" s="13"/>
      <c r="AQ542" s="13"/>
      <c r="AR542" s="13"/>
      <c r="AS542" s="13"/>
      <c r="AT542" s="13"/>
      <c r="AU542" s="13"/>
      <c r="AV542" s="13"/>
      <c r="AW542" s="14"/>
      <c r="AX542" s="14"/>
      <c r="AY542" s="14"/>
      <c r="AZ542" s="14"/>
      <c r="BA542" s="14"/>
    </row>
    <row r="543">
      <c r="A543" s="11"/>
      <c r="B543" s="11"/>
      <c r="C543" s="11"/>
      <c r="D543" s="11"/>
      <c r="E543" s="11"/>
      <c r="F543" s="11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3"/>
      <c r="T543" s="13"/>
      <c r="U543" s="13"/>
      <c r="V543" s="13"/>
      <c r="W543" s="13"/>
      <c r="X543" s="13"/>
      <c r="Y543" s="13"/>
      <c r="Z543" s="13"/>
      <c r="AA543" s="13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3"/>
      <c r="AO543" s="13"/>
      <c r="AP543" s="13"/>
      <c r="AQ543" s="13"/>
      <c r="AR543" s="13"/>
      <c r="AS543" s="13"/>
      <c r="AT543" s="13"/>
      <c r="AU543" s="13"/>
      <c r="AV543" s="13"/>
      <c r="AW543" s="14"/>
      <c r="AX543" s="14"/>
      <c r="AY543" s="14"/>
      <c r="AZ543" s="14"/>
      <c r="BA543" s="14"/>
    </row>
    <row r="544">
      <c r="A544" s="11"/>
      <c r="B544" s="11"/>
      <c r="C544" s="11"/>
      <c r="D544" s="11"/>
      <c r="E544" s="11"/>
      <c r="F544" s="11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3"/>
      <c r="T544" s="13"/>
      <c r="U544" s="13"/>
      <c r="V544" s="13"/>
      <c r="W544" s="13"/>
      <c r="X544" s="13"/>
      <c r="Y544" s="13"/>
      <c r="Z544" s="13"/>
      <c r="AA544" s="13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3"/>
      <c r="AO544" s="13"/>
      <c r="AP544" s="13"/>
      <c r="AQ544" s="13"/>
      <c r="AR544" s="13"/>
      <c r="AS544" s="13"/>
      <c r="AT544" s="13"/>
      <c r="AU544" s="13"/>
      <c r="AV544" s="13"/>
      <c r="AW544" s="14"/>
      <c r="AX544" s="14"/>
      <c r="AY544" s="14"/>
      <c r="AZ544" s="14"/>
      <c r="BA544" s="14"/>
    </row>
    <row r="545">
      <c r="A545" s="11"/>
      <c r="B545" s="11"/>
      <c r="C545" s="11"/>
      <c r="D545" s="11"/>
      <c r="E545" s="11"/>
      <c r="F545" s="11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3"/>
      <c r="T545" s="13"/>
      <c r="U545" s="13"/>
      <c r="V545" s="13"/>
      <c r="W545" s="13"/>
      <c r="X545" s="13"/>
      <c r="Y545" s="13"/>
      <c r="Z545" s="13"/>
      <c r="AA545" s="13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3"/>
      <c r="AO545" s="13"/>
      <c r="AP545" s="13"/>
      <c r="AQ545" s="13"/>
      <c r="AR545" s="13"/>
      <c r="AS545" s="13"/>
      <c r="AT545" s="13"/>
      <c r="AU545" s="13"/>
      <c r="AV545" s="13"/>
      <c r="AW545" s="14"/>
      <c r="AX545" s="14"/>
      <c r="AY545" s="14"/>
      <c r="AZ545" s="14"/>
      <c r="BA545" s="14"/>
    </row>
    <row r="546">
      <c r="A546" s="11"/>
      <c r="B546" s="11"/>
      <c r="C546" s="11"/>
      <c r="D546" s="11"/>
      <c r="E546" s="11"/>
      <c r="F546" s="11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3"/>
      <c r="T546" s="13"/>
      <c r="U546" s="13"/>
      <c r="V546" s="13"/>
      <c r="W546" s="13"/>
      <c r="X546" s="13"/>
      <c r="Y546" s="13"/>
      <c r="Z546" s="13"/>
      <c r="AA546" s="13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3"/>
      <c r="AO546" s="13"/>
      <c r="AP546" s="13"/>
      <c r="AQ546" s="13"/>
      <c r="AR546" s="13"/>
      <c r="AS546" s="13"/>
      <c r="AT546" s="13"/>
      <c r="AU546" s="13"/>
      <c r="AV546" s="13"/>
      <c r="AW546" s="14"/>
      <c r="AX546" s="14"/>
      <c r="AY546" s="14"/>
      <c r="AZ546" s="14"/>
      <c r="BA546" s="14"/>
    </row>
    <row r="547">
      <c r="A547" s="11"/>
      <c r="B547" s="11"/>
      <c r="C547" s="11"/>
      <c r="D547" s="11"/>
      <c r="E547" s="11"/>
      <c r="F547" s="11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3"/>
      <c r="T547" s="13"/>
      <c r="U547" s="13"/>
      <c r="V547" s="13"/>
      <c r="W547" s="13"/>
      <c r="X547" s="13"/>
      <c r="Y547" s="13"/>
      <c r="Z547" s="13"/>
      <c r="AA547" s="13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3"/>
      <c r="AO547" s="13"/>
      <c r="AP547" s="13"/>
      <c r="AQ547" s="13"/>
      <c r="AR547" s="13"/>
      <c r="AS547" s="13"/>
      <c r="AT547" s="13"/>
      <c r="AU547" s="13"/>
      <c r="AV547" s="13"/>
      <c r="AW547" s="14"/>
      <c r="AX547" s="14"/>
      <c r="AY547" s="14"/>
      <c r="AZ547" s="14"/>
      <c r="BA547" s="14"/>
    </row>
    <row r="548">
      <c r="A548" s="11"/>
      <c r="B548" s="11"/>
      <c r="C548" s="11"/>
      <c r="D548" s="11"/>
      <c r="E548" s="11"/>
      <c r="F548" s="11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3"/>
      <c r="T548" s="13"/>
      <c r="U548" s="13"/>
      <c r="V548" s="13"/>
      <c r="W548" s="13"/>
      <c r="X548" s="13"/>
      <c r="Y548" s="13"/>
      <c r="Z548" s="13"/>
      <c r="AA548" s="13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3"/>
      <c r="AO548" s="13"/>
      <c r="AP548" s="13"/>
      <c r="AQ548" s="13"/>
      <c r="AR548" s="13"/>
      <c r="AS548" s="13"/>
      <c r="AT548" s="13"/>
      <c r="AU548" s="13"/>
      <c r="AV548" s="13"/>
      <c r="AW548" s="14"/>
      <c r="AX548" s="14"/>
      <c r="AY548" s="14"/>
      <c r="AZ548" s="14"/>
      <c r="BA548" s="14"/>
    </row>
    <row r="549">
      <c r="A549" s="11"/>
      <c r="B549" s="11"/>
      <c r="C549" s="11"/>
      <c r="D549" s="11"/>
      <c r="E549" s="11"/>
      <c r="F549" s="11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3"/>
      <c r="T549" s="13"/>
      <c r="U549" s="13"/>
      <c r="V549" s="13"/>
      <c r="W549" s="13"/>
      <c r="X549" s="13"/>
      <c r="Y549" s="13"/>
      <c r="Z549" s="13"/>
      <c r="AA549" s="13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3"/>
      <c r="AO549" s="13"/>
      <c r="AP549" s="13"/>
      <c r="AQ549" s="13"/>
      <c r="AR549" s="13"/>
      <c r="AS549" s="13"/>
      <c r="AT549" s="13"/>
      <c r="AU549" s="13"/>
      <c r="AV549" s="13"/>
      <c r="AW549" s="14"/>
      <c r="AX549" s="14"/>
      <c r="AY549" s="14"/>
      <c r="AZ549" s="14"/>
      <c r="BA549" s="14"/>
    </row>
    <row r="550">
      <c r="A550" s="11"/>
      <c r="B550" s="11"/>
      <c r="C550" s="11"/>
      <c r="D550" s="11"/>
      <c r="E550" s="11"/>
      <c r="F550" s="11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3"/>
      <c r="T550" s="13"/>
      <c r="U550" s="13"/>
      <c r="V550" s="13"/>
      <c r="W550" s="13"/>
      <c r="X550" s="13"/>
      <c r="Y550" s="13"/>
      <c r="Z550" s="13"/>
      <c r="AA550" s="13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3"/>
      <c r="AO550" s="13"/>
      <c r="AP550" s="13"/>
      <c r="AQ550" s="13"/>
      <c r="AR550" s="13"/>
      <c r="AS550" s="13"/>
      <c r="AT550" s="13"/>
      <c r="AU550" s="13"/>
      <c r="AV550" s="13"/>
      <c r="AW550" s="14"/>
      <c r="AX550" s="14"/>
      <c r="AY550" s="14"/>
      <c r="AZ550" s="14"/>
      <c r="BA550" s="14"/>
    </row>
    <row r="551">
      <c r="A551" s="11"/>
      <c r="B551" s="11"/>
      <c r="C551" s="11"/>
      <c r="D551" s="11"/>
      <c r="E551" s="11"/>
      <c r="F551" s="11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3"/>
      <c r="T551" s="13"/>
      <c r="U551" s="13"/>
      <c r="V551" s="13"/>
      <c r="W551" s="13"/>
      <c r="X551" s="13"/>
      <c r="Y551" s="13"/>
      <c r="Z551" s="13"/>
      <c r="AA551" s="13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3"/>
      <c r="AO551" s="13"/>
      <c r="AP551" s="13"/>
      <c r="AQ551" s="13"/>
      <c r="AR551" s="13"/>
      <c r="AS551" s="13"/>
      <c r="AT551" s="13"/>
      <c r="AU551" s="13"/>
      <c r="AV551" s="13"/>
      <c r="AW551" s="14"/>
      <c r="AX551" s="14"/>
      <c r="AY551" s="14"/>
      <c r="AZ551" s="14"/>
      <c r="BA551" s="14"/>
    </row>
    <row r="552">
      <c r="A552" s="11"/>
      <c r="B552" s="11"/>
      <c r="C552" s="11"/>
      <c r="D552" s="11"/>
      <c r="E552" s="11"/>
      <c r="F552" s="11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3"/>
      <c r="T552" s="13"/>
      <c r="U552" s="13"/>
      <c r="V552" s="13"/>
      <c r="W552" s="13"/>
      <c r="X552" s="13"/>
      <c r="Y552" s="13"/>
      <c r="Z552" s="13"/>
      <c r="AA552" s="13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3"/>
      <c r="AO552" s="13"/>
      <c r="AP552" s="13"/>
      <c r="AQ552" s="13"/>
      <c r="AR552" s="13"/>
      <c r="AS552" s="13"/>
      <c r="AT552" s="13"/>
      <c r="AU552" s="13"/>
      <c r="AV552" s="13"/>
      <c r="AW552" s="14"/>
      <c r="AX552" s="14"/>
      <c r="AY552" s="14"/>
      <c r="AZ552" s="14"/>
      <c r="BA552" s="14"/>
    </row>
    <row r="553">
      <c r="A553" s="11"/>
      <c r="B553" s="11"/>
      <c r="C553" s="11"/>
      <c r="D553" s="11"/>
      <c r="E553" s="11"/>
      <c r="F553" s="11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3"/>
      <c r="T553" s="13"/>
      <c r="U553" s="13"/>
      <c r="V553" s="13"/>
      <c r="W553" s="13"/>
      <c r="X553" s="13"/>
      <c r="Y553" s="13"/>
      <c r="Z553" s="13"/>
      <c r="AA553" s="13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3"/>
      <c r="AO553" s="13"/>
      <c r="AP553" s="13"/>
      <c r="AQ553" s="13"/>
      <c r="AR553" s="13"/>
      <c r="AS553" s="13"/>
      <c r="AT553" s="13"/>
      <c r="AU553" s="13"/>
      <c r="AV553" s="13"/>
      <c r="AW553" s="14"/>
      <c r="AX553" s="14"/>
      <c r="AY553" s="14"/>
      <c r="AZ553" s="14"/>
      <c r="BA553" s="14"/>
    </row>
    <row r="554">
      <c r="A554" s="11"/>
      <c r="B554" s="11"/>
      <c r="C554" s="11"/>
      <c r="D554" s="11"/>
      <c r="E554" s="11"/>
      <c r="F554" s="11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3"/>
      <c r="T554" s="13"/>
      <c r="U554" s="13"/>
      <c r="V554" s="13"/>
      <c r="W554" s="13"/>
      <c r="X554" s="13"/>
      <c r="Y554" s="13"/>
      <c r="Z554" s="13"/>
      <c r="AA554" s="13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3"/>
      <c r="AO554" s="13"/>
      <c r="AP554" s="13"/>
      <c r="AQ554" s="13"/>
      <c r="AR554" s="13"/>
      <c r="AS554" s="13"/>
      <c r="AT554" s="13"/>
      <c r="AU554" s="13"/>
      <c r="AV554" s="13"/>
      <c r="AW554" s="14"/>
      <c r="AX554" s="14"/>
      <c r="AY554" s="14"/>
      <c r="AZ554" s="14"/>
      <c r="BA554" s="14"/>
    </row>
    <row r="555">
      <c r="A555" s="11"/>
      <c r="B555" s="11"/>
      <c r="C555" s="11"/>
      <c r="D555" s="11"/>
      <c r="E555" s="11"/>
      <c r="F555" s="11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3"/>
      <c r="T555" s="13"/>
      <c r="U555" s="13"/>
      <c r="V555" s="13"/>
      <c r="W555" s="13"/>
      <c r="X555" s="13"/>
      <c r="Y555" s="13"/>
      <c r="Z555" s="13"/>
      <c r="AA555" s="13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3"/>
      <c r="AO555" s="13"/>
      <c r="AP555" s="13"/>
      <c r="AQ555" s="13"/>
      <c r="AR555" s="13"/>
      <c r="AS555" s="13"/>
      <c r="AT555" s="13"/>
      <c r="AU555" s="13"/>
      <c r="AV555" s="13"/>
      <c r="AW555" s="14"/>
      <c r="AX555" s="14"/>
      <c r="AY555" s="14"/>
      <c r="AZ555" s="14"/>
      <c r="BA555" s="14"/>
    </row>
    <row r="556">
      <c r="A556" s="11"/>
      <c r="B556" s="11"/>
      <c r="C556" s="11"/>
      <c r="D556" s="11"/>
      <c r="E556" s="11"/>
      <c r="F556" s="11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3"/>
      <c r="T556" s="13"/>
      <c r="U556" s="13"/>
      <c r="V556" s="13"/>
      <c r="W556" s="13"/>
      <c r="X556" s="13"/>
      <c r="Y556" s="13"/>
      <c r="Z556" s="13"/>
      <c r="AA556" s="13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3"/>
      <c r="AO556" s="13"/>
      <c r="AP556" s="13"/>
      <c r="AQ556" s="13"/>
      <c r="AR556" s="13"/>
      <c r="AS556" s="13"/>
      <c r="AT556" s="13"/>
      <c r="AU556" s="13"/>
      <c r="AV556" s="13"/>
      <c r="AW556" s="14"/>
      <c r="AX556" s="14"/>
      <c r="AY556" s="14"/>
      <c r="AZ556" s="14"/>
      <c r="BA556" s="14"/>
    </row>
    <row r="557">
      <c r="A557" s="11"/>
      <c r="B557" s="11"/>
      <c r="C557" s="11"/>
      <c r="D557" s="11"/>
      <c r="E557" s="11"/>
      <c r="F557" s="11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3"/>
      <c r="T557" s="13"/>
      <c r="U557" s="13"/>
      <c r="V557" s="13"/>
      <c r="W557" s="13"/>
      <c r="X557" s="13"/>
      <c r="Y557" s="13"/>
      <c r="Z557" s="13"/>
      <c r="AA557" s="13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3"/>
      <c r="AO557" s="13"/>
      <c r="AP557" s="13"/>
      <c r="AQ557" s="13"/>
      <c r="AR557" s="13"/>
      <c r="AS557" s="13"/>
      <c r="AT557" s="13"/>
      <c r="AU557" s="13"/>
      <c r="AV557" s="13"/>
      <c r="AW557" s="14"/>
      <c r="AX557" s="14"/>
      <c r="AY557" s="14"/>
      <c r="AZ557" s="14"/>
      <c r="BA557" s="14"/>
    </row>
    <row r="558">
      <c r="A558" s="11"/>
      <c r="B558" s="11"/>
      <c r="C558" s="11"/>
      <c r="D558" s="11"/>
      <c r="E558" s="11"/>
      <c r="F558" s="11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3"/>
      <c r="T558" s="13"/>
      <c r="U558" s="13"/>
      <c r="V558" s="13"/>
      <c r="W558" s="13"/>
      <c r="X558" s="13"/>
      <c r="Y558" s="13"/>
      <c r="Z558" s="13"/>
      <c r="AA558" s="13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3"/>
      <c r="AO558" s="13"/>
      <c r="AP558" s="13"/>
      <c r="AQ558" s="13"/>
      <c r="AR558" s="13"/>
      <c r="AS558" s="13"/>
      <c r="AT558" s="13"/>
      <c r="AU558" s="13"/>
      <c r="AV558" s="13"/>
      <c r="AW558" s="14"/>
      <c r="AX558" s="14"/>
      <c r="AY558" s="14"/>
      <c r="AZ558" s="14"/>
      <c r="BA558" s="14"/>
    </row>
    <row r="559">
      <c r="A559" s="11"/>
      <c r="B559" s="11"/>
      <c r="C559" s="11"/>
      <c r="D559" s="11"/>
      <c r="E559" s="11"/>
      <c r="F559" s="11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3"/>
      <c r="T559" s="13"/>
      <c r="U559" s="13"/>
      <c r="V559" s="13"/>
      <c r="W559" s="13"/>
      <c r="X559" s="13"/>
      <c r="Y559" s="13"/>
      <c r="Z559" s="13"/>
      <c r="AA559" s="13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3"/>
      <c r="AO559" s="13"/>
      <c r="AP559" s="13"/>
      <c r="AQ559" s="13"/>
      <c r="AR559" s="13"/>
      <c r="AS559" s="13"/>
      <c r="AT559" s="13"/>
      <c r="AU559" s="13"/>
      <c r="AV559" s="13"/>
      <c r="AW559" s="14"/>
      <c r="AX559" s="14"/>
      <c r="AY559" s="14"/>
      <c r="AZ559" s="14"/>
      <c r="BA559" s="14"/>
    </row>
    <row r="560">
      <c r="A560" s="11"/>
      <c r="B560" s="11"/>
      <c r="C560" s="11"/>
      <c r="D560" s="11"/>
      <c r="E560" s="11"/>
      <c r="F560" s="11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3"/>
      <c r="T560" s="13"/>
      <c r="U560" s="13"/>
      <c r="V560" s="13"/>
      <c r="W560" s="13"/>
      <c r="X560" s="13"/>
      <c r="Y560" s="13"/>
      <c r="Z560" s="13"/>
      <c r="AA560" s="13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3"/>
      <c r="AO560" s="13"/>
      <c r="AP560" s="13"/>
      <c r="AQ560" s="13"/>
      <c r="AR560" s="13"/>
      <c r="AS560" s="13"/>
      <c r="AT560" s="13"/>
      <c r="AU560" s="13"/>
      <c r="AV560" s="13"/>
      <c r="AW560" s="14"/>
      <c r="AX560" s="14"/>
      <c r="AY560" s="14"/>
      <c r="AZ560" s="14"/>
      <c r="BA560" s="14"/>
    </row>
    <row r="561">
      <c r="A561" s="11"/>
      <c r="B561" s="11"/>
      <c r="C561" s="11"/>
      <c r="D561" s="11"/>
      <c r="E561" s="11"/>
      <c r="F561" s="11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3"/>
      <c r="T561" s="13"/>
      <c r="U561" s="13"/>
      <c r="V561" s="13"/>
      <c r="W561" s="13"/>
      <c r="X561" s="13"/>
      <c r="Y561" s="13"/>
      <c r="Z561" s="13"/>
      <c r="AA561" s="13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3"/>
      <c r="AO561" s="13"/>
      <c r="AP561" s="13"/>
      <c r="AQ561" s="13"/>
      <c r="AR561" s="13"/>
      <c r="AS561" s="13"/>
      <c r="AT561" s="13"/>
      <c r="AU561" s="13"/>
      <c r="AV561" s="13"/>
      <c r="AW561" s="14"/>
      <c r="AX561" s="14"/>
      <c r="AY561" s="14"/>
      <c r="AZ561" s="14"/>
      <c r="BA561" s="14"/>
    </row>
    <row r="562">
      <c r="A562" s="11"/>
      <c r="B562" s="11"/>
      <c r="C562" s="11"/>
      <c r="D562" s="11"/>
      <c r="E562" s="11"/>
      <c r="F562" s="11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3"/>
      <c r="T562" s="13"/>
      <c r="U562" s="13"/>
      <c r="V562" s="13"/>
      <c r="W562" s="13"/>
      <c r="X562" s="13"/>
      <c r="Y562" s="13"/>
      <c r="Z562" s="13"/>
      <c r="AA562" s="13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3"/>
      <c r="AO562" s="13"/>
      <c r="AP562" s="13"/>
      <c r="AQ562" s="13"/>
      <c r="AR562" s="13"/>
      <c r="AS562" s="13"/>
      <c r="AT562" s="13"/>
      <c r="AU562" s="13"/>
      <c r="AV562" s="13"/>
      <c r="AW562" s="14"/>
      <c r="AX562" s="14"/>
      <c r="AY562" s="14"/>
      <c r="AZ562" s="14"/>
      <c r="BA562" s="14"/>
    </row>
    <row r="563">
      <c r="A563" s="11"/>
      <c r="B563" s="11"/>
      <c r="C563" s="11"/>
      <c r="D563" s="11"/>
      <c r="E563" s="11"/>
      <c r="F563" s="11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3"/>
      <c r="T563" s="13"/>
      <c r="U563" s="13"/>
      <c r="V563" s="13"/>
      <c r="W563" s="13"/>
      <c r="X563" s="13"/>
      <c r="Y563" s="13"/>
      <c r="Z563" s="13"/>
      <c r="AA563" s="13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3"/>
      <c r="AO563" s="13"/>
      <c r="AP563" s="13"/>
      <c r="AQ563" s="13"/>
      <c r="AR563" s="13"/>
      <c r="AS563" s="13"/>
      <c r="AT563" s="13"/>
      <c r="AU563" s="13"/>
      <c r="AV563" s="13"/>
      <c r="AW563" s="14"/>
      <c r="AX563" s="14"/>
      <c r="AY563" s="14"/>
      <c r="AZ563" s="14"/>
      <c r="BA563" s="14"/>
    </row>
    <row r="564">
      <c r="A564" s="11"/>
      <c r="B564" s="11"/>
      <c r="C564" s="11"/>
      <c r="D564" s="11"/>
      <c r="E564" s="11"/>
      <c r="F564" s="11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3"/>
      <c r="T564" s="13"/>
      <c r="U564" s="13"/>
      <c r="V564" s="13"/>
      <c r="W564" s="13"/>
      <c r="X564" s="13"/>
      <c r="Y564" s="13"/>
      <c r="Z564" s="13"/>
      <c r="AA564" s="13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3"/>
      <c r="AO564" s="13"/>
      <c r="AP564" s="13"/>
      <c r="AQ564" s="13"/>
      <c r="AR564" s="13"/>
      <c r="AS564" s="13"/>
      <c r="AT564" s="13"/>
      <c r="AU564" s="13"/>
      <c r="AV564" s="13"/>
      <c r="AW564" s="14"/>
      <c r="AX564" s="14"/>
      <c r="AY564" s="14"/>
      <c r="AZ564" s="14"/>
      <c r="BA564" s="14"/>
    </row>
    <row r="565">
      <c r="A565" s="11"/>
      <c r="B565" s="11"/>
      <c r="C565" s="11"/>
      <c r="D565" s="11"/>
      <c r="E565" s="11"/>
      <c r="F565" s="11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3"/>
      <c r="T565" s="13"/>
      <c r="U565" s="13"/>
      <c r="V565" s="13"/>
      <c r="W565" s="13"/>
      <c r="X565" s="13"/>
      <c r="Y565" s="13"/>
      <c r="Z565" s="13"/>
      <c r="AA565" s="13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3"/>
      <c r="AO565" s="13"/>
      <c r="AP565" s="13"/>
      <c r="AQ565" s="13"/>
      <c r="AR565" s="13"/>
      <c r="AS565" s="13"/>
      <c r="AT565" s="13"/>
      <c r="AU565" s="13"/>
      <c r="AV565" s="13"/>
      <c r="AW565" s="14"/>
      <c r="AX565" s="14"/>
      <c r="AY565" s="14"/>
      <c r="AZ565" s="14"/>
      <c r="BA565" s="14"/>
    </row>
    <row r="566">
      <c r="A566" s="11"/>
      <c r="B566" s="11"/>
      <c r="C566" s="11"/>
      <c r="D566" s="11"/>
      <c r="E566" s="11"/>
      <c r="F566" s="11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3"/>
      <c r="T566" s="13"/>
      <c r="U566" s="13"/>
      <c r="V566" s="13"/>
      <c r="W566" s="13"/>
      <c r="X566" s="13"/>
      <c r="Y566" s="13"/>
      <c r="Z566" s="13"/>
      <c r="AA566" s="13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3"/>
      <c r="AO566" s="13"/>
      <c r="AP566" s="13"/>
      <c r="AQ566" s="13"/>
      <c r="AR566" s="13"/>
      <c r="AS566" s="13"/>
      <c r="AT566" s="13"/>
      <c r="AU566" s="13"/>
      <c r="AV566" s="13"/>
      <c r="AW566" s="14"/>
      <c r="AX566" s="14"/>
      <c r="AY566" s="14"/>
      <c r="AZ566" s="14"/>
      <c r="BA566" s="14"/>
    </row>
    <row r="567">
      <c r="A567" s="11"/>
      <c r="B567" s="11"/>
      <c r="C567" s="11"/>
      <c r="D567" s="11"/>
      <c r="E567" s="11"/>
      <c r="F567" s="11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3"/>
      <c r="T567" s="13"/>
      <c r="U567" s="13"/>
      <c r="V567" s="13"/>
      <c r="W567" s="13"/>
      <c r="X567" s="13"/>
      <c r="Y567" s="13"/>
      <c r="Z567" s="13"/>
      <c r="AA567" s="13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3"/>
      <c r="AO567" s="13"/>
      <c r="AP567" s="13"/>
      <c r="AQ567" s="13"/>
      <c r="AR567" s="13"/>
      <c r="AS567" s="13"/>
      <c r="AT567" s="13"/>
      <c r="AU567" s="13"/>
      <c r="AV567" s="13"/>
      <c r="AW567" s="14"/>
      <c r="AX567" s="14"/>
      <c r="AY567" s="14"/>
      <c r="AZ567" s="14"/>
      <c r="BA567" s="14"/>
    </row>
    <row r="568">
      <c r="A568" s="11"/>
      <c r="B568" s="11"/>
      <c r="C568" s="11"/>
      <c r="D568" s="11"/>
      <c r="E568" s="11"/>
      <c r="F568" s="11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3"/>
      <c r="T568" s="13"/>
      <c r="U568" s="13"/>
      <c r="V568" s="13"/>
      <c r="W568" s="13"/>
      <c r="X568" s="13"/>
      <c r="Y568" s="13"/>
      <c r="Z568" s="13"/>
      <c r="AA568" s="13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3"/>
      <c r="AO568" s="13"/>
      <c r="AP568" s="13"/>
      <c r="AQ568" s="13"/>
      <c r="AR568" s="13"/>
      <c r="AS568" s="13"/>
      <c r="AT568" s="13"/>
      <c r="AU568" s="13"/>
      <c r="AV568" s="13"/>
      <c r="AW568" s="14"/>
      <c r="AX568" s="14"/>
      <c r="AY568" s="14"/>
      <c r="AZ568" s="14"/>
      <c r="BA568" s="14"/>
    </row>
    <row r="569">
      <c r="A569" s="11"/>
      <c r="B569" s="11"/>
      <c r="C569" s="11"/>
      <c r="D569" s="11"/>
      <c r="E569" s="11"/>
      <c r="F569" s="11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3"/>
      <c r="T569" s="13"/>
      <c r="U569" s="13"/>
      <c r="V569" s="13"/>
      <c r="W569" s="13"/>
      <c r="X569" s="13"/>
      <c r="Y569" s="13"/>
      <c r="Z569" s="13"/>
      <c r="AA569" s="13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3"/>
      <c r="AO569" s="13"/>
      <c r="AP569" s="13"/>
      <c r="AQ569" s="13"/>
      <c r="AR569" s="13"/>
      <c r="AS569" s="13"/>
      <c r="AT569" s="13"/>
      <c r="AU569" s="13"/>
      <c r="AV569" s="13"/>
      <c r="AW569" s="14"/>
      <c r="AX569" s="14"/>
      <c r="AY569" s="14"/>
      <c r="AZ569" s="14"/>
      <c r="BA569" s="14"/>
    </row>
    <row r="570">
      <c r="A570" s="11"/>
      <c r="B570" s="11"/>
      <c r="C570" s="11"/>
      <c r="D570" s="11"/>
      <c r="E570" s="11"/>
      <c r="F570" s="11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3"/>
      <c r="T570" s="13"/>
      <c r="U570" s="13"/>
      <c r="V570" s="13"/>
      <c r="W570" s="13"/>
      <c r="X570" s="13"/>
      <c r="Y570" s="13"/>
      <c r="Z570" s="13"/>
      <c r="AA570" s="13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3"/>
      <c r="AO570" s="13"/>
      <c r="AP570" s="13"/>
      <c r="AQ570" s="13"/>
      <c r="AR570" s="13"/>
      <c r="AS570" s="13"/>
      <c r="AT570" s="13"/>
      <c r="AU570" s="13"/>
      <c r="AV570" s="13"/>
      <c r="AW570" s="14"/>
      <c r="AX570" s="14"/>
      <c r="AY570" s="14"/>
      <c r="AZ570" s="14"/>
      <c r="BA570" s="14"/>
    </row>
    <row r="571">
      <c r="A571" s="11"/>
      <c r="B571" s="11"/>
      <c r="C571" s="11"/>
      <c r="D571" s="11"/>
      <c r="E571" s="11"/>
      <c r="F571" s="11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3"/>
      <c r="T571" s="13"/>
      <c r="U571" s="13"/>
      <c r="V571" s="13"/>
      <c r="W571" s="13"/>
      <c r="X571" s="13"/>
      <c r="Y571" s="13"/>
      <c r="Z571" s="13"/>
      <c r="AA571" s="13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3"/>
      <c r="AO571" s="13"/>
      <c r="AP571" s="13"/>
      <c r="AQ571" s="13"/>
      <c r="AR571" s="13"/>
      <c r="AS571" s="13"/>
      <c r="AT571" s="13"/>
      <c r="AU571" s="13"/>
      <c r="AV571" s="13"/>
      <c r="AW571" s="14"/>
      <c r="AX571" s="14"/>
      <c r="AY571" s="14"/>
      <c r="AZ571" s="14"/>
      <c r="BA571" s="14"/>
    </row>
    <row r="572">
      <c r="A572" s="11"/>
      <c r="B572" s="11"/>
      <c r="C572" s="11"/>
      <c r="D572" s="11"/>
      <c r="E572" s="11"/>
      <c r="F572" s="11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3"/>
      <c r="T572" s="13"/>
      <c r="U572" s="13"/>
      <c r="V572" s="13"/>
      <c r="W572" s="13"/>
      <c r="X572" s="13"/>
      <c r="Y572" s="13"/>
      <c r="Z572" s="13"/>
      <c r="AA572" s="13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3"/>
      <c r="AO572" s="13"/>
      <c r="AP572" s="13"/>
      <c r="AQ572" s="13"/>
      <c r="AR572" s="13"/>
      <c r="AS572" s="13"/>
      <c r="AT572" s="13"/>
      <c r="AU572" s="13"/>
      <c r="AV572" s="13"/>
      <c r="AW572" s="14"/>
      <c r="AX572" s="14"/>
      <c r="AY572" s="14"/>
      <c r="AZ572" s="14"/>
      <c r="BA572" s="14"/>
    </row>
    <row r="573">
      <c r="A573" s="11"/>
      <c r="B573" s="11"/>
      <c r="C573" s="11"/>
      <c r="D573" s="11"/>
      <c r="E573" s="11"/>
      <c r="F573" s="11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3"/>
      <c r="T573" s="13"/>
      <c r="U573" s="13"/>
      <c r="V573" s="13"/>
      <c r="W573" s="13"/>
      <c r="X573" s="13"/>
      <c r="Y573" s="13"/>
      <c r="Z573" s="13"/>
      <c r="AA573" s="13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3"/>
      <c r="AO573" s="13"/>
      <c r="AP573" s="13"/>
      <c r="AQ573" s="13"/>
      <c r="AR573" s="13"/>
      <c r="AS573" s="13"/>
      <c r="AT573" s="13"/>
      <c r="AU573" s="13"/>
      <c r="AV573" s="13"/>
      <c r="AW573" s="14"/>
      <c r="AX573" s="14"/>
      <c r="AY573" s="14"/>
      <c r="AZ573" s="14"/>
      <c r="BA573" s="14"/>
    </row>
    <row r="574">
      <c r="A574" s="11"/>
      <c r="B574" s="11"/>
      <c r="C574" s="11"/>
      <c r="D574" s="11"/>
      <c r="E574" s="11"/>
      <c r="F574" s="11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3"/>
      <c r="T574" s="13"/>
      <c r="U574" s="13"/>
      <c r="V574" s="13"/>
      <c r="W574" s="13"/>
      <c r="X574" s="13"/>
      <c r="Y574" s="13"/>
      <c r="Z574" s="13"/>
      <c r="AA574" s="13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3"/>
      <c r="AO574" s="13"/>
      <c r="AP574" s="13"/>
      <c r="AQ574" s="13"/>
      <c r="AR574" s="13"/>
      <c r="AS574" s="13"/>
      <c r="AT574" s="13"/>
      <c r="AU574" s="13"/>
      <c r="AV574" s="13"/>
      <c r="AW574" s="14"/>
      <c r="AX574" s="14"/>
      <c r="AY574" s="14"/>
      <c r="AZ574" s="14"/>
      <c r="BA574" s="14"/>
    </row>
    <row r="575">
      <c r="A575" s="11"/>
      <c r="B575" s="11"/>
      <c r="C575" s="11"/>
      <c r="D575" s="11"/>
      <c r="E575" s="11"/>
      <c r="F575" s="11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3"/>
      <c r="T575" s="13"/>
      <c r="U575" s="13"/>
      <c r="V575" s="13"/>
      <c r="W575" s="13"/>
      <c r="X575" s="13"/>
      <c r="Y575" s="13"/>
      <c r="Z575" s="13"/>
      <c r="AA575" s="13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3"/>
      <c r="AO575" s="13"/>
      <c r="AP575" s="13"/>
      <c r="AQ575" s="13"/>
      <c r="AR575" s="13"/>
      <c r="AS575" s="13"/>
      <c r="AT575" s="13"/>
      <c r="AU575" s="13"/>
      <c r="AV575" s="13"/>
      <c r="AW575" s="14"/>
      <c r="AX575" s="14"/>
      <c r="AY575" s="14"/>
      <c r="AZ575" s="14"/>
      <c r="BA575" s="14"/>
    </row>
    <row r="576">
      <c r="A576" s="11"/>
      <c r="B576" s="11"/>
      <c r="C576" s="11"/>
      <c r="D576" s="11"/>
      <c r="E576" s="11"/>
      <c r="F576" s="11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3"/>
      <c r="T576" s="13"/>
      <c r="U576" s="13"/>
      <c r="V576" s="13"/>
      <c r="W576" s="13"/>
      <c r="X576" s="13"/>
      <c r="Y576" s="13"/>
      <c r="Z576" s="13"/>
      <c r="AA576" s="13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3"/>
      <c r="AO576" s="13"/>
      <c r="AP576" s="13"/>
      <c r="AQ576" s="13"/>
      <c r="AR576" s="13"/>
      <c r="AS576" s="13"/>
      <c r="AT576" s="13"/>
      <c r="AU576" s="13"/>
      <c r="AV576" s="13"/>
      <c r="AW576" s="14"/>
      <c r="AX576" s="14"/>
      <c r="AY576" s="14"/>
      <c r="AZ576" s="14"/>
      <c r="BA576" s="14"/>
    </row>
    <row r="577">
      <c r="A577" s="11"/>
      <c r="B577" s="11"/>
      <c r="C577" s="11"/>
      <c r="D577" s="11"/>
      <c r="E577" s="11"/>
      <c r="F577" s="11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3"/>
      <c r="T577" s="13"/>
      <c r="U577" s="13"/>
      <c r="V577" s="13"/>
      <c r="W577" s="13"/>
      <c r="X577" s="13"/>
      <c r="Y577" s="13"/>
      <c r="Z577" s="13"/>
      <c r="AA577" s="13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3"/>
      <c r="AO577" s="13"/>
      <c r="AP577" s="13"/>
      <c r="AQ577" s="13"/>
      <c r="AR577" s="13"/>
      <c r="AS577" s="13"/>
      <c r="AT577" s="13"/>
      <c r="AU577" s="13"/>
      <c r="AV577" s="13"/>
      <c r="AW577" s="14"/>
      <c r="AX577" s="14"/>
      <c r="AY577" s="14"/>
      <c r="AZ577" s="14"/>
      <c r="BA577" s="14"/>
    </row>
    <row r="578">
      <c r="A578" s="11"/>
      <c r="B578" s="11"/>
      <c r="C578" s="11"/>
      <c r="D578" s="11"/>
      <c r="E578" s="11"/>
      <c r="F578" s="11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3"/>
      <c r="T578" s="13"/>
      <c r="U578" s="13"/>
      <c r="V578" s="13"/>
      <c r="W578" s="13"/>
      <c r="X578" s="13"/>
      <c r="Y578" s="13"/>
      <c r="Z578" s="13"/>
      <c r="AA578" s="13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3"/>
      <c r="AO578" s="13"/>
      <c r="AP578" s="13"/>
      <c r="AQ578" s="13"/>
      <c r="AR578" s="13"/>
      <c r="AS578" s="13"/>
      <c r="AT578" s="13"/>
      <c r="AU578" s="13"/>
      <c r="AV578" s="13"/>
      <c r="AW578" s="14"/>
      <c r="AX578" s="14"/>
      <c r="AY578" s="14"/>
      <c r="AZ578" s="14"/>
      <c r="BA578" s="14"/>
    </row>
    <row r="579">
      <c r="A579" s="11"/>
      <c r="B579" s="11"/>
      <c r="C579" s="11"/>
      <c r="D579" s="11"/>
      <c r="E579" s="11"/>
      <c r="F579" s="11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3"/>
      <c r="T579" s="13"/>
      <c r="U579" s="13"/>
      <c r="V579" s="13"/>
      <c r="W579" s="13"/>
      <c r="X579" s="13"/>
      <c r="Y579" s="13"/>
      <c r="Z579" s="13"/>
      <c r="AA579" s="13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3"/>
      <c r="AO579" s="13"/>
      <c r="AP579" s="13"/>
      <c r="AQ579" s="13"/>
      <c r="AR579" s="13"/>
      <c r="AS579" s="13"/>
      <c r="AT579" s="13"/>
      <c r="AU579" s="13"/>
      <c r="AV579" s="13"/>
      <c r="AW579" s="14"/>
      <c r="AX579" s="14"/>
      <c r="AY579" s="14"/>
      <c r="AZ579" s="14"/>
      <c r="BA579" s="14"/>
    </row>
    <row r="580">
      <c r="A580" s="11"/>
      <c r="B580" s="11"/>
      <c r="C580" s="11"/>
      <c r="D580" s="11"/>
      <c r="E580" s="11"/>
      <c r="F580" s="11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3"/>
      <c r="T580" s="13"/>
      <c r="U580" s="13"/>
      <c r="V580" s="13"/>
      <c r="W580" s="13"/>
      <c r="X580" s="13"/>
      <c r="Y580" s="13"/>
      <c r="Z580" s="13"/>
      <c r="AA580" s="13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3"/>
      <c r="AO580" s="13"/>
      <c r="AP580" s="13"/>
      <c r="AQ580" s="13"/>
      <c r="AR580" s="13"/>
      <c r="AS580" s="13"/>
      <c r="AT580" s="13"/>
      <c r="AU580" s="13"/>
      <c r="AV580" s="13"/>
      <c r="AW580" s="14"/>
      <c r="AX580" s="14"/>
      <c r="AY580" s="14"/>
      <c r="AZ580" s="14"/>
      <c r="BA580" s="14"/>
    </row>
    <row r="581">
      <c r="A581" s="11"/>
      <c r="B581" s="11"/>
      <c r="C581" s="11"/>
      <c r="D581" s="11"/>
      <c r="E581" s="11"/>
      <c r="F581" s="11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3"/>
      <c r="T581" s="13"/>
      <c r="U581" s="13"/>
      <c r="V581" s="13"/>
      <c r="W581" s="13"/>
      <c r="X581" s="13"/>
      <c r="Y581" s="13"/>
      <c r="Z581" s="13"/>
      <c r="AA581" s="13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3"/>
      <c r="AO581" s="13"/>
      <c r="AP581" s="13"/>
      <c r="AQ581" s="13"/>
      <c r="AR581" s="13"/>
      <c r="AS581" s="13"/>
      <c r="AT581" s="13"/>
      <c r="AU581" s="13"/>
      <c r="AV581" s="13"/>
      <c r="AW581" s="14"/>
      <c r="AX581" s="14"/>
      <c r="AY581" s="14"/>
      <c r="AZ581" s="14"/>
      <c r="BA581" s="14"/>
    </row>
    <row r="582">
      <c r="A582" s="11"/>
      <c r="B582" s="11"/>
      <c r="C582" s="11"/>
      <c r="D582" s="11"/>
      <c r="E582" s="11"/>
      <c r="F582" s="11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3"/>
      <c r="T582" s="13"/>
      <c r="U582" s="13"/>
      <c r="V582" s="13"/>
      <c r="W582" s="13"/>
      <c r="X582" s="13"/>
      <c r="Y582" s="13"/>
      <c r="Z582" s="13"/>
      <c r="AA582" s="13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3"/>
      <c r="AO582" s="13"/>
      <c r="AP582" s="13"/>
      <c r="AQ582" s="13"/>
      <c r="AR582" s="13"/>
      <c r="AS582" s="13"/>
      <c r="AT582" s="13"/>
      <c r="AU582" s="13"/>
      <c r="AV582" s="13"/>
      <c r="AW582" s="14"/>
      <c r="AX582" s="14"/>
      <c r="AY582" s="14"/>
      <c r="AZ582" s="14"/>
      <c r="BA582" s="14"/>
    </row>
    <row r="583">
      <c r="A583" s="11"/>
      <c r="B583" s="11"/>
      <c r="C583" s="11"/>
      <c r="D583" s="11"/>
      <c r="E583" s="11"/>
      <c r="F583" s="11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3"/>
      <c r="T583" s="13"/>
      <c r="U583" s="13"/>
      <c r="V583" s="13"/>
      <c r="W583" s="13"/>
      <c r="X583" s="13"/>
      <c r="Y583" s="13"/>
      <c r="Z583" s="13"/>
      <c r="AA583" s="13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3"/>
      <c r="AO583" s="13"/>
      <c r="AP583" s="13"/>
      <c r="AQ583" s="13"/>
      <c r="AR583" s="13"/>
      <c r="AS583" s="13"/>
      <c r="AT583" s="13"/>
      <c r="AU583" s="13"/>
      <c r="AV583" s="13"/>
      <c r="AW583" s="14"/>
      <c r="AX583" s="14"/>
      <c r="AY583" s="14"/>
      <c r="AZ583" s="14"/>
      <c r="BA583" s="14"/>
    </row>
    <row r="584">
      <c r="A584" s="11"/>
      <c r="B584" s="11"/>
      <c r="C584" s="11"/>
      <c r="D584" s="11"/>
      <c r="E584" s="11"/>
      <c r="F584" s="11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3"/>
      <c r="T584" s="13"/>
      <c r="U584" s="13"/>
      <c r="V584" s="13"/>
      <c r="W584" s="13"/>
      <c r="X584" s="13"/>
      <c r="Y584" s="13"/>
      <c r="Z584" s="13"/>
      <c r="AA584" s="13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3"/>
      <c r="AO584" s="13"/>
      <c r="AP584" s="13"/>
      <c r="AQ584" s="13"/>
      <c r="AR584" s="13"/>
      <c r="AS584" s="13"/>
      <c r="AT584" s="13"/>
      <c r="AU584" s="13"/>
      <c r="AV584" s="13"/>
      <c r="AW584" s="14"/>
      <c r="AX584" s="14"/>
      <c r="AY584" s="14"/>
      <c r="AZ584" s="14"/>
      <c r="BA584" s="14"/>
    </row>
    <row r="585">
      <c r="A585" s="11"/>
      <c r="B585" s="11"/>
      <c r="C585" s="11"/>
      <c r="D585" s="11"/>
      <c r="E585" s="11"/>
      <c r="F585" s="11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3"/>
      <c r="T585" s="13"/>
      <c r="U585" s="13"/>
      <c r="V585" s="13"/>
      <c r="W585" s="13"/>
      <c r="X585" s="13"/>
      <c r="Y585" s="13"/>
      <c r="Z585" s="13"/>
      <c r="AA585" s="13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3"/>
      <c r="AO585" s="13"/>
      <c r="AP585" s="13"/>
      <c r="AQ585" s="13"/>
      <c r="AR585" s="13"/>
      <c r="AS585" s="13"/>
      <c r="AT585" s="13"/>
      <c r="AU585" s="13"/>
      <c r="AV585" s="13"/>
      <c r="AW585" s="14"/>
      <c r="AX585" s="14"/>
      <c r="AY585" s="14"/>
      <c r="AZ585" s="14"/>
      <c r="BA585" s="14"/>
    </row>
    <row r="586">
      <c r="A586" s="11"/>
      <c r="B586" s="11"/>
      <c r="C586" s="11"/>
      <c r="D586" s="11"/>
      <c r="E586" s="11"/>
      <c r="F586" s="11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3"/>
      <c r="T586" s="13"/>
      <c r="U586" s="13"/>
      <c r="V586" s="13"/>
      <c r="W586" s="13"/>
      <c r="X586" s="13"/>
      <c r="Y586" s="13"/>
      <c r="Z586" s="13"/>
      <c r="AA586" s="13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3"/>
      <c r="AO586" s="13"/>
      <c r="AP586" s="13"/>
      <c r="AQ586" s="13"/>
      <c r="AR586" s="13"/>
      <c r="AS586" s="13"/>
      <c r="AT586" s="13"/>
      <c r="AU586" s="13"/>
      <c r="AV586" s="13"/>
      <c r="AW586" s="14"/>
      <c r="AX586" s="14"/>
      <c r="AY586" s="14"/>
      <c r="AZ586" s="14"/>
      <c r="BA586" s="14"/>
    </row>
    <row r="587">
      <c r="A587" s="11"/>
      <c r="B587" s="11"/>
      <c r="C587" s="11"/>
      <c r="D587" s="11"/>
      <c r="E587" s="11"/>
      <c r="F587" s="11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3"/>
      <c r="T587" s="13"/>
      <c r="U587" s="13"/>
      <c r="V587" s="13"/>
      <c r="W587" s="13"/>
      <c r="X587" s="13"/>
      <c r="Y587" s="13"/>
      <c r="Z587" s="13"/>
      <c r="AA587" s="13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3"/>
      <c r="AO587" s="13"/>
      <c r="AP587" s="13"/>
      <c r="AQ587" s="13"/>
      <c r="AR587" s="13"/>
      <c r="AS587" s="13"/>
      <c r="AT587" s="13"/>
      <c r="AU587" s="13"/>
      <c r="AV587" s="13"/>
      <c r="AW587" s="14"/>
      <c r="AX587" s="14"/>
      <c r="AY587" s="14"/>
      <c r="AZ587" s="14"/>
      <c r="BA587" s="14"/>
    </row>
    <row r="588">
      <c r="A588" s="11"/>
      <c r="B588" s="11"/>
      <c r="C588" s="11"/>
      <c r="D588" s="11"/>
      <c r="E588" s="11"/>
      <c r="F588" s="11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3"/>
      <c r="T588" s="13"/>
      <c r="U588" s="13"/>
      <c r="V588" s="13"/>
      <c r="W588" s="13"/>
      <c r="X588" s="13"/>
      <c r="Y588" s="13"/>
      <c r="Z588" s="13"/>
      <c r="AA588" s="13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3"/>
      <c r="AO588" s="13"/>
      <c r="AP588" s="13"/>
      <c r="AQ588" s="13"/>
      <c r="AR588" s="13"/>
      <c r="AS588" s="13"/>
      <c r="AT588" s="13"/>
      <c r="AU588" s="13"/>
      <c r="AV588" s="13"/>
      <c r="AW588" s="14"/>
      <c r="AX588" s="14"/>
      <c r="AY588" s="14"/>
      <c r="AZ588" s="14"/>
      <c r="BA588" s="14"/>
    </row>
    <row r="589">
      <c r="A589" s="11"/>
      <c r="B589" s="11"/>
      <c r="C589" s="11"/>
      <c r="D589" s="11"/>
      <c r="E589" s="11"/>
      <c r="F589" s="11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3"/>
      <c r="T589" s="13"/>
      <c r="U589" s="13"/>
      <c r="V589" s="13"/>
      <c r="W589" s="13"/>
      <c r="X589" s="13"/>
      <c r="Y589" s="13"/>
      <c r="Z589" s="13"/>
      <c r="AA589" s="13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3"/>
      <c r="AO589" s="13"/>
      <c r="AP589" s="13"/>
      <c r="AQ589" s="13"/>
      <c r="AR589" s="13"/>
      <c r="AS589" s="13"/>
      <c r="AT589" s="13"/>
      <c r="AU589" s="13"/>
      <c r="AV589" s="13"/>
      <c r="AW589" s="14"/>
      <c r="AX589" s="14"/>
      <c r="AY589" s="14"/>
      <c r="AZ589" s="14"/>
      <c r="BA589" s="14"/>
    </row>
    <row r="590">
      <c r="A590" s="11"/>
      <c r="B590" s="11"/>
      <c r="C590" s="11"/>
      <c r="D590" s="11"/>
      <c r="E590" s="11"/>
      <c r="F590" s="11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3"/>
      <c r="T590" s="13"/>
      <c r="U590" s="13"/>
      <c r="V590" s="13"/>
      <c r="W590" s="13"/>
      <c r="X590" s="13"/>
      <c r="Y590" s="13"/>
      <c r="Z590" s="13"/>
      <c r="AA590" s="13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3"/>
      <c r="AO590" s="13"/>
      <c r="AP590" s="13"/>
      <c r="AQ590" s="13"/>
      <c r="AR590" s="13"/>
      <c r="AS590" s="13"/>
      <c r="AT590" s="13"/>
      <c r="AU590" s="13"/>
      <c r="AV590" s="13"/>
      <c r="AW590" s="14"/>
      <c r="AX590" s="14"/>
      <c r="AY590" s="14"/>
      <c r="AZ590" s="14"/>
      <c r="BA590" s="14"/>
    </row>
    <row r="591">
      <c r="A591" s="11"/>
      <c r="B591" s="11"/>
      <c r="C591" s="11"/>
      <c r="D591" s="11"/>
      <c r="E591" s="11"/>
      <c r="F591" s="11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3"/>
      <c r="T591" s="13"/>
      <c r="U591" s="13"/>
      <c r="V591" s="13"/>
      <c r="W591" s="13"/>
      <c r="X591" s="13"/>
      <c r="Y591" s="13"/>
      <c r="Z591" s="13"/>
      <c r="AA591" s="13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3"/>
      <c r="AO591" s="13"/>
      <c r="AP591" s="13"/>
      <c r="AQ591" s="13"/>
      <c r="AR591" s="13"/>
      <c r="AS591" s="13"/>
      <c r="AT591" s="13"/>
      <c r="AU591" s="13"/>
      <c r="AV591" s="13"/>
      <c r="AW591" s="14"/>
      <c r="AX591" s="14"/>
      <c r="AY591" s="14"/>
      <c r="AZ591" s="14"/>
      <c r="BA591" s="14"/>
    </row>
    <row r="592">
      <c r="A592" s="11"/>
      <c r="B592" s="11"/>
      <c r="C592" s="11"/>
      <c r="D592" s="11"/>
      <c r="E592" s="11"/>
      <c r="F592" s="11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3"/>
      <c r="T592" s="13"/>
      <c r="U592" s="13"/>
      <c r="V592" s="13"/>
      <c r="W592" s="13"/>
      <c r="X592" s="13"/>
      <c r="Y592" s="13"/>
      <c r="Z592" s="13"/>
      <c r="AA592" s="13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3"/>
      <c r="AO592" s="13"/>
      <c r="AP592" s="13"/>
      <c r="AQ592" s="13"/>
      <c r="AR592" s="13"/>
      <c r="AS592" s="13"/>
      <c r="AT592" s="13"/>
      <c r="AU592" s="13"/>
      <c r="AV592" s="13"/>
      <c r="AW592" s="14"/>
      <c r="AX592" s="14"/>
      <c r="AY592" s="14"/>
      <c r="AZ592" s="14"/>
      <c r="BA592" s="14"/>
    </row>
    <row r="593">
      <c r="A593" s="11"/>
      <c r="B593" s="11"/>
      <c r="C593" s="11"/>
      <c r="D593" s="11"/>
      <c r="E593" s="11"/>
      <c r="F593" s="11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3"/>
      <c r="T593" s="13"/>
      <c r="U593" s="13"/>
      <c r="V593" s="13"/>
      <c r="W593" s="13"/>
      <c r="X593" s="13"/>
      <c r="Y593" s="13"/>
      <c r="Z593" s="13"/>
      <c r="AA593" s="13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3"/>
      <c r="AO593" s="13"/>
      <c r="AP593" s="13"/>
      <c r="AQ593" s="13"/>
      <c r="AR593" s="13"/>
      <c r="AS593" s="13"/>
      <c r="AT593" s="13"/>
      <c r="AU593" s="13"/>
      <c r="AV593" s="13"/>
      <c r="AW593" s="14"/>
      <c r="AX593" s="14"/>
      <c r="AY593" s="14"/>
      <c r="AZ593" s="14"/>
      <c r="BA593" s="14"/>
    </row>
    <row r="594">
      <c r="A594" s="11"/>
      <c r="B594" s="11"/>
      <c r="C594" s="11"/>
      <c r="D594" s="11"/>
      <c r="E594" s="11"/>
      <c r="F594" s="11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3"/>
      <c r="T594" s="13"/>
      <c r="U594" s="13"/>
      <c r="V594" s="13"/>
      <c r="W594" s="13"/>
      <c r="X594" s="13"/>
      <c r="Y594" s="13"/>
      <c r="Z594" s="13"/>
      <c r="AA594" s="13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3"/>
      <c r="AO594" s="13"/>
      <c r="AP594" s="13"/>
      <c r="AQ594" s="13"/>
      <c r="AR594" s="13"/>
      <c r="AS594" s="13"/>
      <c r="AT594" s="13"/>
      <c r="AU594" s="13"/>
      <c r="AV594" s="13"/>
      <c r="AW594" s="14"/>
      <c r="AX594" s="14"/>
      <c r="AY594" s="14"/>
      <c r="AZ594" s="14"/>
      <c r="BA594" s="14"/>
    </row>
    <row r="595">
      <c r="A595" s="11"/>
      <c r="B595" s="11"/>
      <c r="C595" s="11"/>
      <c r="D595" s="11"/>
      <c r="E595" s="11"/>
      <c r="F595" s="11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3"/>
      <c r="T595" s="13"/>
      <c r="U595" s="13"/>
      <c r="V595" s="13"/>
      <c r="W595" s="13"/>
      <c r="X595" s="13"/>
      <c r="Y595" s="13"/>
      <c r="Z595" s="13"/>
      <c r="AA595" s="13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3"/>
      <c r="AO595" s="13"/>
      <c r="AP595" s="13"/>
      <c r="AQ595" s="13"/>
      <c r="AR595" s="13"/>
      <c r="AS595" s="13"/>
      <c r="AT595" s="13"/>
      <c r="AU595" s="13"/>
      <c r="AV595" s="13"/>
      <c r="AW595" s="14"/>
      <c r="AX595" s="14"/>
      <c r="AY595" s="14"/>
      <c r="AZ595" s="14"/>
      <c r="BA595" s="14"/>
    </row>
    <row r="596">
      <c r="A596" s="11"/>
      <c r="B596" s="11"/>
      <c r="C596" s="11"/>
      <c r="D596" s="11"/>
      <c r="E596" s="11"/>
      <c r="F596" s="11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3"/>
      <c r="T596" s="13"/>
      <c r="U596" s="13"/>
      <c r="V596" s="13"/>
      <c r="W596" s="13"/>
      <c r="X596" s="13"/>
      <c r="Y596" s="13"/>
      <c r="Z596" s="13"/>
      <c r="AA596" s="13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3"/>
      <c r="AO596" s="13"/>
      <c r="AP596" s="13"/>
      <c r="AQ596" s="13"/>
      <c r="AR596" s="13"/>
      <c r="AS596" s="13"/>
      <c r="AT596" s="13"/>
      <c r="AU596" s="13"/>
      <c r="AV596" s="13"/>
      <c r="AW596" s="14"/>
      <c r="AX596" s="14"/>
      <c r="AY596" s="14"/>
      <c r="AZ596" s="14"/>
      <c r="BA596" s="14"/>
    </row>
    <row r="597">
      <c r="A597" s="11"/>
      <c r="B597" s="11"/>
      <c r="C597" s="11"/>
      <c r="D597" s="11"/>
      <c r="E597" s="11"/>
      <c r="F597" s="11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3"/>
      <c r="T597" s="13"/>
      <c r="U597" s="13"/>
      <c r="V597" s="13"/>
      <c r="W597" s="13"/>
      <c r="X597" s="13"/>
      <c r="Y597" s="13"/>
      <c r="Z597" s="13"/>
      <c r="AA597" s="13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3"/>
      <c r="AO597" s="13"/>
      <c r="AP597" s="13"/>
      <c r="AQ597" s="13"/>
      <c r="AR597" s="13"/>
      <c r="AS597" s="13"/>
      <c r="AT597" s="13"/>
      <c r="AU597" s="13"/>
      <c r="AV597" s="13"/>
      <c r="AW597" s="14"/>
      <c r="AX597" s="14"/>
      <c r="AY597" s="14"/>
      <c r="AZ597" s="14"/>
      <c r="BA597" s="14"/>
    </row>
    <row r="598">
      <c r="A598" s="11"/>
      <c r="B598" s="11"/>
      <c r="C598" s="11"/>
      <c r="D598" s="11"/>
      <c r="E598" s="11"/>
      <c r="F598" s="11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3"/>
      <c r="T598" s="13"/>
      <c r="U598" s="13"/>
      <c r="V598" s="13"/>
      <c r="W598" s="13"/>
      <c r="X598" s="13"/>
      <c r="Y598" s="13"/>
      <c r="Z598" s="13"/>
      <c r="AA598" s="13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3"/>
      <c r="AO598" s="13"/>
      <c r="AP598" s="13"/>
      <c r="AQ598" s="13"/>
      <c r="AR598" s="13"/>
      <c r="AS598" s="13"/>
      <c r="AT598" s="13"/>
      <c r="AU598" s="13"/>
      <c r="AV598" s="13"/>
      <c r="AW598" s="14"/>
      <c r="AX598" s="14"/>
      <c r="AY598" s="14"/>
      <c r="AZ598" s="14"/>
      <c r="BA598" s="14"/>
    </row>
    <row r="599">
      <c r="A599" s="11"/>
      <c r="B599" s="11"/>
      <c r="C599" s="11"/>
      <c r="D599" s="11"/>
      <c r="E599" s="11"/>
      <c r="F599" s="11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3"/>
      <c r="T599" s="13"/>
      <c r="U599" s="13"/>
      <c r="V599" s="13"/>
      <c r="W599" s="13"/>
      <c r="X599" s="13"/>
      <c r="Y599" s="13"/>
      <c r="Z599" s="13"/>
      <c r="AA599" s="13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3"/>
      <c r="AO599" s="13"/>
      <c r="AP599" s="13"/>
      <c r="AQ599" s="13"/>
      <c r="AR599" s="13"/>
      <c r="AS599" s="13"/>
      <c r="AT599" s="13"/>
      <c r="AU599" s="13"/>
      <c r="AV599" s="13"/>
      <c r="AW599" s="14"/>
      <c r="AX599" s="14"/>
      <c r="AY599" s="14"/>
      <c r="AZ599" s="14"/>
      <c r="BA599" s="14"/>
    </row>
    <row r="600">
      <c r="A600" s="11"/>
      <c r="B600" s="11"/>
      <c r="C600" s="11"/>
      <c r="D600" s="11"/>
      <c r="E600" s="11"/>
      <c r="F600" s="11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3"/>
      <c r="T600" s="13"/>
      <c r="U600" s="13"/>
      <c r="V600" s="13"/>
      <c r="W600" s="13"/>
      <c r="X600" s="13"/>
      <c r="Y600" s="13"/>
      <c r="Z600" s="13"/>
      <c r="AA600" s="13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3"/>
      <c r="AO600" s="13"/>
      <c r="AP600" s="13"/>
      <c r="AQ600" s="13"/>
      <c r="AR600" s="13"/>
      <c r="AS600" s="13"/>
      <c r="AT600" s="13"/>
      <c r="AU600" s="13"/>
      <c r="AV600" s="13"/>
      <c r="AW600" s="14"/>
      <c r="AX600" s="14"/>
      <c r="AY600" s="14"/>
      <c r="AZ600" s="14"/>
      <c r="BA600" s="14"/>
    </row>
    <row r="601">
      <c r="A601" s="11"/>
      <c r="B601" s="11"/>
      <c r="C601" s="11"/>
      <c r="D601" s="11"/>
      <c r="E601" s="11"/>
      <c r="F601" s="11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3"/>
      <c r="T601" s="13"/>
      <c r="U601" s="13"/>
      <c r="V601" s="13"/>
      <c r="W601" s="13"/>
      <c r="X601" s="13"/>
      <c r="Y601" s="13"/>
      <c r="Z601" s="13"/>
      <c r="AA601" s="13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3"/>
      <c r="AO601" s="13"/>
      <c r="AP601" s="13"/>
      <c r="AQ601" s="13"/>
      <c r="AR601" s="13"/>
      <c r="AS601" s="13"/>
      <c r="AT601" s="13"/>
      <c r="AU601" s="13"/>
      <c r="AV601" s="13"/>
      <c r="AW601" s="14"/>
      <c r="AX601" s="14"/>
      <c r="AY601" s="14"/>
      <c r="AZ601" s="14"/>
      <c r="BA601" s="14"/>
    </row>
    <row r="602">
      <c r="A602" s="11"/>
      <c r="B602" s="11"/>
      <c r="C602" s="11"/>
      <c r="D602" s="11"/>
      <c r="E602" s="11"/>
      <c r="F602" s="11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3"/>
      <c r="T602" s="13"/>
      <c r="U602" s="13"/>
      <c r="V602" s="13"/>
      <c r="W602" s="13"/>
      <c r="X602" s="13"/>
      <c r="Y602" s="13"/>
      <c r="Z602" s="13"/>
      <c r="AA602" s="13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3"/>
      <c r="AO602" s="13"/>
      <c r="AP602" s="13"/>
      <c r="AQ602" s="13"/>
      <c r="AR602" s="13"/>
      <c r="AS602" s="13"/>
      <c r="AT602" s="13"/>
      <c r="AU602" s="13"/>
      <c r="AV602" s="13"/>
      <c r="AW602" s="14"/>
      <c r="AX602" s="14"/>
      <c r="AY602" s="14"/>
      <c r="AZ602" s="14"/>
      <c r="BA602" s="14"/>
    </row>
    <row r="603">
      <c r="A603" s="11"/>
      <c r="B603" s="11"/>
      <c r="C603" s="11"/>
      <c r="D603" s="11"/>
      <c r="E603" s="11"/>
      <c r="F603" s="11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3"/>
      <c r="T603" s="13"/>
      <c r="U603" s="13"/>
      <c r="V603" s="13"/>
      <c r="W603" s="13"/>
      <c r="X603" s="13"/>
      <c r="Y603" s="13"/>
      <c r="Z603" s="13"/>
      <c r="AA603" s="13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3"/>
      <c r="AO603" s="13"/>
      <c r="AP603" s="13"/>
      <c r="AQ603" s="13"/>
      <c r="AR603" s="13"/>
      <c r="AS603" s="13"/>
      <c r="AT603" s="13"/>
      <c r="AU603" s="13"/>
      <c r="AV603" s="13"/>
      <c r="AW603" s="14"/>
      <c r="AX603" s="14"/>
      <c r="AY603" s="14"/>
      <c r="AZ603" s="14"/>
      <c r="BA603" s="14"/>
    </row>
    <row r="604">
      <c r="A604" s="11"/>
      <c r="B604" s="11"/>
      <c r="C604" s="11"/>
      <c r="D604" s="11"/>
      <c r="E604" s="11"/>
      <c r="F604" s="11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3"/>
      <c r="T604" s="13"/>
      <c r="U604" s="13"/>
      <c r="V604" s="13"/>
      <c r="W604" s="13"/>
      <c r="X604" s="13"/>
      <c r="Y604" s="13"/>
      <c r="Z604" s="13"/>
      <c r="AA604" s="13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3"/>
      <c r="AO604" s="13"/>
      <c r="AP604" s="13"/>
      <c r="AQ604" s="13"/>
      <c r="AR604" s="13"/>
      <c r="AS604" s="13"/>
      <c r="AT604" s="13"/>
      <c r="AU604" s="13"/>
      <c r="AV604" s="13"/>
      <c r="AW604" s="14"/>
      <c r="AX604" s="14"/>
      <c r="AY604" s="14"/>
      <c r="AZ604" s="14"/>
      <c r="BA604" s="14"/>
    </row>
    <row r="605">
      <c r="A605" s="11"/>
      <c r="B605" s="11"/>
      <c r="C605" s="11"/>
      <c r="D605" s="11"/>
      <c r="E605" s="11"/>
      <c r="F605" s="11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3"/>
      <c r="T605" s="13"/>
      <c r="U605" s="13"/>
      <c r="V605" s="13"/>
      <c r="W605" s="13"/>
      <c r="X605" s="13"/>
      <c r="Y605" s="13"/>
      <c r="Z605" s="13"/>
      <c r="AA605" s="13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3"/>
      <c r="AO605" s="13"/>
      <c r="AP605" s="13"/>
      <c r="AQ605" s="13"/>
      <c r="AR605" s="13"/>
      <c r="AS605" s="13"/>
      <c r="AT605" s="13"/>
      <c r="AU605" s="13"/>
      <c r="AV605" s="13"/>
      <c r="AW605" s="14"/>
      <c r="AX605" s="14"/>
      <c r="AY605" s="14"/>
      <c r="AZ605" s="14"/>
      <c r="BA605" s="14"/>
    </row>
    <row r="606">
      <c r="A606" s="11"/>
      <c r="B606" s="11"/>
      <c r="C606" s="11"/>
      <c r="D606" s="11"/>
      <c r="E606" s="11"/>
      <c r="F606" s="11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3"/>
      <c r="T606" s="13"/>
      <c r="U606" s="13"/>
      <c r="V606" s="13"/>
      <c r="W606" s="13"/>
      <c r="X606" s="13"/>
      <c r="Y606" s="13"/>
      <c r="Z606" s="13"/>
      <c r="AA606" s="13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3"/>
      <c r="AO606" s="13"/>
      <c r="AP606" s="13"/>
      <c r="AQ606" s="13"/>
      <c r="AR606" s="13"/>
      <c r="AS606" s="13"/>
      <c r="AT606" s="13"/>
      <c r="AU606" s="13"/>
      <c r="AV606" s="13"/>
      <c r="AW606" s="14"/>
      <c r="AX606" s="14"/>
      <c r="AY606" s="14"/>
      <c r="AZ606" s="14"/>
      <c r="BA606" s="14"/>
    </row>
    <row r="607">
      <c r="A607" s="11"/>
      <c r="B607" s="11"/>
      <c r="C607" s="11"/>
      <c r="D607" s="11"/>
      <c r="E607" s="11"/>
      <c r="F607" s="11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3"/>
      <c r="T607" s="13"/>
      <c r="U607" s="13"/>
      <c r="V607" s="13"/>
      <c r="W607" s="13"/>
      <c r="X607" s="13"/>
      <c r="Y607" s="13"/>
      <c r="Z607" s="13"/>
      <c r="AA607" s="13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3"/>
      <c r="AO607" s="13"/>
      <c r="AP607" s="13"/>
      <c r="AQ607" s="13"/>
      <c r="AR607" s="13"/>
      <c r="AS607" s="13"/>
      <c r="AT607" s="13"/>
      <c r="AU607" s="13"/>
      <c r="AV607" s="13"/>
      <c r="AW607" s="14"/>
      <c r="AX607" s="14"/>
      <c r="AY607" s="14"/>
      <c r="AZ607" s="14"/>
      <c r="BA607" s="14"/>
    </row>
    <row r="608">
      <c r="A608" s="11"/>
      <c r="B608" s="11"/>
      <c r="C608" s="11"/>
      <c r="D608" s="11"/>
      <c r="E608" s="11"/>
      <c r="F608" s="11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3"/>
      <c r="T608" s="13"/>
      <c r="U608" s="13"/>
      <c r="V608" s="13"/>
      <c r="W608" s="13"/>
      <c r="X608" s="13"/>
      <c r="Y608" s="13"/>
      <c r="Z608" s="13"/>
      <c r="AA608" s="13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3"/>
      <c r="AO608" s="13"/>
      <c r="AP608" s="13"/>
      <c r="AQ608" s="13"/>
      <c r="AR608" s="13"/>
      <c r="AS608" s="13"/>
      <c r="AT608" s="13"/>
      <c r="AU608" s="13"/>
      <c r="AV608" s="13"/>
      <c r="AW608" s="14"/>
      <c r="AX608" s="14"/>
      <c r="AY608" s="14"/>
      <c r="AZ608" s="14"/>
      <c r="BA608" s="14"/>
    </row>
    <row r="609">
      <c r="A609" s="11"/>
      <c r="B609" s="11"/>
      <c r="C609" s="11"/>
      <c r="D609" s="11"/>
      <c r="E609" s="11"/>
      <c r="F609" s="11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3"/>
      <c r="T609" s="13"/>
      <c r="U609" s="13"/>
      <c r="V609" s="13"/>
      <c r="W609" s="13"/>
      <c r="X609" s="13"/>
      <c r="Y609" s="13"/>
      <c r="Z609" s="13"/>
      <c r="AA609" s="13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3"/>
      <c r="AO609" s="13"/>
      <c r="AP609" s="13"/>
      <c r="AQ609" s="13"/>
      <c r="AR609" s="13"/>
      <c r="AS609" s="13"/>
      <c r="AT609" s="13"/>
      <c r="AU609" s="13"/>
      <c r="AV609" s="13"/>
      <c r="AW609" s="14"/>
      <c r="AX609" s="14"/>
      <c r="AY609" s="14"/>
      <c r="AZ609" s="14"/>
      <c r="BA609" s="14"/>
    </row>
    <row r="610">
      <c r="A610" s="11"/>
      <c r="B610" s="11"/>
      <c r="C610" s="11"/>
      <c r="D610" s="11"/>
      <c r="E610" s="11"/>
      <c r="F610" s="11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3"/>
      <c r="T610" s="13"/>
      <c r="U610" s="13"/>
      <c r="V610" s="13"/>
      <c r="W610" s="13"/>
      <c r="X610" s="13"/>
      <c r="Y610" s="13"/>
      <c r="Z610" s="13"/>
      <c r="AA610" s="13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3"/>
      <c r="AO610" s="13"/>
      <c r="AP610" s="13"/>
      <c r="AQ610" s="13"/>
      <c r="AR610" s="13"/>
      <c r="AS610" s="13"/>
      <c r="AT610" s="13"/>
      <c r="AU610" s="13"/>
      <c r="AV610" s="13"/>
      <c r="AW610" s="14"/>
      <c r="AX610" s="14"/>
      <c r="AY610" s="14"/>
      <c r="AZ610" s="14"/>
      <c r="BA610" s="14"/>
    </row>
    <row r="611">
      <c r="A611" s="11"/>
      <c r="B611" s="11"/>
      <c r="C611" s="11"/>
      <c r="D611" s="11"/>
      <c r="E611" s="11"/>
      <c r="F611" s="11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3"/>
      <c r="T611" s="13"/>
      <c r="U611" s="13"/>
      <c r="V611" s="13"/>
      <c r="W611" s="13"/>
      <c r="X611" s="13"/>
      <c r="Y611" s="13"/>
      <c r="Z611" s="13"/>
      <c r="AA611" s="13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3"/>
      <c r="AO611" s="13"/>
      <c r="AP611" s="13"/>
      <c r="AQ611" s="13"/>
      <c r="AR611" s="13"/>
      <c r="AS611" s="13"/>
      <c r="AT611" s="13"/>
      <c r="AU611" s="13"/>
      <c r="AV611" s="13"/>
      <c r="AW611" s="14"/>
      <c r="AX611" s="14"/>
      <c r="AY611" s="14"/>
      <c r="AZ611" s="14"/>
      <c r="BA611" s="14"/>
    </row>
    <row r="612">
      <c r="A612" s="11"/>
      <c r="B612" s="11"/>
      <c r="C612" s="11"/>
      <c r="D612" s="11"/>
      <c r="E612" s="11"/>
      <c r="F612" s="11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3"/>
      <c r="T612" s="13"/>
      <c r="U612" s="13"/>
      <c r="V612" s="13"/>
      <c r="W612" s="13"/>
      <c r="X612" s="13"/>
      <c r="Y612" s="13"/>
      <c r="Z612" s="13"/>
      <c r="AA612" s="13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3"/>
      <c r="AO612" s="13"/>
      <c r="AP612" s="13"/>
      <c r="AQ612" s="13"/>
      <c r="AR612" s="13"/>
      <c r="AS612" s="13"/>
      <c r="AT612" s="13"/>
      <c r="AU612" s="13"/>
      <c r="AV612" s="13"/>
      <c r="AW612" s="14"/>
      <c r="AX612" s="14"/>
      <c r="AY612" s="14"/>
      <c r="AZ612" s="14"/>
      <c r="BA612" s="14"/>
    </row>
    <row r="613">
      <c r="A613" s="11"/>
      <c r="B613" s="11"/>
      <c r="C613" s="11"/>
      <c r="D613" s="11"/>
      <c r="E613" s="11"/>
      <c r="F613" s="11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3"/>
      <c r="T613" s="13"/>
      <c r="U613" s="13"/>
      <c r="V613" s="13"/>
      <c r="W613" s="13"/>
      <c r="X613" s="13"/>
      <c r="Y613" s="13"/>
      <c r="Z613" s="13"/>
      <c r="AA613" s="13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3"/>
      <c r="AO613" s="13"/>
      <c r="AP613" s="13"/>
      <c r="AQ613" s="13"/>
      <c r="AR613" s="13"/>
      <c r="AS613" s="13"/>
      <c r="AT613" s="13"/>
      <c r="AU613" s="13"/>
      <c r="AV613" s="13"/>
      <c r="AW613" s="14"/>
      <c r="AX613" s="14"/>
      <c r="AY613" s="14"/>
      <c r="AZ613" s="14"/>
      <c r="BA613" s="14"/>
    </row>
    <row r="614">
      <c r="A614" s="11"/>
      <c r="B614" s="11"/>
      <c r="C614" s="11"/>
      <c r="D614" s="11"/>
      <c r="E614" s="11"/>
      <c r="F614" s="11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3"/>
      <c r="T614" s="13"/>
      <c r="U614" s="13"/>
      <c r="V614" s="13"/>
      <c r="W614" s="13"/>
      <c r="X614" s="13"/>
      <c r="Y614" s="13"/>
      <c r="Z614" s="13"/>
      <c r="AA614" s="13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3"/>
      <c r="AO614" s="13"/>
      <c r="AP614" s="13"/>
      <c r="AQ614" s="13"/>
      <c r="AR614" s="13"/>
      <c r="AS614" s="13"/>
      <c r="AT614" s="13"/>
      <c r="AU614" s="13"/>
      <c r="AV614" s="13"/>
      <c r="AW614" s="14"/>
      <c r="AX614" s="14"/>
      <c r="AY614" s="14"/>
      <c r="AZ614" s="14"/>
      <c r="BA614" s="14"/>
    </row>
    <row r="615">
      <c r="A615" s="11"/>
      <c r="B615" s="11"/>
      <c r="C615" s="11"/>
      <c r="D615" s="11"/>
      <c r="E615" s="11"/>
      <c r="F615" s="11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3"/>
      <c r="T615" s="13"/>
      <c r="U615" s="13"/>
      <c r="V615" s="13"/>
      <c r="W615" s="13"/>
      <c r="X615" s="13"/>
      <c r="Y615" s="13"/>
      <c r="Z615" s="13"/>
      <c r="AA615" s="13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3"/>
      <c r="AO615" s="13"/>
      <c r="AP615" s="13"/>
      <c r="AQ615" s="13"/>
      <c r="AR615" s="13"/>
      <c r="AS615" s="13"/>
      <c r="AT615" s="13"/>
      <c r="AU615" s="13"/>
      <c r="AV615" s="13"/>
      <c r="AW615" s="14"/>
      <c r="AX615" s="14"/>
      <c r="AY615" s="14"/>
      <c r="AZ615" s="14"/>
      <c r="BA615" s="14"/>
    </row>
    <row r="616">
      <c r="A616" s="11"/>
      <c r="B616" s="11"/>
      <c r="C616" s="11"/>
      <c r="D616" s="11"/>
      <c r="E616" s="11"/>
      <c r="F616" s="11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3"/>
      <c r="T616" s="13"/>
      <c r="U616" s="13"/>
      <c r="V616" s="13"/>
      <c r="W616" s="13"/>
      <c r="X616" s="13"/>
      <c r="Y616" s="13"/>
      <c r="Z616" s="13"/>
      <c r="AA616" s="13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3"/>
      <c r="AO616" s="13"/>
      <c r="AP616" s="13"/>
      <c r="AQ616" s="13"/>
      <c r="AR616" s="13"/>
      <c r="AS616" s="13"/>
      <c r="AT616" s="13"/>
      <c r="AU616" s="13"/>
      <c r="AV616" s="13"/>
      <c r="AW616" s="14"/>
      <c r="AX616" s="14"/>
      <c r="AY616" s="14"/>
      <c r="AZ616" s="14"/>
      <c r="BA616" s="14"/>
    </row>
    <row r="617">
      <c r="A617" s="11"/>
      <c r="B617" s="11"/>
      <c r="C617" s="11"/>
      <c r="D617" s="11"/>
      <c r="E617" s="11"/>
      <c r="F617" s="11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3"/>
      <c r="T617" s="13"/>
      <c r="U617" s="13"/>
      <c r="V617" s="13"/>
      <c r="W617" s="13"/>
      <c r="X617" s="13"/>
      <c r="Y617" s="13"/>
      <c r="Z617" s="13"/>
      <c r="AA617" s="13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3"/>
      <c r="AO617" s="13"/>
      <c r="AP617" s="13"/>
      <c r="AQ617" s="13"/>
      <c r="AR617" s="13"/>
      <c r="AS617" s="13"/>
      <c r="AT617" s="13"/>
      <c r="AU617" s="13"/>
      <c r="AV617" s="13"/>
      <c r="AW617" s="14"/>
      <c r="AX617" s="14"/>
      <c r="AY617" s="14"/>
      <c r="AZ617" s="14"/>
      <c r="BA617" s="14"/>
    </row>
    <row r="618">
      <c r="A618" s="11"/>
      <c r="B618" s="11"/>
      <c r="C618" s="11"/>
      <c r="D618" s="11"/>
      <c r="E618" s="11"/>
      <c r="F618" s="11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3"/>
      <c r="T618" s="13"/>
      <c r="U618" s="13"/>
      <c r="V618" s="13"/>
      <c r="W618" s="13"/>
      <c r="X618" s="13"/>
      <c r="Y618" s="13"/>
      <c r="Z618" s="13"/>
      <c r="AA618" s="13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3"/>
      <c r="AO618" s="13"/>
      <c r="AP618" s="13"/>
      <c r="AQ618" s="13"/>
      <c r="AR618" s="13"/>
      <c r="AS618" s="13"/>
      <c r="AT618" s="13"/>
      <c r="AU618" s="13"/>
      <c r="AV618" s="13"/>
      <c r="AW618" s="14"/>
      <c r="AX618" s="14"/>
      <c r="AY618" s="14"/>
      <c r="AZ618" s="14"/>
      <c r="BA618" s="14"/>
    </row>
    <row r="619">
      <c r="A619" s="11"/>
      <c r="B619" s="11"/>
      <c r="C619" s="11"/>
      <c r="D619" s="11"/>
      <c r="E619" s="11"/>
      <c r="F619" s="11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3"/>
      <c r="T619" s="13"/>
      <c r="U619" s="13"/>
      <c r="V619" s="13"/>
      <c r="W619" s="13"/>
      <c r="X619" s="13"/>
      <c r="Y619" s="13"/>
      <c r="Z619" s="13"/>
      <c r="AA619" s="13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3"/>
      <c r="AO619" s="13"/>
      <c r="AP619" s="13"/>
      <c r="AQ619" s="13"/>
      <c r="AR619" s="13"/>
      <c r="AS619" s="13"/>
      <c r="AT619" s="13"/>
      <c r="AU619" s="13"/>
      <c r="AV619" s="13"/>
      <c r="AW619" s="14"/>
      <c r="AX619" s="14"/>
      <c r="AY619" s="14"/>
      <c r="AZ619" s="14"/>
      <c r="BA619" s="14"/>
    </row>
    <row r="620">
      <c r="A620" s="11"/>
      <c r="B620" s="11"/>
      <c r="C620" s="11"/>
      <c r="D620" s="11"/>
      <c r="E620" s="11"/>
      <c r="F620" s="11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3"/>
      <c r="T620" s="13"/>
      <c r="U620" s="13"/>
      <c r="V620" s="13"/>
      <c r="W620" s="13"/>
      <c r="X620" s="13"/>
      <c r="Y620" s="13"/>
      <c r="Z620" s="13"/>
      <c r="AA620" s="13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3"/>
      <c r="AO620" s="13"/>
      <c r="AP620" s="13"/>
      <c r="AQ620" s="13"/>
      <c r="AR620" s="13"/>
      <c r="AS620" s="13"/>
      <c r="AT620" s="13"/>
      <c r="AU620" s="13"/>
      <c r="AV620" s="13"/>
      <c r="AW620" s="14"/>
      <c r="AX620" s="14"/>
      <c r="AY620" s="14"/>
      <c r="AZ620" s="14"/>
      <c r="BA620" s="14"/>
    </row>
    <row r="621">
      <c r="A621" s="11"/>
      <c r="B621" s="11"/>
      <c r="C621" s="11"/>
      <c r="D621" s="11"/>
      <c r="E621" s="11"/>
      <c r="F621" s="11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3"/>
      <c r="T621" s="13"/>
      <c r="U621" s="13"/>
      <c r="V621" s="13"/>
      <c r="W621" s="13"/>
      <c r="X621" s="13"/>
      <c r="Y621" s="13"/>
      <c r="Z621" s="13"/>
      <c r="AA621" s="13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3"/>
      <c r="AO621" s="13"/>
      <c r="AP621" s="13"/>
      <c r="AQ621" s="13"/>
      <c r="AR621" s="13"/>
      <c r="AS621" s="13"/>
      <c r="AT621" s="13"/>
      <c r="AU621" s="13"/>
      <c r="AV621" s="13"/>
      <c r="AW621" s="14"/>
      <c r="AX621" s="14"/>
      <c r="AY621" s="14"/>
      <c r="AZ621" s="14"/>
      <c r="BA621" s="14"/>
    </row>
    <row r="622">
      <c r="A622" s="11"/>
      <c r="B622" s="11"/>
      <c r="C622" s="11"/>
      <c r="D622" s="11"/>
      <c r="E622" s="11"/>
      <c r="F622" s="11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3"/>
      <c r="T622" s="13"/>
      <c r="U622" s="13"/>
      <c r="V622" s="13"/>
      <c r="W622" s="13"/>
      <c r="X622" s="13"/>
      <c r="Y622" s="13"/>
      <c r="Z622" s="13"/>
      <c r="AA622" s="13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3"/>
      <c r="AO622" s="13"/>
      <c r="AP622" s="13"/>
      <c r="AQ622" s="13"/>
      <c r="AR622" s="13"/>
      <c r="AS622" s="13"/>
      <c r="AT622" s="13"/>
      <c r="AU622" s="13"/>
      <c r="AV622" s="13"/>
      <c r="AW622" s="14"/>
      <c r="AX622" s="14"/>
      <c r="AY622" s="14"/>
      <c r="AZ622" s="14"/>
      <c r="BA622" s="14"/>
    </row>
    <row r="623">
      <c r="A623" s="11"/>
      <c r="B623" s="11"/>
      <c r="C623" s="11"/>
      <c r="D623" s="11"/>
      <c r="E623" s="11"/>
      <c r="F623" s="11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3"/>
      <c r="T623" s="13"/>
      <c r="U623" s="13"/>
      <c r="V623" s="13"/>
      <c r="W623" s="13"/>
      <c r="X623" s="13"/>
      <c r="Y623" s="13"/>
      <c r="Z623" s="13"/>
      <c r="AA623" s="13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3"/>
      <c r="AO623" s="13"/>
      <c r="AP623" s="13"/>
      <c r="AQ623" s="13"/>
      <c r="AR623" s="13"/>
      <c r="AS623" s="13"/>
      <c r="AT623" s="13"/>
      <c r="AU623" s="13"/>
      <c r="AV623" s="13"/>
      <c r="AW623" s="14"/>
      <c r="AX623" s="14"/>
      <c r="AY623" s="14"/>
      <c r="AZ623" s="14"/>
      <c r="BA623" s="14"/>
    </row>
    <row r="624">
      <c r="A624" s="11"/>
      <c r="B624" s="11"/>
      <c r="C624" s="11"/>
      <c r="D624" s="11"/>
      <c r="E624" s="11"/>
      <c r="F624" s="11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3"/>
      <c r="T624" s="13"/>
      <c r="U624" s="13"/>
      <c r="V624" s="13"/>
      <c r="W624" s="13"/>
      <c r="X624" s="13"/>
      <c r="Y624" s="13"/>
      <c r="Z624" s="13"/>
      <c r="AA624" s="13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3"/>
      <c r="AO624" s="13"/>
      <c r="AP624" s="13"/>
      <c r="AQ624" s="13"/>
      <c r="AR624" s="13"/>
      <c r="AS624" s="13"/>
      <c r="AT624" s="13"/>
      <c r="AU624" s="13"/>
      <c r="AV624" s="13"/>
      <c r="AW624" s="14"/>
      <c r="AX624" s="14"/>
      <c r="AY624" s="14"/>
      <c r="AZ624" s="14"/>
      <c r="BA624" s="14"/>
    </row>
    <row r="625">
      <c r="A625" s="11"/>
      <c r="B625" s="11"/>
      <c r="C625" s="11"/>
      <c r="D625" s="11"/>
      <c r="E625" s="11"/>
      <c r="F625" s="11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3"/>
      <c r="T625" s="13"/>
      <c r="U625" s="13"/>
      <c r="V625" s="13"/>
      <c r="W625" s="13"/>
      <c r="X625" s="13"/>
      <c r="Y625" s="13"/>
      <c r="Z625" s="13"/>
      <c r="AA625" s="13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3"/>
      <c r="AO625" s="13"/>
      <c r="AP625" s="13"/>
      <c r="AQ625" s="13"/>
      <c r="AR625" s="13"/>
      <c r="AS625" s="13"/>
      <c r="AT625" s="13"/>
      <c r="AU625" s="13"/>
      <c r="AV625" s="13"/>
      <c r="AW625" s="14"/>
      <c r="AX625" s="14"/>
      <c r="AY625" s="14"/>
      <c r="AZ625" s="14"/>
      <c r="BA625" s="14"/>
    </row>
    <row r="626">
      <c r="A626" s="11"/>
      <c r="B626" s="11"/>
      <c r="C626" s="11"/>
      <c r="D626" s="11"/>
      <c r="E626" s="11"/>
      <c r="F626" s="11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3"/>
      <c r="T626" s="13"/>
      <c r="U626" s="13"/>
      <c r="V626" s="13"/>
      <c r="W626" s="13"/>
      <c r="X626" s="13"/>
      <c r="Y626" s="13"/>
      <c r="Z626" s="13"/>
      <c r="AA626" s="13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3"/>
      <c r="AO626" s="13"/>
      <c r="AP626" s="13"/>
      <c r="AQ626" s="13"/>
      <c r="AR626" s="13"/>
      <c r="AS626" s="13"/>
      <c r="AT626" s="13"/>
      <c r="AU626" s="13"/>
      <c r="AV626" s="13"/>
      <c r="AW626" s="14"/>
      <c r="AX626" s="14"/>
      <c r="AY626" s="14"/>
      <c r="AZ626" s="14"/>
      <c r="BA626" s="14"/>
    </row>
    <row r="627">
      <c r="A627" s="11"/>
      <c r="B627" s="11"/>
      <c r="C627" s="11"/>
      <c r="D627" s="11"/>
      <c r="E627" s="11"/>
      <c r="F627" s="11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3"/>
      <c r="T627" s="13"/>
      <c r="U627" s="13"/>
      <c r="V627" s="13"/>
      <c r="W627" s="13"/>
      <c r="X627" s="13"/>
      <c r="Y627" s="13"/>
      <c r="Z627" s="13"/>
      <c r="AA627" s="13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3"/>
      <c r="AO627" s="13"/>
      <c r="AP627" s="13"/>
      <c r="AQ627" s="13"/>
      <c r="AR627" s="13"/>
      <c r="AS627" s="13"/>
      <c r="AT627" s="13"/>
      <c r="AU627" s="13"/>
      <c r="AV627" s="13"/>
      <c r="AW627" s="14"/>
      <c r="AX627" s="14"/>
      <c r="AY627" s="14"/>
      <c r="AZ627" s="14"/>
      <c r="BA627" s="14"/>
    </row>
    <row r="628">
      <c r="A628" s="11"/>
      <c r="B628" s="11"/>
      <c r="C628" s="11"/>
      <c r="D628" s="11"/>
      <c r="E628" s="11"/>
      <c r="F628" s="11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3"/>
      <c r="T628" s="13"/>
      <c r="U628" s="13"/>
      <c r="V628" s="13"/>
      <c r="W628" s="13"/>
      <c r="X628" s="13"/>
      <c r="Y628" s="13"/>
      <c r="Z628" s="13"/>
      <c r="AA628" s="13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3"/>
      <c r="AO628" s="13"/>
      <c r="AP628" s="13"/>
      <c r="AQ628" s="13"/>
      <c r="AR628" s="13"/>
      <c r="AS628" s="13"/>
      <c r="AT628" s="13"/>
      <c r="AU628" s="13"/>
      <c r="AV628" s="13"/>
      <c r="AW628" s="14"/>
      <c r="AX628" s="14"/>
      <c r="AY628" s="14"/>
      <c r="AZ628" s="14"/>
      <c r="BA628" s="14"/>
    </row>
    <row r="629">
      <c r="A629" s="11"/>
      <c r="B629" s="11"/>
      <c r="C629" s="11"/>
      <c r="D629" s="11"/>
      <c r="E629" s="11"/>
      <c r="F629" s="11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3"/>
      <c r="T629" s="13"/>
      <c r="U629" s="13"/>
      <c r="V629" s="13"/>
      <c r="W629" s="13"/>
      <c r="X629" s="13"/>
      <c r="Y629" s="13"/>
      <c r="Z629" s="13"/>
      <c r="AA629" s="13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3"/>
      <c r="AO629" s="13"/>
      <c r="AP629" s="13"/>
      <c r="AQ629" s="13"/>
      <c r="AR629" s="13"/>
      <c r="AS629" s="13"/>
      <c r="AT629" s="13"/>
      <c r="AU629" s="13"/>
      <c r="AV629" s="13"/>
      <c r="AW629" s="14"/>
      <c r="AX629" s="14"/>
      <c r="AY629" s="14"/>
      <c r="AZ629" s="14"/>
      <c r="BA629" s="14"/>
    </row>
    <row r="630">
      <c r="A630" s="11"/>
      <c r="B630" s="11"/>
      <c r="C630" s="11"/>
      <c r="D630" s="11"/>
      <c r="E630" s="11"/>
      <c r="F630" s="11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3"/>
      <c r="T630" s="13"/>
      <c r="U630" s="13"/>
      <c r="V630" s="13"/>
      <c r="W630" s="13"/>
      <c r="X630" s="13"/>
      <c r="Y630" s="13"/>
      <c r="Z630" s="13"/>
      <c r="AA630" s="13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3"/>
      <c r="AO630" s="13"/>
      <c r="AP630" s="13"/>
      <c r="AQ630" s="13"/>
      <c r="AR630" s="13"/>
      <c r="AS630" s="13"/>
      <c r="AT630" s="13"/>
      <c r="AU630" s="13"/>
      <c r="AV630" s="13"/>
      <c r="AW630" s="14"/>
      <c r="AX630" s="14"/>
      <c r="AY630" s="14"/>
      <c r="AZ630" s="14"/>
      <c r="BA630" s="14"/>
    </row>
    <row r="631">
      <c r="A631" s="11"/>
      <c r="B631" s="11"/>
      <c r="C631" s="11"/>
      <c r="D631" s="11"/>
      <c r="E631" s="11"/>
      <c r="F631" s="11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3"/>
      <c r="T631" s="13"/>
      <c r="U631" s="13"/>
      <c r="V631" s="13"/>
      <c r="W631" s="13"/>
      <c r="X631" s="13"/>
      <c r="Y631" s="13"/>
      <c r="Z631" s="13"/>
      <c r="AA631" s="13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3"/>
      <c r="AO631" s="13"/>
      <c r="AP631" s="13"/>
      <c r="AQ631" s="13"/>
      <c r="AR631" s="13"/>
      <c r="AS631" s="13"/>
      <c r="AT631" s="13"/>
      <c r="AU631" s="13"/>
      <c r="AV631" s="13"/>
      <c r="AW631" s="14"/>
      <c r="AX631" s="14"/>
      <c r="AY631" s="14"/>
      <c r="AZ631" s="14"/>
      <c r="BA631" s="14"/>
    </row>
    <row r="632">
      <c r="A632" s="11"/>
      <c r="B632" s="11"/>
      <c r="C632" s="11"/>
      <c r="D632" s="11"/>
      <c r="E632" s="11"/>
      <c r="F632" s="11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3"/>
      <c r="T632" s="13"/>
      <c r="U632" s="13"/>
      <c r="V632" s="13"/>
      <c r="W632" s="13"/>
      <c r="X632" s="13"/>
      <c r="Y632" s="13"/>
      <c r="Z632" s="13"/>
      <c r="AA632" s="13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3"/>
      <c r="AO632" s="13"/>
      <c r="AP632" s="13"/>
      <c r="AQ632" s="13"/>
      <c r="AR632" s="13"/>
      <c r="AS632" s="13"/>
      <c r="AT632" s="13"/>
      <c r="AU632" s="13"/>
      <c r="AV632" s="13"/>
      <c r="AW632" s="14"/>
      <c r="AX632" s="14"/>
      <c r="AY632" s="14"/>
      <c r="AZ632" s="14"/>
      <c r="BA632" s="14"/>
    </row>
    <row r="633">
      <c r="A633" s="11"/>
      <c r="B633" s="11"/>
      <c r="C633" s="11"/>
      <c r="D633" s="11"/>
      <c r="E633" s="11"/>
      <c r="F633" s="11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3"/>
      <c r="T633" s="13"/>
      <c r="U633" s="13"/>
      <c r="V633" s="13"/>
      <c r="W633" s="13"/>
      <c r="X633" s="13"/>
      <c r="Y633" s="13"/>
      <c r="Z633" s="13"/>
      <c r="AA633" s="13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3"/>
      <c r="AO633" s="13"/>
      <c r="AP633" s="13"/>
      <c r="AQ633" s="13"/>
      <c r="AR633" s="13"/>
      <c r="AS633" s="13"/>
      <c r="AT633" s="13"/>
      <c r="AU633" s="13"/>
      <c r="AV633" s="13"/>
      <c r="AW633" s="14"/>
      <c r="AX633" s="14"/>
      <c r="AY633" s="14"/>
      <c r="AZ633" s="14"/>
      <c r="BA633" s="14"/>
    </row>
    <row r="634">
      <c r="A634" s="11"/>
      <c r="B634" s="11"/>
      <c r="C634" s="11"/>
      <c r="D634" s="11"/>
      <c r="E634" s="11"/>
      <c r="F634" s="11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3"/>
      <c r="T634" s="13"/>
      <c r="U634" s="13"/>
      <c r="V634" s="13"/>
      <c r="W634" s="13"/>
      <c r="X634" s="13"/>
      <c r="Y634" s="13"/>
      <c r="Z634" s="13"/>
      <c r="AA634" s="13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3"/>
      <c r="AO634" s="13"/>
      <c r="AP634" s="13"/>
      <c r="AQ634" s="13"/>
      <c r="AR634" s="13"/>
      <c r="AS634" s="13"/>
      <c r="AT634" s="13"/>
      <c r="AU634" s="13"/>
      <c r="AV634" s="13"/>
      <c r="AW634" s="14"/>
      <c r="AX634" s="14"/>
      <c r="AY634" s="14"/>
      <c r="AZ634" s="14"/>
      <c r="BA634" s="14"/>
    </row>
    <row r="635">
      <c r="A635" s="11"/>
      <c r="B635" s="11"/>
      <c r="C635" s="11"/>
      <c r="D635" s="11"/>
      <c r="E635" s="11"/>
      <c r="F635" s="11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3"/>
      <c r="T635" s="13"/>
      <c r="U635" s="13"/>
      <c r="V635" s="13"/>
      <c r="W635" s="13"/>
      <c r="X635" s="13"/>
      <c r="Y635" s="13"/>
      <c r="Z635" s="13"/>
      <c r="AA635" s="13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3"/>
      <c r="AO635" s="13"/>
      <c r="AP635" s="13"/>
      <c r="AQ635" s="13"/>
      <c r="AR635" s="13"/>
      <c r="AS635" s="13"/>
      <c r="AT635" s="13"/>
      <c r="AU635" s="13"/>
      <c r="AV635" s="13"/>
      <c r="AW635" s="14"/>
      <c r="AX635" s="14"/>
      <c r="AY635" s="14"/>
      <c r="AZ635" s="14"/>
      <c r="BA635" s="14"/>
    </row>
    <row r="636">
      <c r="A636" s="11"/>
      <c r="B636" s="11"/>
      <c r="C636" s="11"/>
      <c r="D636" s="11"/>
      <c r="E636" s="11"/>
      <c r="F636" s="11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3"/>
      <c r="T636" s="13"/>
      <c r="U636" s="13"/>
      <c r="V636" s="13"/>
      <c r="W636" s="13"/>
      <c r="X636" s="13"/>
      <c r="Y636" s="13"/>
      <c r="Z636" s="13"/>
      <c r="AA636" s="13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3"/>
      <c r="AO636" s="13"/>
      <c r="AP636" s="13"/>
      <c r="AQ636" s="13"/>
      <c r="AR636" s="13"/>
      <c r="AS636" s="13"/>
      <c r="AT636" s="13"/>
      <c r="AU636" s="13"/>
      <c r="AV636" s="13"/>
      <c r="AW636" s="14"/>
      <c r="AX636" s="14"/>
      <c r="AY636" s="14"/>
      <c r="AZ636" s="14"/>
      <c r="BA636" s="14"/>
    </row>
    <row r="637">
      <c r="A637" s="11"/>
      <c r="B637" s="11"/>
      <c r="C637" s="11"/>
      <c r="D637" s="11"/>
      <c r="E637" s="11"/>
      <c r="F637" s="11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3"/>
      <c r="T637" s="13"/>
      <c r="U637" s="13"/>
      <c r="V637" s="13"/>
      <c r="W637" s="13"/>
      <c r="X637" s="13"/>
      <c r="Y637" s="13"/>
      <c r="Z637" s="13"/>
      <c r="AA637" s="13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3"/>
      <c r="AO637" s="13"/>
      <c r="AP637" s="13"/>
      <c r="AQ637" s="13"/>
      <c r="AR637" s="13"/>
      <c r="AS637" s="13"/>
      <c r="AT637" s="13"/>
      <c r="AU637" s="13"/>
      <c r="AV637" s="13"/>
      <c r="AW637" s="14"/>
      <c r="AX637" s="14"/>
      <c r="AY637" s="14"/>
      <c r="AZ637" s="14"/>
      <c r="BA637" s="14"/>
    </row>
    <row r="638">
      <c r="A638" s="11"/>
      <c r="B638" s="11"/>
      <c r="C638" s="11"/>
      <c r="D638" s="11"/>
      <c r="E638" s="11"/>
      <c r="F638" s="11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3"/>
      <c r="T638" s="13"/>
      <c r="U638" s="13"/>
      <c r="V638" s="13"/>
      <c r="W638" s="13"/>
      <c r="X638" s="13"/>
      <c r="Y638" s="13"/>
      <c r="Z638" s="13"/>
      <c r="AA638" s="13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3"/>
      <c r="AO638" s="13"/>
      <c r="AP638" s="13"/>
      <c r="AQ638" s="13"/>
      <c r="AR638" s="13"/>
      <c r="AS638" s="13"/>
      <c r="AT638" s="13"/>
      <c r="AU638" s="13"/>
      <c r="AV638" s="13"/>
      <c r="AW638" s="14"/>
      <c r="AX638" s="14"/>
      <c r="AY638" s="14"/>
      <c r="AZ638" s="14"/>
      <c r="BA638" s="14"/>
    </row>
    <row r="639">
      <c r="A639" s="11"/>
      <c r="B639" s="11"/>
      <c r="C639" s="11"/>
      <c r="D639" s="11"/>
      <c r="E639" s="11"/>
      <c r="F639" s="11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3"/>
      <c r="T639" s="13"/>
      <c r="U639" s="13"/>
      <c r="V639" s="13"/>
      <c r="W639" s="13"/>
      <c r="X639" s="13"/>
      <c r="Y639" s="13"/>
      <c r="Z639" s="13"/>
      <c r="AA639" s="13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3"/>
      <c r="AO639" s="13"/>
      <c r="AP639" s="13"/>
      <c r="AQ639" s="13"/>
      <c r="AR639" s="13"/>
      <c r="AS639" s="13"/>
      <c r="AT639" s="13"/>
      <c r="AU639" s="13"/>
      <c r="AV639" s="13"/>
      <c r="AW639" s="14"/>
      <c r="AX639" s="14"/>
      <c r="AY639" s="14"/>
      <c r="AZ639" s="14"/>
      <c r="BA639" s="14"/>
    </row>
    <row r="640">
      <c r="A640" s="11"/>
      <c r="B640" s="11"/>
      <c r="C640" s="11"/>
      <c r="D640" s="11"/>
      <c r="E640" s="11"/>
      <c r="F640" s="11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3"/>
      <c r="T640" s="13"/>
      <c r="U640" s="13"/>
      <c r="V640" s="13"/>
      <c r="W640" s="13"/>
      <c r="X640" s="13"/>
      <c r="Y640" s="13"/>
      <c r="Z640" s="13"/>
      <c r="AA640" s="13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3"/>
      <c r="AO640" s="13"/>
      <c r="AP640" s="13"/>
      <c r="AQ640" s="13"/>
      <c r="AR640" s="13"/>
      <c r="AS640" s="13"/>
      <c r="AT640" s="13"/>
      <c r="AU640" s="13"/>
      <c r="AV640" s="13"/>
      <c r="AW640" s="14"/>
      <c r="AX640" s="14"/>
      <c r="AY640" s="14"/>
      <c r="AZ640" s="14"/>
      <c r="BA640" s="14"/>
    </row>
    <row r="641">
      <c r="A641" s="11"/>
      <c r="B641" s="11"/>
      <c r="C641" s="11"/>
      <c r="D641" s="11"/>
      <c r="E641" s="11"/>
      <c r="F641" s="11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3"/>
      <c r="T641" s="13"/>
      <c r="U641" s="13"/>
      <c r="V641" s="13"/>
      <c r="W641" s="13"/>
      <c r="X641" s="13"/>
      <c r="Y641" s="13"/>
      <c r="Z641" s="13"/>
      <c r="AA641" s="13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3"/>
      <c r="AO641" s="13"/>
      <c r="AP641" s="13"/>
      <c r="AQ641" s="13"/>
      <c r="AR641" s="13"/>
      <c r="AS641" s="13"/>
      <c r="AT641" s="13"/>
      <c r="AU641" s="13"/>
      <c r="AV641" s="13"/>
      <c r="AW641" s="14"/>
      <c r="AX641" s="14"/>
      <c r="AY641" s="14"/>
      <c r="AZ641" s="14"/>
      <c r="BA641" s="14"/>
    </row>
    <row r="642">
      <c r="A642" s="11"/>
      <c r="B642" s="11"/>
      <c r="C642" s="11"/>
      <c r="D642" s="11"/>
      <c r="E642" s="11"/>
      <c r="F642" s="11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3"/>
      <c r="T642" s="13"/>
      <c r="U642" s="13"/>
      <c r="V642" s="13"/>
      <c r="W642" s="13"/>
      <c r="X642" s="13"/>
      <c r="Y642" s="13"/>
      <c r="Z642" s="13"/>
      <c r="AA642" s="13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3"/>
      <c r="AO642" s="13"/>
      <c r="AP642" s="13"/>
      <c r="AQ642" s="13"/>
      <c r="AR642" s="13"/>
      <c r="AS642" s="13"/>
      <c r="AT642" s="13"/>
      <c r="AU642" s="13"/>
      <c r="AV642" s="13"/>
      <c r="AW642" s="14"/>
      <c r="AX642" s="14"/>
      <c r="AY642" s="14"/>
      <c r="AZ642" s="14"/>
      <c r="BA642" s="14"/>
    </row>
    <row r="643">
      <c r="A643" s="11"/>
      <c r="B643" s="11"/>
      <c r="C643" s="11"/>
      <c r="D643" s="11"/>
      <c r="E643" s="11"/>
      <c r="F643" s="11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3"/>
      <c r="T643" s="13"/>
      <c r="U643" s="13"/>
      <c r="V643" s="13"/>
      <c r="W643" s="13"/>
      <c r="X643" s="13"/>
      <c r="Y643" s="13"/>
      <c r="Z643" s="13"/>
      <c r="AA643" s="13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3"/>
      <c r="AO643" s="13"/>
      <c r="AP643" s="13"/>
      <c r="AQ643" s="13"/>
      <c r="AR643" s="13"/>
      <c r="AS643" s="13"/>
      <c r="AT643" s="13"/>
      <c r="AU643" s="13"/>
      <c r="AV643" s="13"/>
      <c r="AW643" s="14"/>
      <c r="AX643" s="14"/>
      <c r="AY643" s="14"/>
      <c r="AZ643" s="14"/>
      <c r="BA643" s="14"/>
    </row>
    <row r="644">
      <c r="A644" s="11"/>
      <c r="B644" s="11"/>
      <c r="C644" s="11"/>
      <c r="D644" s="11"/>
      <c r="E644" s="11"/>
      <c r="F644" s="11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3"/>
      <c r="T644" s="13"/>
      <c r="U644" s="13"/>
      <c r="V644" s="13"/>
      <c r="W644" s="13"/>
      <c r="X644" s="13"/>
      <c r="Y644" s="13"/>
      <c r="Z644" s="13"/>
      <c r="AA644" s="13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3"/>
      <c r="AO644" s="13"/>
      <c r="AP644" s="13"/>
      <c r="AQ644" s="13"/>
      <c r="AR644" s="13"/>
      <c r="AS644" s="13"/>
      <c r="AT644" s="13"/>
      <c r="AU644" s="13"/>
      <c r="AV644" s="13"/>
      <c r="AW644" s="14"/>
      <c r="AX644" s="14"/>
      <c r="AY644" s="14"/>
      <c r="AZ644" s="14"/>
      <c r="BA644" s="14"/>
    </row>
    <row r="645">
      <c r="A645" s="11"/>
      <c r="B645" s="11"/>
      <c r="C645" s="11"/>
      <c r="D645" s="11"/>
      <c r="E645" s="11"/>
      <c r="F645" s="11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3"/>
      <c r="T645" s="13"/>
      <c r="U645" s="13"/>
      <c r="V645" s="13"/>
      <c r="W645" s="13"/>
      <c r="X645" s="13"/>
      <c r="Y645" s="13"/>
      <c r="Z645" s="13"/>
      <c r="AA645" s="13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3"/>
      <c r="AO645" s="13"/>
      <c r="AP645" s="13"/>
      <c r="AQ645" s="13"/>
      <c r="AR645" s="13"/>
      <c r="AS645" s="13"/>
      <c r="AT645" s="13"/>
      <c r="AU645" s="13"/>
      <c r="AV645" s="13"/>
      <c r="AW645" s="14"/>
      <c r="AX645" s="14"/>
      <c r="AY645" s="14"/>
      <c r="AZ645" s="14"/>
      <c r="BA645" s="14"/>
    </row>
    <row r="646">
      <c r="A646" s="11"/>
      <c r="B646" s="11"/>
      <c r="C646" s="11"/>
      <c r="D646" s="11"/>
      <c r="E646" s="11"/>
      <c r="F646" s="11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3"/>
      <c r="T646" s="13"/>
      <c r="U646" s="13"/>
      <c r="V646" s="13"/>
      <c r="W646" s="13"/>
      <c r="X646" s="13"/>
      <c r="Y646" s="13"/>
      <c r="Z646" s="13"/>
      <c r="AA646" s="13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3"/>
      <c r="AO646" s="13"/>
      <c r="AP646" s="13"/>
      <c r="AQ646" s="13"/>
      <c r="AR646" s="13"/>
      <c r="AS646" s="13"/>
      <c r="AT646" s="13"/>
      <c r="AU646" s="13"/>
      <c r="AV646" s="13"/>
      <c r="AW646" s="14"/>
      <c r="AX646" s="14"/>
      <c r="AY646" s="14"/>
      <c r="AZ646" s="14"/>
      <c r="BA646" s="14"/>
    </row>
    <row r="647">
      <c r="A647" s="11"/>
      <c r="B647" s="11"/>
      <c r="C647" s="11"/>
      <c r="D647" s="11"/>
      <c r="E647" s="11"/>
      <c r="F647" s="11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3"/>
      <c r="T647" s="13"/>
      <c r="U647" s="13"/>
      <c r="V647" s="13"/>
      <c r="W647" s="13"/>
      <c r="X647" s="13"/>
      <c r="Y647" s="13"/>
      <c r="Z647" s="13"/>
      <c r="AA647" s="13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3"/>
      <c r="AO647" s="13"/>
      <c r="AP647" s="13"/>
      <c r="AQ647" s="13"/>
      <c r="AR647" s="13"/>
      <c r="AS647" s="13"/>
      <c r="AT647" s="13"/>
      <c r="AU647" s="13"/>
      <c r="AV647" s="13"/>
      <c r="AW647" s="14"/>
      <c r="AX647" s="14"/>
      <c r="AY647" s="14"/>
      <c r="AZ647" s="14"/>
      <c r="BA647" s="14"/>
    </row>
    <row r="648">
      <c r="A648" s="11"/>
      <c r="B648" s="11"/>
      <c r="C648" s="11"/>
      <c r="D648" s="11"/>
      <c r="E648" s="11"/>
      <c r="F648" s="11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3"/>
      <c r="T648" s="13"/>
      <c r="U648" s="13"/>
      <c r="V648" s="13"/>
      <c r="W648" s="13"/>
      <c r="X648" s="13"/>
      <c r="Y648" s="13"/>
      <c r="Z648" s="13"/>
      <c r="AA648" s="13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3"/>
      <c r="AO648" s="13"/>
      <c r="AP648" s="13"/>
      <c r="AQ648" s="13"/>
      <c r="AR648" s="13"/>
      <c r="AS648" s="13"/>
      <c r="AT648" s="13"/>
      <c r="AU648" s="13"/>
      <c r="AV648" s="13"/>
      <c r="AW648" s="14"/>
      <c r="AX648" s="14"/>
      <c r="AY648" s="14"/>
      <c r="AZ648" s="14"/>
      <c r="BA648" s="14"/>
    </row>
    <row r="649">
      <c r="A649" s="11"/>
      <c r="B649" s="11"/>
      <c r="C649" s="11"/>
      <c r="D649" s="11"/>
      <c r="E649" s="11"/>
      <c r="F649" s="11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3"/>
      <c r="T649" s="13"/>
      <c r="U649" s="13"/>
      <c r="V649" s="13"/>
      <c r="W649" s="13"/>
      <c r="X649" s="13"/>
      <c r="Y649" s="13"/>
      <c r="Z649" s="13"/>
      <c r="AA649" s="13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3"/>
      <c r="AO649" s="13"/>
      <c r="AP649" s="13"/>
      <c r="AQ649" s="13"/>
      <c r="AR649" s="13"/>
      <c r="AS649" s="13"/>
      <c r="AT649" s="13"/>
      <c r="AU649" s="13"/>
      <c r="AV649" s="13"/>
      <c r="AW649" s="14"/>
      <c r="AX649" s="14"/>
      <c r="AY649" s="14"/>
      <c r="AZ649" s="14"/>
      <c r="BA649" s="14"/>
    </row>
    <row r="650">
      <c r="A650" s="11"/>
      <c r="B650" s="11"/>
      <c r="C650" s="11"/>
      <c r="D650" s="11"/>
      <c r="E650" s="11"/>
      <c r="F650" s="11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3"/>
      <c r="T650" s="13"/>
      <c r="U650" s="13"/>
      <c r="V650" s="13"/>
      <c r="W650" s="13"/>
      <c r="X650" s="13"/>
      <c r="Y650" s="13"/>
      <c r="Z650" s="13"/>
      <c r="AA650" s="13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3"/>
      <c r="AO650" s="13"/>
      <c r="AP650" s="13"/>
      <c r="AQ650" s="13"/>
      <c r="AR650" s="13"/>
      <c r="AS650" s="13"/>
      <c r="AT650" s="13"/>
      <c r="AU650" s="13"/>
      <c r="AV650" s="13"/>
      <c r="AW650" s="14"/>
      <c r="AX650" s="14"/>
      <c r="AY650" s="14"/>
      <c r="AZ650" s="14"/>
      <c r="BA650" s="14"/>
    </row>
    <row r="651">
      <c r="A651" s="11"/>
      <c r="B651" s="11"/>
      <c r="C651" s="11"/>
      <c r="D651" s="11"/>
      <c r="E651" s="11"/>
      <c r="F651" s="11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3"/>
      <c r="T651" s="13"/>
      <c r="U651" s="13"/>
      <c r="V651" s="13"/>
      <c r="W651" s="13"/>
      <c r="X651" s="13"/>
      <c r="Y651" s="13"/>
      <c r="Z651" s="13"/>
      <c r="AA651" s="13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3"/>
      <c r="AO651" s="13"/>
      <c r="AP651" s="13"/>
      <c r="AQ651" s="13"/>
      <c r="AR651" s="13"/>
      <c r="AS651" s="13"/>
      <c r="AT651" s="13"/>
      <c r="AU651" s="13"/>
      <c r="AV651" s="13"/>
      <c r="AW651" s="14"/>
      <c r="AX651" s="14"/>
      <c r="AY651" s="14"/>
      <c r="AZ651" s="14"/>
      <c r="BA651" s="14"/>
    </row>
    <row r="652">
      <c r="A652" s="11"/>
      <c r="B652" s="11"/>
      <c r="C652" s="11"/>
      <c r="D652" s="11"/>
      <c r="E652" s="11"/>
      <c r="F652" s="11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3"/>
      <c r="T652" s="13"/>
      <c r="U652" s="13"/>
      <c r="V652" s="13"/>
      <c r="W652" s="13"/>
      <c r="X652" s="13"/>
      <c r="Y652" s="13"/>
      <c r="Z652" s="13"/>
      <c r="AA652" s="13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3"/>
      <c r="AO652" s="13"/>
      <c r="AP652" s="13"/>
      <c r="AQ652" s="13"/>
      <c r="AR652" s="13"/>
      <c r="AS652" s="13"/>
      <c r="AT652" s="13"/>
      <c r="AU652" s="13"/>
      <c r="AV652" s="13"/>
      <c r="AW652" s="14"/>
      <c r="AX652" s="14"/>
      <c r="AY652" s="14"/>
      <c r="AZ652" s="14"/>
      <c r="BA652" s="14"/>
    </row>
    <row r="653">
      <c r="A653" s="11"/>
      <c r="B653" s="11"/>
      <c r="C653" s="11"/>
      <c r="D653" s="11"/>
      <c r="E653" s="11"/>
      <c r="F653" s="11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3"/>
      <c r="T653" s="13"/>
      <c r="U653" s="13"/>
      <c r="V653" s="13"/>
      <c r="W653" s="13"/>
      <c r="X653" s="13"/>
      <c r="Y653" s="13"/>
      <c r="Z653" s="13"/>
      <c r="AA653" s="13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3"/>
      <c r="AO653" s="13"/>
      <c r="AP653" s="13"/>
      <c r="AQ653" s="13"/>
      <c r="AR653" s="13"/>
      <c r="AS653" s="13"/>
      <c r="AT653" s="13"/>
      <c r="AU653" s="13"/>
      <c r="AV653" s="13"/>
      <c r="AW653" s="14"/>
      <c r="AX653" s="14"/>
      <c r="AY653" s="14"/>
      <c r="AZ653" s="14"/>
      <c r="BA653" s="14"/>
    </row>
    <row r="654">
      <c r="A654" s="11"/>
      <c r="B654" s="11"/>
      <c r="C654" s="11"/>
      <c r="D654" s="11"/>
      <c r="E654" s="11"/>
      <c r="F654" s="11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3"/>
      <c r="T654" s="13"/>
      <c r="U654" s="13"/>
      <c r="V654" s="13"/>
      <c r="W654" s="13"/>
      <c r="X654" s="13"/>
      <c r="Y654" s="13"/>
      <c r="Z654" s="13"/>
      <c r="AA654" s="13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3"/>
      <c r="AO654" s="13"/>
      <c r="AP654" s="13"/>
      <c r="AQ654" s="13"/>
      <c r="AR654" s="13"/>
      <c r="AS654" s="13"/>
      <c r="AT654" s="13"/>
      <c r="AU654" s="13"/>
      <c r="AV654" s="13"/>
      <c r="AW654" s="14"/>
      <c r="AX654" s="14"/>
      <c r="AY654" s="14"/>
      <c r="AZ654" s="14"/>
      <c r="BA654" s="14"/>
    </row>
    <row r="655">
      <c r="A655" s="11"/>
      <c r="B655" s="11"/>
      <c r="C655" s="11"/>
      <c r="D655" s="11"/>
      <c r="E655" s="11"/>
      <c r="F655" s="11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3"/>
      <c r="T655" s="13"/>
      <c r="U655" s="13"/>
      <c r="V655" s="13"/>
      <c r="W655" s="13"/>
      <c r="X655" s="13"/>
      <c r="Y655" s="13"/>
      <c r="Z655" s="13"/>
      <c r="AA655" s="13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3"/>
      <c r="AO655" s="13"/>
      <c r="AP655" s="13"/>
      <c r="AQ655" s="13"/>
      <c r="AR655" s="13"/>
      <c r="AS655" s="13"/>
      <c r="AT655" s="13"/>
      <c r="AU655" s="13"/>
      <c r="AV655" s="13"/>
      <c r="AW655" s="14"/>
      <c r="AX655" s="14"/>
      <c r="AY655" s="14"/>
      <c r="AZ655" s="14"/>
      <c r="BA655" s="14"/>
    </row>
    <row r="656">
      <c r="A656" s="11"/>
      <c r="B656" s="11"/>
      <c r="C656" s="11"/>
      <c r="D656" s="11"/>
      <c r="E656" s="11"/>
      <c r="F656" s="11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3"/>
      <c r="T656" s="13"/>
      <c r="U656" s="13"/>
      <c r="V656" s="13"/>
      <c r="W656" s="13"/>
      <c r="X656" s="13"/>
      <c r="Y656" s="13"/>
      <c r="Z656" s="13"/>
      <c r="AA656" s="13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3"/>
      <c r="AO656" s="13"/>
      <c r="AP656" s="13"/>
      <c r="AQ656" s="13"/>
      <c r="AR656" s="13"/>
      <c r="AS656" s="13"/>
      <c r="AT656" s="13"/>
      <c r="AU656" s="13"/>
      <c r="AV656" s="13"/>
      <c r="AW656" s="14"/>
      <c r="AX656" s="14"/>
      <c r="AY656" s="14"/>
      <c r="AZ656" s="14"/>
      <c r="BA656" s="14"/>
    </row>
    <row r="657">
      <c r="A657" s="11"/>
      <c r="B657" s="11"/>
      <c r="C657" s="11"/>
      <c r="D657" s="11"/>
      <c r="E657" s="11"/>
      <c r="F657" s="11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3"/>
      <c r="T657" s="13"/>
      <c r="U657" s="13"/>
      <c r="V657" s="13"/>
      <c r="W657" s="13"/>
      <c r="X657" s="13"/>
      <c r="Y657" s="13"/>
      <c r="Z657" s="13"/>
      <c r="AA657" s="13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3"/>
      <c r="AO657" s="13"/>
      <c r="AP657" s="13"/>
      <c r="AQ657" s="13"/>
      <c r="AR657" s="13"/>
      <c r="AS657" s="13"/>
      <c r="AT657" s="13"/>
      <c r="AU657" s="13"/>
      <c r="AV657" s="13"/>
      <c r="AW657" s="14"/>
      <c r="AX657" s="14"/>
      <c r="AY657" s="14"/>
      <c r="AZ657" s="14"/>
      <c r="BA657" s="14"/>
    </row>
    <row r="658">
      <c r="A658" s="11"/>
      <c r="B658" s="11"/>
      <c r="C658" s="11"/>
      <c r="D658" s="11"/>
      <c r="E658" s="11"/>
      <c r="F658" s="11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3"/>
      <c r="T658" s="13"/>
      <c r="U658" s="13"/>
      <c r="V658" s="13"/>
      <c r="W658" s="13"/>
      <c r="X658" s="13"/>
      <c r="Y658" s="13"/>
      <c r="Z658" s="13"/>
      <c r="AA658" s="13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3"/>
      <c r="AO658" s="13"/>
      <c r="AP658" s="13"/>
      <c r="AQ658" s="13"/>
      <c r="AR658" s="13"/>
      <c r="AS658" s="13"/>
      <c r="AT658" s="13"/>
      <c r="AU658" s="13"/>
      <c r="AV658" s="13"/>
      <c r="AW658" s="14"/>
      <c r="AX658" s="14"/>
      <c r="AY658" s="14"/>
      <c r="AZ658" s="14"/>
      <c r="BA658" s="14"/>
    </row>
    <row r="659">
      <c r="A659" s="11"/>
      <c r="B659" s="11"/>
      <c r="C659" s="11"/>
      <c r="D659" s="11"/>
      <c r="E659" s="11"/>
      <c r="F659" s="11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3"/>
      <c r="T659" s="13"/>
      <c r="U659" s="13"/>
      <c r="V659" s="13"/>
      <c r="W659" s="13"/>
      <c r="X659" s="13"/>
      <c r="Y659" s="13"/>
      <c r="Z659" s="13"/>
      <c r="AA659" s="13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3"/>
      <c r="AO659" s="13"/>
      <c r="AP659" s="13"/>
      <c r="AQ659" s="13"/>
      <c r="AR659" s="13"/>
      <c r="AS659" s="13"/>
      <c r="AT659" s="13"/>
      <c r="AU659" s="13"/>
      <c r="AV659" s="13"/>
      <c r="AW659" s="14"/>
      <c r="AX659" s="14"/>
      <c r="AY659" s="14"/>
      <c r="AZ659" s="14"/>
      <c r="BA659" s="14"/>
    </row>
    <row r="660">
      <c r="A660" s="11"/>
      <c r="B660" s="11"/>
      <c r="C660" s="11"/>
      <c r="D660" s="11"/>
      <c r="E660" s="11"/>
      <c r="F660" s="11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3"/>
      <c r="T660" s="13"/>
      <c r="U660" s="13"/>
      <c r="V660" s="13"/>
      <c r="W660" s="13"/>
      <c r="X660" s="13"/>
      <c r="Y660" s="13"/>
      <c r="Z660" s="13"/>
      <c r="AA660" s="13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3"/>
      <c r="AO660" s="13"/>
      <c r="AP660" s="13"/>
      <c r="AQ660" s="13"/>
      <c r="AR660" s="13"/>
      <c r="AS660" s="13"/>
      <c r="AT660" s="13"/>
      <c r="AU660" s="13"/>
      <c r="AV660" s="13"/>
      <c r="AW660" s="14"/>
      <c r="AX660" s="14"/>
      <c r="AY660" s="14"/>
      <c r="AZ660" s="14"/>
      <c r="BA660" s="14"/>
    </row>
    <row r="661">
      <c r="A661" s="11"/>
      <c r="B661" s="11"/>
      <c r="C661" s="11"/>
      <c r="D661" s="11"/>
      <c r="E661" s="11"/>
      <c r="F661" s="11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3"/>
      <c r="T661" s="13"/>
      <c r="U661" s="13"/>
      <c r="V661" s="13"/>
      <c r="W661" s="13"/>
      <c r="X661" s="13"/>
      <c r="Y661" s="13"/>
      <c r="Z661" s="13"/>
      <c r="AA661" s="13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3"/>
      <c r="AO661" s="13"/>
      <c r="AP661" s="13"/>
      <c r="AQ661" s="13"/>
      <c r="AR661" s="13"/>
      <c r="AS661" s="13"/>
      <c r="AT661" s="13"/>
      <c r="AU661" s="13"/>
      <c r="AV661" s="13"/>
      <c r="AW661" s="14"/>
      <c r="AX661" s="14"/>
      <c r="AY661" s="14"/>
      <c r="AZ661" s="14"/>
      <c r="BA661" s="14"/>
    </row>
    <row r="662">
      <c r="A662" s="11"/>
      <c r="B662" s="11"/>
      <c r="C662" s="11"/>
      <c r="D662" s="11"/>
      <c r="E662" s="11"/>
      <c r="F662" s="11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3"/>
      <c r="T662" s="13"/>
      <c r="U662" s="13"/>
      <c r="V662" s="13"/>
      <c r="W662" s="13"/>
      <c r="X662" s="13"/>
      <c r="Y662" s="13"/>
      <c r="Z662" s="13"/>
      <c r="AA662" s="13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3"/>
      <c r="AO662" s="13"/>
      <c r="AP662" s="13"/>
      <c r="AQ662" s="13"/>
      <c r="AR662" s="13"/>
      <c r="AS662" s="13"/>
      <c r="AT662" s="13"/>
      <c r="AU662" s="13"/>
      <c r="AV662" s="13"/>
      <c r="AW662" s="14"/>
      <c r="AX662" s="14"/>
      <c r="AY662" s="14"/>
      <c r="AZ662" s="14"/>
      <c r="BA662" s="14"/>
    </row>
    <row r="663">
      <c r="A663" s="11"/>
      <c r="B663" s="11"/>
      <c r="C663" s="11"/>
      <c r="D663" s="11"/>
      <c r="E663" s="11"/>
      <c r="F663" s="11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3"/>
      <c r="T663" s="13"/>
      <c r="U663" s="13"/>
      <c r="V663" s="13"/>
      <c r="W663" s="13"/>
      <c r="X663" s="13"/>
      <c r="Y663" s="13"/>
      <c r="Z663" s="13"/>
      <c r="AA663" s="13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3"/>
      <c r="AO663" s="13"/>
      <c r="AP663" s="13"/>
      <c r="AQ663" s="13"/>
      <c r="AR663" s="13"/>
      <c r="AS663" s="13"/>
      <c r="AT663" s="13"/>
      <c r="AU663" s="13"/>
      <c r="AV663" s="13"/>
      <c r="AW663" s="14"/>
      <c r="AX663" s="14"/>
      <c r="AY663" s="14"/>
      <c r="AZ663" s="14"/>
      <c r="BA663" s="14"/>
    </row>
    <row r="664">
      <c r="A664" s="11"/>
      <c r="B664" s="11"/>
      <c r="C664" s="11"/>
      <c r="D664" s="11"/>
      <c r="E664" s="11"/>
      <c r="F664" s="11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3"/>
      <c r="T664" s="13"/>
      <c r="U664" s="13"/>
      <c r="V664" s="13"/>
      <c r="W664" s="13"/>
      <c r="X664" s="13"/>
      <c r="Y664" s="13"/>
      <c r="Z664" s="13"/>
      <c r="AA664" s="13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3"/>
      <c r="AO664" s="13"/>
      <c r="AP664" s="13"/>
      <c r="AQ664" s="13"/>
      <c r="AR664" s="13"/>
      <c r="AS664" s="13"/>
      <c r="AT664" s="13"/>
      <c r="AU664" s="13"/>
      <c r="AV664" s="13"/>
      <c r="AW664" s="14"/>
      <c r="AX664" s="14"/>
      <c r="AY664" s="14"/>
      <c r="AZ664" s="14"/>
      <c r="BA664" s="14"/>
    </row>
    <row r="665">
      <c r="A665" s="11"/>
      <c r="B665" s="11"/>
      <c r="C665" s="11"/>
      <c r="D665" s="11"/>
      <c r="E665" s="11"/>
      <c r="F665" s="11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3"/>
      <c r="T665" s="13"/>
      <c r="U665" s="13"/>
      <c r="V665" s="13"/>
      <c r="W665" s="13"/>
      <c r="X665" s="13"/>
      <c r="Y665" s="13"/>
      <c r="Z665" s="13"/>
      <c r="AA665" s="13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3"/>
      <c r="AO665" s="13"/>
      <c r="AP665" s="13"/>
      <c r="AQ665" s="13"/>
      <c r="AR665" s="13"/>
      <c r="AS665" s="13"/>
      <c r="AT665" s="13"/>
      <c r="AU665" s="13"/>
      <c r="AV665" s="13"/>
      <c r="AW665" s="14"/>
      <c r="AX665" s="14"/>
      <c r="AY665" s="14"/>
      <c r="AZ665" s="14"/>
      <c r="BA665" s="14"/>
    </row>
    <row r="666">
      <c r="A666" s="11"/>
      <c r="B666" s="11"/>
      <c r="C666" s="11"/>
      <c r="D666" s="11"/>
      <c r="E666" s="11"/>
      <c r="F666" s="11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3"/>
      <c r="T666" s="13"/>
      <c r="U666" s="13"/>
      <c r="V666" s="13"/>
      <c r="W666" s="13"/>
      <c r="X666" s="13"/>
      <c r="Y666" s="13"/>
      <c r="Z666" s="13"/>
      <c r="AA666" s="13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3"/>
      <c r="AO666" s="13"/>
      <c r="AP666" s="13"/>
      <c r="AQ666" s="13"/>
      <c r="AR666" s="13"/>
      <c r="AS666" s="13"/>
      <c r="AT666" s="13"/>
      <c r="AU666" s="13"/>
      <c r="AV666" s="13"/>
      <c r="AW666" s="14"/>
      <c r="AX666" s="14"/>
      <c r="AY666" s="14"/>
      <c r="AZ666" s="14"/>
      <c r="BA666" s="14"/>
    </row>
    <row r="667">
      <c r="A667" s="11"/>
      <c r="B667" s="11"/>
      <c r="C667" s="11"/>
      <c r="D667" s="11"/>
      <c r="E667" s="11"/>
      <c r="F667" s="11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3"/>
      <c r="T667" s="13"/>
      <c r="U667" s="13"/>
      <c r="V667" s="13"/>
      <c r="W667" s="13"/>
      <c r="X667" s="13"/>
      <c r="Y667" s="13"/>
      <c r="Z667" s="13"/>
      <c r="AA667" s="13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3"/>
      <c r="AO667" s="13"/>
      <c r="AP667" s="13"/>
      <c r="AQ667" s="13"/>
      <c r="AR667" s="13"/>
      <c r="AS667" s="13"/>
      <c r="AT667" s="13"/>
      <c r="AU667" s="13"/>
      <c r="AV667" s="13"/>
      <c r="AW667" s="14"/>
      <c r="AX667" s="14"/>
      <c r="AY667" s="14"/>
      <c r="AZ667" s="14"/>
      <c r="BA667" s="14"/>
    </row>
    <row r="668">
      <c r="A668" s="11"/>
      <c r="B668" s="11"/>
      <c r="C668" s="11"/>
      <c r="D668" s="11"/>
      <c r="E668" s="11"/>
      <c r="F668" s="11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3"/>
      <c r="T668" s="13"/>
      <c r="U668" s="13"/>
      <c r="V668" s="13"/>
      <c r="W668" s="13"/>
      <c r="X668" s="13"/>
      <c r="Y668" s="13"/>
      <c r="Z668" s="13"/>
      <c r="AA668" s="13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3"/>
      <c r="AO668" s="13"/>
      <c r="AP668" s="13"/>
      <c r="AQ668" s="13"/>
      <c r="AR668" s="13"/>
      <c r="AS668" s="13"/>
      <c r="AT668" s="13"/>
      <c r="AU668" s="13"/>
      <c r="AV668" s="13"/>
      <c r="AW668" s="14"/>
      <c r="AX668" s="14"/>
      <c r="AY668" s="14"/>
      <c r="AZ668" s="14"/>
      <c r="BA668" s="14"/>
    </row>
    <row r="669">
      <c r="A669" s="11"/>
      <c r="B669" s="11"/>
      <c r="C669" s="11"/>
      <c r="D669" s="11"/>
      <c r="E669" s="11"/>
      <c r="F669" s="11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3"/>
      <c r="T669" s="13"/>
      <c r="U669" s="13"/>
      <c r="V669" s="13"/>
      <c r="W669" s="13"/>
      <c r="X669" s="13"/>
      <c r="Y669" s="13"/>
      <c r="Z669" s="13"/>
      <c r="AA669" s="13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3"/>
      <c r="AO669" s="13"/>
      <c r="AP669" s="13"/>
      <c r="AQ669" s="13"/>
      <c r="AR669" s="13"/>
      <c r="AS669" s="13"/>
      <c r="AT669" s="13"/>
      <c r="AU669" s="13"/>
      <c r="AV669" s="13"/>
      <c r="AW669" s="14"/>
      <c r="AX669" s="14"/>
      <c r="AY669" s="14"/>
      <c r="AZ669" s="14"/>
      <c r="BA669" s="14"/>
    </row>
    <row r="670">
      <c r="A670" s="11"/>
      <c r="B670" s="11"/>
      <c r="C670" s="11"/>
      <c r="D670" s="11"/>
      <c r="E670" s="11"/>
      <c r="F670" s="11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3"/>
      <c r="T670" s="13"/>
      <c r="U670" s="13"/>
      <c r="V670" s="13"/>
      <c r="W670" s="13"/>
      <c r="X670" s="13"/>
      <c r="Y670" s="13"/>
      <c r="Z670" s="13"/>
      <c r="AA670" s="13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3"/>
      <c r="AO670" s="13"/>
      <c r="AP670" s="13"/>
      <c r="AQ670" s="13"/>
      <c r="AR670" s="13"/>
      <c r="AS670" s="13"/>
      <c r="AT670" s="13"/>
      <c r="AU670" s="13"/>
      <c r="AV670" s="13"/>
      <c r="AW670" s="14"/>
      <c r="AX670" s="14"/>
      <c r="AY670" s="14"/>
      <c r="AZ670" s="14"/>
      <c r="BA670" s="14"/>
    </row>
    <row r="671">
      <c r="A671" s="11"/>
      <c r="B671" s="11"/>
      <c r="C671" s="11"/>
      <c r="D671" s="11"/>
      <c r="E671" s="11"/>
      <c r="F671" s="11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3"/>
      <c r="T671" s="13"/>
      <c r="U671" s="13"/>
      <c r="V671" s="13"/>
      <c r="W671" s="13"/>
      <c r="X671" s="13"/>
      <c r="Y671" s="13"/>
      <c r="Z671" s="13"/>
      <c r="AA671" s="13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3"/>
      <c r="AO671" s="13"/>
      <c r="AP671" s="13"/>
      <c r="AQ671" s="13"/>
      <c r="AR671" s="13"/>
      <c r="AS671" s="13"/>
      <c r="AT671" s="13"/>
      <c r="AU671" s="13"/>
      <c r="AV671" s="13"/>
      <c r="AW671" s="14"/>
      <c r="AX671" s="14"/>
      <c r="AY671" s="14"/>
      <c r="AZ671" s="14"/>
      <c r="BA671" s="14"/>
    </row>
    <row r="672">
      <c r="A672" s="11"/>
      <c r="B672" s="11"/>
      <c r="C672" s="11"/>
      <c r="D672" s="11"/>
      <c r="E672" s="11"/>
      <c r="F672" s="11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3"/>
      <c r="T672" s="13"/>
      <c r="U672" s="13"/>
      <c r="V672" s="13"/>
      <c r="W672" s="13"/>
      <c r="X672" s="13"/>
      <c r="Y672" s="13"/>
      <c r="Z672" s="13"/>
      <c r="AA672" s="13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3"/>
      <c r="AO672" s="13"/>
      <c r="AP672" s="13"/>
      <c r="AQ672" s="13"/>
      <c r="AR672" s="13"/>
      <c r="AS672" s="13"/>
      <c r="AT672" s="13"/>
      <c r="AU672" s="13"/>
      <c r="AV672" s="13"/>
      <c r="AW672" s="14"/>
      <c r="AX672" s="14"/>
      <c r="AY672" s="14"/>
      <c r="AZ672" s="14"/>
      <c r="BA672" s="14"/>
    </row>
    <row r="673">
      <c r="A673" s="11"/>
      <c r="B673" s="11"/>
      <c r="C673" s="11"/>
      <c r="D673" s="11"/>
      <c r="E673" s="11"/>
      <c r="F673" s="11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3"/>
      <c r="T673" s="13"/>
      <c r="U673" s="13"/>
      <c r="V673" s="13"/>
      <c r="W673" s="13"/>
      <c r="X673" s="13"/>
      <c r="Y673" s="13"/>
      <c r="Z673" s="13"/>
      <c r="AA673" s="13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3"/>
      <c r="AO673" s="13"/>
      <c r="AP673" s="13"/>
      <c r="AQ673" s="13"/>
      <c r="AR673" s="13"/>
      <c r="AS673" s="13"/>
      <c r="AT673" s="13"/>
      <c r="AU673" s="13"/>
      <c r="AV673" s="13"/>
      <c r="AW673" s="14"/>
      <c r="AX673" s="14"/>
      <c r="AY673" s="14"/>
      <c r="AZ673" s="14"/>
      <c r="BA673" s="14"/>
    </row>
    <row r="674">
      <c r="A674" s="11"/>
      <c r="B674" s="11"/>
      <c r="C674" s="11"/>
      <c r="D674" s="11"/>
      <c r="E674" s="11"/>
      <c r="F674" s="11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3"/>
      <c r="T674" s="13"/>
      <c r="U674" s="13"/>
      <c r="V674" s="13"/>
      <c r="W674" s="13"/>
      <c r="X674" s="13"/>
      <c r="Y674" s="13"/>
      <c r="Z674" s="13"/>
      <c r="AA674" s="13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3"/>
      <c r="AO674" s="13"/>
      <c r="AP674" s="13"/>
      <c r="AQ674" s="13"/>
      <c r="AR674" s="13"/>
      <c r="AS674" s="13"/>
      <c r="AT674" s="13"/>
      <c r="AU674" s="13"/>
      <c r="AV674" s="13"/>
      <c r="AW674" s="14"/>
      <c r="AX674" s="14"/>
      <c r="AY674" s="14"/>
      <c r="AZ674" s="14"/>
      <c r="BA674" s="14"/>
    </row>
    <row r="675">
      <c r="A675" s="11"/>
      <c r="B675" s="11"/>
      <c r="C675" s="11"/>
      <c r="D675" s="11"/>
      <c r="E675" s="11"/>
      <c r="F675" s="11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3"/>
      <c r="T675" s="13"/>
      <c r="U675" s="13"/>
      <c r="V675" s="13"/>
      <c r="W675" s="13"/>
      <c r="X675" s="13"/>
      <c r="Y675" s="13"/>
      <c r="Z675" s="13"/>
      <c r="AA675" s="13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3"/>
      <c r="AO675" s="13"/>
      <c r="AP675" s="13"/>
      <c r="AQ675" s="13"/>
      <c r="AR675" s="13"/>
      <c r="AS675" s="13"/>
      <c r="AT675" s="13"/>
      <c r="AU675" s="13"/>
      <c r="AV675" s="13"/>
      <c r="AW675" s="14"/>
      <c r="AX675" s="14"/>
      <c r="AY675" s="14"/>
      <c r="AZ675" s="14"/>
      <c r="BA675" s="14"/>
    </row>
    <row r="676">
      <c r="A676" s="11"/>
      <c r="B676" s="11"/>
      <c r="C676" s="11"/>
      <c r="D676" s="11"/>
      <c r="E676" s="11"/>
      <c r="F676" s="11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3"/>
      <c r="T676" s="13"/>
      <c r="U676" s="13"/>
      <c r="V676" s="13"/>
      <c r="W676" s="13"/>
      <c r="X676" s="13"/>
      <c r="Y676" s="13"/>
      <c r="Z676" s="13"/>
      <c r="AA676" s="13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3"/>
      <c r="AO676" s="13"/>
      <c r="AP676" s="13"/>
      <c r="AQ676" s="13"/>
      <c r="AR676" s="13"/>
      <c r="AS676" s="13"/>
      <c r="AT676" s="13"/>
      <c r="AU676" s="13"/>
      <c r="AV676" s="13"/>
      <c r="AW676" s="14"/>
      <c r="AX676" s="14"/>
      <c r="AY676" s="14"/>
      <c r="AZ676" s="14"/>
      <c r="BA676" s="14"/>
    </row>
    <row r="677">
      <c r="A677" s="11"/>
      <c r="B677" s="11"/>
      <c r="C677" s="11"/>
      <c r="D677" s="11"/>
      <c r="E677" s="11"/>
      <c r="F677" s="11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3"/>
      <c r="T677" s="13"/>
      <c r="U677" s="13"/>
      <c r="V677" s="13"/>
      <c r="W677" s="13"/>
      <c r="X677" s="13"/>
      <c r="Y677" s="13"/>
      <c r="Z677" s="13"/>
      <c r="AA677" s="13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3"/>
      <c r="AO677" s="13"/>
      <c r="AP677" s="13"/>
      <c r="AQ677" s="13"/>
      <c r="AR677" s="13"/>
      <c r="AS677" s="13"/>
      <c r="AT677" s="13"/>
      <c r="AU677" s="13"/>
      <c r="AV677" s="13"/>
      <c r="AW677" s="14"/>
      <c r="AX677" s="14"/>
      <c r="AY677" s="14"/>
      <c r="AZ677" s="14"/>
      <c r="BA677" s="14"/>
    </row>
    <row r="678">
      <c r="A678" s="11"/>
      <c r="B678" s="11"/>
      <c r="C678" s="11"/>
      <c r="D678" s="11"/>
      <c r="E678" s="11"/>
      <c r="F678" s="11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3"/>
      <c r="T678" s="13"/>
      <c r="U678" s="13"/>
      <c r="V678" s="13"/>
      <c r="W678" s="13"/>
      <c r="X678" s="13"/>
      <c r="Y678" s="13"/>
      <c r="Z678" s="13"/>
      <c r="AA678" s="13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3"/>
      <c r="AO678" s="13"/>
      <c r="AP678" s="13"/>
      <c r="AQ678" s="13"/>
      <c r="AR678" s="13"/>
      <c r="AS678" s="13"/>
      <c r="AT678" s="13"/>
      <c r="AU678" s="13"/>
      <c r="AV678" s="13"/>
      <c r="AW678" s="14"/>
      <c r="AX678" s="14"/>
      <c r="AY678" s="14"/>
      <c r="AZ678" s="14"/>
      <c r="BA678" s="14"/>
    </row>
    <row r="679">
      <c r="A679" s="11"/>
      <c r="B679" s="11"/>
      <c r="C679" s="11"/>
      <c r="D679" s="11"/>
      <c r="E679" s="11"/>
      <c r="F679" s="11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3"/>
      <c r="T679" s="13"/>
      <c r="U679" s="13"/>
      <c r="V679" s="13"/>
      <c r="W679" s="13"/>
      <c r="X679" s="13"/>
      <c r="Y679" s="13"/>
      <c r="Z679" s="13"/>
      <c r="AA679" s="13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3"/>
      <c r="AO679" s="13"/>
      <c r="AP679" s="13"/>
      <c r="AQ679" s="13"/>
      <c r="AR679" s="13"/>
      <c r="AS679" s="13"/>
      <c r="AT679" s="13"/>
      <c r="AU679" s="13"/>
      <c r="AV679" s="13"/>
      <c r="AW679" s="14"/>
      <c r="AX679" s="14"/>
      <c r="AY679" s="14"/>
      <c r="AZ679" s="14"/>
      <c r="BA679" s="14"/>
    </row>
    <row r="680">
      <c r="A680" s="11"/>
      <c r="B680" s="11"/>
      <c r="C680" s="11"/>
      <c r="D680" s="11"/>
      <c r="E680" s="11"/>
      <c r="F680" s="11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3"/>
      <c r="T680" s="13"/>
      <c r="U680" s="13"/>
      <c r="V680" s="13"/>
      <c r="W680" s="13"/>
      <c r="X680" s="13"/>
      <c r="Y680" s="13"/>
      <c r="Z680" s="13"/>
      <c r="AA680" s="13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3"/>
      <c r="AO680" s="13"/>
      <c r="AP680" s="13"/>
      <c r="AQ680" s="13"/>
      <c r="AR680" s="13"/>
      <c r="AS680" s="13"/>
      <c r="AT680" s="13"/>
      <c r="AU680" s="13"/>
      <c r="AV680" s="13"/>
      <c r="AW680" s="14"/>
      <c r="AX680" s="14"/>
      <c r="AY680" s="14"/>
      <c r="AZ680" s="14"/>
      <c r="BA680" s="14"/>
    </row>
    <row r="681">
      <c r="A681" s="11"/>
      <c r="B681" s="11"/>
      <c r="C681" s="11"/>
      <c r="D681" s="11"/>
      <c r="E681" s="11"/>
      <c r="F681" s="11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3"/>
      <c r="T681" s="13"/>
      <c r="U681" s="13"/>
      <c r="V681" s="13"/>
      <c r="W681" s="13"/>
      <c r="X681" s="13"/>
      <c r="Y681" s="13"/>
      <c r="Z681" s="13"/>
      <c r="AA681" s="13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3"/>
      <c r="AO681" s="13"/>
      <c r="AP681" s="13"/>
      <c r="AQ681" s="13"/>
      <c r="AR681" s="13"/>
      <c r="AS681" s="13"/>
      <c r="AT681" s="13"/>
      <c r="AU681" s="13"/>
      <c r="AV681" s="13"/>
      <c r="AW681" s="14"/>
      <c r="AX681" s="14"/>
      <c r="AY681" s="14"/>
      <c r="AZ681" s="14"/>
      <c r="BA681" s="14"/>
    </row>
    <row r="682">
      <c r="A682" s="11"/>
      <c r="B682" s="11"/>
      <c r="C682" s="11"/>
      <c r="D682" s="11"/>
      <c r="E682" s="11"/>
      <c r="F682" s="11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3"/>
      <c r="T682" s="13"/>
      <c r="U682" s="13"/>
      <c r="V682" s="13"/>
      <c r="W682" s="13"/>
      <c r="X682" s="13"/>
      <c r="Y682" s="13"/>
      <c r="Z682" s="13"/>
      <c r="AA682" s="13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3"/>
      <c r="AO682" s="13"/>
      <c r="AP682" s="13"/>
      <c r="AQ682" s="13"/>
      <c r="AR682" s="13"/>
      <c r="AS682" s="13"/>
      <c r="AT682" s="13"/>
      <c r="AU682" s="13"/>
      <c r="AV682" s="13"/>
      <c r="AW682" s="14"/>
      <c r="AX682" s="14"/>
      <c r="AY682" s="14"/>
      <c r="AZ682" s="14"/>
      <c r="BA682" s="14"/>
    </row>
    <row r="683">
      <c r="A683" s="11"/>
      <c r="B683" s="11"/>
      <c r="C683" s="11"/>
      <c r="D683" s="11"/>
      <c r="E683" s="11"/>
      <c r="F683" s="11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3"/>
      <c r="T683" s="13"/>
      <c r="U683" s="13"/>
      <c r="V683" s="13"/>
      <c r="W683" s="13"/>
      <c r="X683" s="13"/>
      <c r="Y683" s="13"/>
      <c r="Z683" s="13"/>
      <c r="AA683" s="13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3"/>
      <c r="AO683" s="13"/>
      <c r="AP683" s="13"/>
      <c r="AQ683" s="13"/>
      <c r="AR683" s="13"/>
      <c r="AS683" s="13"/>
      <c r="AT683" s="13"/>
      <c r="AU683" s="13"/>
      <c r="AV683" s="13"/>
      <c r="AW683" s="14"/>
      <c r="AX683" s="14"/>
      <c r="AY683" s="14"/>
      <c r="AZ683" s="14"/>
      <c r="BA683" s="14"/>
    </row>
    <row r="684">
      <c r="A684" s="11"/>
      <c r="B684" s="11"/>
      <c r="C684" s="11"/>
      <c r="D684" s="11"/>
      <c r="E684" s="11"/>
      <c r="F684" s="11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3"/>
      <c r="T684" s="13"/>
      <c r="U684" s="13"/>
      <c r="V684" s="13"/>
      <c r="W684" s="13"/>
      <c r="X684" s="13"/>
      <c r="Y684" s="13"/>
      <c r="Z684" s="13"/>
      <c r="AA684" s="13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3"/>
      <c r="AO684" s="13"/>
      <c r="AP684" s="13"/>
      <c r="AQ684" s="13"/>
      <c r="AR684" s="13"/>
      <c r="AS684" s="13"/>
      <c r="AT684" s="13"/>
      <c r="AU684" s="13"/>
      <c r="AV684" s="13"/>
      <c r="AW684" s="14"/>
      <c r="AX684" s="14"/>
      <c r="AY684" s="14"/>
      <c r="AZ684" s="14"/>
      <c r="BA684" s="14"/>
    </row>
    <row r="685">
      <c r="A685" s="11"/>
      <c r="B685" s="11"/>
      <c r="C685" s="11"/>
      <c r="D685" s="11"/>
      <c r="E685" s="11"/>
      <c r="F685" s="11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3"/>
      <c r="T685" s="13"/>
      <c r="U685" s="13"/>
      <c r="V685" s="13"/>
      <c r="W685" s="13"/>
      <c r="X685" s="13"/>
      <c r="Y685" s="13"/>
      <c r="Z685" s="13"/>
      <c r="AA685" s="13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3"/>
      <c r="AO685" s="13"/>
      <c r="AP685" s="13"/>
      <c r="AQ685" s="13"/>
      <c r="AR685" s="13"/>
      <c r="AS685" s="13"/>
      <c r="AT685" s="13"/>
      <c r="AU685" s="13"/>
      <c r="AV685" s="13"/>
      <c r="AW685" s="14"/>
      <c r="AX685" s="14"/>
      <c r="AY685" s="14"/>
      <c r="AZ685" s="14"/>
      <c r="BA685" s="14"/>
    </row>
    <row r="686">
      <c r="A686" s="11"/>
      <c r="B686" s="11"/>
      <c r="C686" s="11"/>
      <c r="D686" s="11"/>
      <c r="E686" s="11"/>
      <c r="F686" s="11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3"/>
      <c r="T686" s="13"/>
      <c r="U686" s="13"/>
      <c r="V686" s="13"/>
      <c r="W686" s="13"/>
      <c r="X686" s="13"/>
      <c r="Y686" s="13"/>
      <c r="Z686" s="13"/>
      <c r="AA686" s="13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3"/>
      <c r="AO686" s="13"/>
      <c r="AP686" s="13"/>
      <c r="AQ686" s="13"/>
      <c r="AR686" s="13"/>
      <c r="AS686" s="13"/>
      <c r="AT686" s="13"/>
      <c r="AU686" s="13"/>
      <c r="AV686" s="13"/>
      <c r="AW686" s="14"/>
      <c r="AX686" s="14"/>
      <c r="AY686" s="14"/>
      <c r="AZ686" s="14"/>
      <c r="BA686" s="14"/>
    </row>
    <row r="687">
      <c r="A687" s="11"/>
      <c r="B687" s="11"/>
      <c r="C687" s="11"/>
      <c r="D687" s="11"/>
      <c r="E687" s="11"/>
      <c r="F687" s="11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3"/>
      <c r="T687" s="13"/>
      <c r="U687" s="13"/>
      <c r="V687" s="13"/>
      <c r="W687" s="13"/>
      <c r="X687" s="13"/>
      <c r="Y687" s="13"/>
      <c r="Z687" s="13"/>
      <c r="AA687" s="13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3"/>
      <c r="AO687" s="13"/>
      <c r="AP687" s="13"/>
      <c r="AQ687" s="13"/>
      <c r="AR687" s="13"/>
      <c r="AS687" s="13"/>
      <c r="AT687" s="13"/>
      <c r="AU687" s="13"/>
      <c r="AV687" s="13"/>
      <c r="AW687" s="14"/>
      <c r="AX687" s="14"/>
      <c r="AY687" s="14"/>
      <c r="AZ687" s="14"/>
      <c r="BA687" s="14"/>
    </row>
    <row r="688">
      <c r="A688" s="11"/>
      <c r="B688" s="11"/>
      <c r="C688" s="11"/>
      <c r="D688" s="11"/>
      <c r="E688" s="11"/>
      <c r="F688" s="11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3"/>
      <c r="T688" s="13"/>
      <c r="U688" s="13"/>
      <c r="V688" s="13"/>
      <c r="W688" s="13"/>
      <c r="X688" s="13"/>
      <c r="Y688" s="13"/>
      <c r="Z688" s="13"/>
      <c r="AA688" s="13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3"/>
      <c r="AO688" s="13"/>
      <c r="AP688" s="13"/>
      <c r="AQ688" s="13"/>
      <c r="AR688" s="13"/>
      <c r="AS688" s="13"/>
      <c r="AT688" s="13"/>
      <c r="AU688" s="13"/>
      <c r="AV688" s="13"/>
      <c r="AW688" s="14"/>
      <c r="AX688" s="14"/>
      <c r="AY688" s="14"/>
      <c r="AZ688" s="14"/>
      <c r="BA688" s="14"/>
    </row>
    <row r="689">
      <c r="A689" s="11"/>
      <c r="B689" s="11"/>
      <c r="C689" s="11"/>
      <c r="D689" s="11"/>
      <c r="E689" s="11"/>
      <c r="F689" s="11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3"/>
      <c r="T689" s="13"/>
      <c r="U689" s="13"/>
      <c r="V689" s="13"/>
      <c r="W689" s="13"/>
      <c r="X689" s="13"/>
      <c r="Y689" s="13"/>
      <c r="Z689" s="13"/>
      <c r="AA689" s="13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3"/>
      <c r="AO689" s="13"/>
      <c r="AP689" s="13"/>
      <c r="AQ689" s="13"/>
      <c r="AR689" s="13"/>
      <c r="AS689" s="13"/>
      <c r="AT689" s="13"/>
      <c r="AU689" s="13"/>
      <c r="AV689" s="13"/>
      <c r="AW689" s="14"/>
      <c r="AX689" s="14"/>
      <c r="AY689" s="14"/>
      <c r="AZ689" s="14"/>
      <c r="BA689" s="14"/>
    </row>
    <row r="690">
      <c r="A690" s="11"/>
      <c r="B690" s="11"/>
      <c r="C690" s="11"/>
      <c r="D690" s="11"/>
      <c r="E690" s="11"/>
      <c r="F690" s="11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3"/>
      <c r="T690" s="13"/>
      <c r="U690" s="13"/>
      <c r="V690" s="13"/>
      <c r="W690" s="13"/>
      <c r="X690" s="13"/>
      <c r="Y690" s="13"/>
      <c r="Z690" s="13"/>
      <c r="AA690" s="13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3"/>
      <c r="AO690" s="13"/>
      <c r="AP690" s="13"/>
      <c r="AQ690" s="13"/>
      <c r="AR690" s="13"/>
      <c r="AS690" s="13"/>
      <c r="AT690" s="13"/>
      <c r="AU690" s="13"/>
      <c r="AV690" s="13"/>
      <c r="AW690" s="14"/>
      <c r="AX690" s="14"/>
      <c r="AY690" s="14"/>
      <c r="AZ690" s="14"/>
      <c r="BA690" s="14"/>
    </row>
    <row r="691">
      <c r="A691" s="11"/>
      <c r="B691" s="11"/>
      <c r="C691" s="11"/>
      <c r="D691" s="11"/>
      <c r="E691" s="11"/>
      <c r="F691" s="11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3"/>
      <c r="T691" s="13"/>
      <c r="U691" s="13"/>
      <c r="V691" s="13"/>
      <c r="W691" s="13"/>
      <c r="X691" s="13"/>
      <c r="Y691" s="13"/>
      <c r="Z691" s="13"/>
      <c r="AA691" s="13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3"/>
      <c r="AO691" s="13"/>
      <c r="AP691" s="13"/>
      <c r="AQ691" s="13"/>
      <c r="AR691" s="13"/>
      <c r="AS691" s="13"/>
      <c r="AT691" s="13"/>
      <c r="AU691" s="13"/>
      <c r="AV691" s="13"/>
      <c r="AW691" s="14"/>
      <c r="AX691" s="14"/>
      <c r="AY691" s="14"/>
      <c r="AZ691" s="14"/>
      <c r="BA691" s="14"/>
    </row>
    <row r="692">
      <c r="A692" s="11"/>
      <c r="B692" s="11"/>
      <c r="C692" s="11"/>
      <c r="D692" s="11"/>
      <c r="E692" s="11"/>
      <c r="F692" s="11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3"/>
      <c r="T692" s="13"/>
      <c r="U692" s="13"/>
      <c r="V692" s="13"/>
      <c r="W692" s="13"/>
      <c r="X692" s="13"/>
      <c r="Y692" s="13"/>
      <c r="Z692" s="13"/>
      <c r="AA692" s="13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3"/>
      <c r="AO692" s="13"/>
      <c r="AP692" s="13"/>
      <c r="AQ692" s="13"/>
      <c r="AR692" s="13"/>
      <c r="AS692" s="13"/>
      <c r="AT692" s="13"/>
      <c r="AU692" s="13"/>
      <c r="AV692" s="13"/>
      <c r="AW692" s="14"/>
      <c r="AX692" s="14"/>
      <c r="AY692" s="14"/>
      <c r="AZ692" s="14"/>
      <c r="BA692" s="14"/>
    </row>
    <row r="693">
      <c r="A693" s="11"/>
      <c r="B693" s="11"/>
      <c r="C693" s="11"/>
      <c r="D693" s="11"/>
      <c r="E693" s="11"/>
      <c r="F693" s="11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3"/>
      <c r="T693" s="13"/>
      <c r="U693" s="13"/>
      <c r="V693" s="13"/>
      <c r="W693" s="13"/>
      <c r="X693" s="13"/>
      <c r="Y693" s="13"/>
      <c r="Z693" s="13"/>
      <c r="AA693" s="13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3"/>
      <c r="AO693" s="13"/>
      <c r="AP693" s="13"/>
      <c r="AQ693" s="13"/>
      <c r="AR693" s="13"/>
      <c r="AS693" s="13"/>
      <c r="AT693" s="13"/>
      <c r="AU693" s="13"/>
      <c r="AV693" s="13"/>
      <c r="AW693" s="14"/>
      <c r="AX693" s="14"/>
      <c r="AY693" s="14"/>
      <c r="AZ693" s="14"/>
      <c r="BA693" s="14"/>
    </row>
    <row r="694">
      <c r="A694" s="11"/>
      <c r="B694" s="11"/>
      <c r="C694" s="11"/>
      <c r="D694" s="11"/>
      <c r="E694" s="11"/>
      <c r="F694" s="11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3"/>
      <c r="T694" s="13"/>
      <c r="U694" s="13"/>
      <c r="V694" s="13"/>
      <c r="W694" s="13"/>
      <c r="X694" s="13"/>
      <c r="Y694" s="13"/>
      <c r="Z694" s="13"/>
      <c r="AA694" s="13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3"/>
      <c r="AO694" s="13"/>
      <c r="AP694" s="13"/>
      <c r="AQ694" s="13"/>
      <c r="AR694" s="13"/>
      <c r="AS694" s="13"/>
      <c r="AT694" s="13"/>
      <c r="AU694" s="13"/>
      <c r="AV694" s="13"/>
      <c r="AW694" s="14"/>
      <c r="AX694" s="14"/>
      <c r="AY694" s="14"/>
      <c r="AZ694" s="14"/>
      <c r="BA694" s="14"/>
    </row>
    <row r="695">
      <c r="A695" s="11"/>
      <c r="B695" s="11"/>
      <c r="C695" s="11"/>
      <c r="D695" s="11"/>
      <c r="E695" s="11"/>
      <c r="F695" s="11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3"/>
      <c r="T695" s="13"/>
      <c r="U695" s="13"/>
      <c r="V695" s="13"/>
      <c r="W695" s="13"/>
      <c r="X695" s="13"/>
      <c r="Y695" s="13"/>
      <c r="Z695" s="13"/>
      <c r="AA695" s="13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3"/>
      <c r="AO695" s="13"/>
      <c r="AP695" s="13"/>
      <c r="AQ695" s="13"/>
      <c r="AR695" s="13"/>
      <c r="AS695" s="13"/>
      <c r="AT695" s="13"/>
      <c r="AU695" s="13"/>
      <c r="AV695" s="13"/>
      <c r="AW695" s="14"/>
      <c r="AX695" s="14"/>
      <c r="AY695" s="14"/>
      <c r="AZ695" s="14"/>
      <c r="BA695" s="14"/>
    </row>
    <row r="696">
      <c r="A696" s="11"/>
      <c r="B696" s="11"/>
      <c r="C696" s="11"/>
      <c r="D696" s="11"/>
      <c r="E696" s="11"/>
      <c r="F696" s="11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3"/>
      <c r="T696" s="13"/>
      <c r="U696" s="13"/>
      <c r="V696" s="13"/>
      <c r="W696" s="13"/>
      <c r="X696" s="13"/>
      <c r="Y696" s="13"/>
      <c r="Z696" s="13"/>
      <c r="AA696" s="13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3"/>
      <c r="AO696" s="13"/>
      <c r="AP696" s="13"/>
      <c r="AQ696" s="13"/>
      <c r="AR696" s="13"/>
      <c r="AS696" s="13"/>
      <c r="AT696" s="13"/>
      <c r="AU696" s="13"/>
      <c r="AV696" s="13"/>
      <c r="AW696" s="14"/>
      <c r="AX696" s="14"/>
      <c r="AY696" s="14"/>
      <c r="AZ696" s="14"/>
      <c r="BA696" s="14"/>
    </row>
    <row r="697">
      <c r="A697" s="11"/>
      <c r="B697" s="11"/>
      <c r="C697" s="11"/>
      <c r="D697" s="11"/>
      <c r="E697" s="11"/>
      <c r="F697" s="11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3"/>
      <c r="T697" s="13"/>
      <c r="U697" s="13"/>
      <c r="V697" s="13"/>
      <c r="W697" s="13"/>
      <c r="X697" s="13"/>
      <c r="Y697" s="13"/>
      <c r="Z697" s="13"/>
      <c r="AA697" s="13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3"/>
      <c r="AO697" s="13"/>
      <c r="AP697" s="13"/>
      <c r="AQ697" s="13"/>
      <c r="AR697" s="13"/>
      <c r="AS697" s="13"/>
      <c r="AT697" s="13"/>
      <c r="AU697" s="13"/>
      <c r="AV697" s="13"/>
      <c r="AW697" s="14"/>
      <c r="AX697" s="14"/>
      <c r="AY697" s="14"/>
      <c r="AZ697" s="14"/>
      <c r="BA697" s="14"/>
    </row>
    <row r="698">
      <c r="A698" s="11"/>
      <c r="B698" s="11"/>
      <c r="C698" s="11"/>
      <c r="D698" s="11"/>
      <c r="E698" s="11"/>
      <c r="F698" s="11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3"/>
      <c r="T698" s="13"/>
      <c r="U698" s="13"/>
      <c r="V698" s="13"/>
      <c r="W698" s="13"/>
      <c r="X698" s="13"/>
      <c r="Y698" s="13"/>
      <c r="Z698" s="13"/>
      <c r="AA698" s="13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3"/>
      <c r="AO698" s="13"/>
      <c r="AP698" s="13"/>
      <c r="AQ698" s="13"/>
      <c r="AR698" s="13"/>
      <c r="AS698" s="13"/>
      <c r="AT698" s="13"/>
      <c r="AU698" s="13"/>
      <c r="AV698" s="13"/>
      <c r="AW698" s="14"/>
      <c r="AX698" s="14"/>
      <c r="AY698" s="14"/>
      <c r="AZ698" s="14"/>
      <c r="BA698" s="14"/>
    </row>
    <row r="699">
      <c r="A699" s="11"/>
      <c r="B699" s="11"/>
      <c r="C699" s="11"/>
      <c r="D699" s="11"/>
      <c r="E699" s="11"/>
      <c r="F699" s="11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3"/>
      <c r="T699" s="13"/>
      <c r="U699" s="13"/>
      <c r="V699" s="13"/>
      <c r="W699" s="13"/>
      <c r="X699" s="13"/>
      <c r="Y699" s="13"/>
      <c r="Z699" s="13"/>
      <c r="AA699" s="13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3"/>
      <c r="AO699" s="13"/>
      <c r="AP699" s="13"/>
      <c r="AQ699" s="13"/>
      <c r="AR699" s="13"/>
      <c r="AS699" s="13"/>
      <c r="AT699" s="13"/>
      <c r="AU699" s="13"/>
      <c r="AV699" s="13"/>
      <c r="AW699" s="14"/>
      <c r="AX699" s="14"/>
      <c r="AY699" s="14"/>
      <c r="AZ699" s="14"/>
      <c r="BA699" s="14"/>
    </row>
    <row r="700">
      <c r="A700" s="11"/>
      <c r="B700" s="11"/>
      <c r="C700" s="11"/>
      <c r="D700" s="11"/>
      <c r="E700" s="11"/>
      <c r="F700" s="11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3"/>
      <c r="T700" s="13"/>
      <c r="U700" s="13"/>
      <c r="V700" s="13"/>
      <c r="W700" s="13"/>
      <c r="X700" s="13"/>
      <c r="Y700" s="13"/>
      <c r="Z700" s="13"/>
      <c r="AA700" s="13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3"/>
      <c r="AO700" s="13"/>
      <c r="AP700" s="13"/>
      <c r="AQ700" s="13"/>
      <c r="AR700" s="13"/>
      <c r="AS700" s="13"/>
      <c r="AT700" s="13"/>
      <c r="AU700" s="13"/>
      <c r="AV700" s="13"/>
      <c r="AW700" s="14"/>
      <c r="AX700" s="14"/>
      <c r="AY700" s="14"/>
      <c r="AZ700" s="14"/>
      <c r="BA700" s="14"/>
    </row>
    <row r="701">
      <c r="A701" s="11"/>
      <c r="B701" s="11"/>
      <c r="C701" s="11"/>
      <c r="D701" s="11"/>
      <c r="E701" s="11"/>
      <c r="F701" s="11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3"/>
      <c r="T701" s="13"/>
      <c r="U701" s="13"/>
      <c r="V701" s="13"/>
      <c r="W701" s="13"/>
      <c r="X701" s="13"/>
      <c r="Y701" s="13"/>
      <c r="Z701" s="13"/>
      <c r="AA701" s="13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3"/>
      <c r="AO701" s="13"/>
      <c r="AP701" s="13"/>
      <c r="AQ701" s="13"/>
      <c r="AR701" s="13"/>
      <c r="AS701" s="13"/>
      <c r="AT701" s="13"/>
      <c r="AU701" s="13"/>
      <c r="AV701" s="13"/>
      <c r="AW701" s="14"/>
      <c r="AX701" s="14"/>
      <c r="AY701" s="14"/>
      <c r="AZ701" s="14"/>
      <c r="BA701" s="14"/>
    </row>
    <row r="702">
      <c r="A702" s="11"/>
      <c r="B702" s="11"/>
      <c r="C702" s="11"/>
      <c r="D702" s="11"/>
      <c r="E702" s="11"/>
      <c r="F702" s="11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3"/>
      <c r="T702" s="13"/>
      <c r="U702" s="13"/>
      <c r="V702" s="13"/>
      <c r="W702" s="13"/>
      <c r="X702" s="13"/>
      <c r="Y702" s="13"/>
      <c r="Z702" s="13"/>
      <c r="AA702" s="13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3"/>
      <c r="AO702" s="13"/>
      <c r="AP702" s="13"/>
      <c r="AQ702" s="13"/>
      <c r="AR702" s="13"/>
      <c r="AS702" s="13"/>
      <c r="AT702" s="13"/>
      <c r="AU702" s="13"/>
      <c r="AV702" s="13"/>
      <c r="AW702" s="14"/>
      <c r="AX702" s="14"/>
      <c r="AY702" s="14"/>
      <c r="AZ702" s="14"/>
      <c r="BA702" s="14"/>
    </row>
    <row r="703">
      <c r="A703" s="11"/>
      <c r="B703" s="11"/>
      <c r="C703" s="11"/>
      <c r="D703" s="11"/>
      <c r="E703" s="11"/>
      <c r="F703" s="11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3"/>
      <c r="T703" s="13"/>
      <c r="U703" s="13"/>
      <c r="V703" s="13"/>
      <c r="W703" s="13"/>
      <c r="X703" s="13"/>
      <c r="Y703" s="13"/>
      <c r="Z703" s="13"/>
      <c r="AA703" s="13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3"/>
      <c r="AO703" s="13"/>
      <c r="AP703" s="13"/>
      <c r="AQ703" s="13"/>
      <c r="AR703" s="13"/>
      <c r="AS703" s="13"/>
      <c r="AT703" s="13"/>
      <c r="AU703" s="13"/>
      <c r="AV703" s="13"/>
      <c r="AW703" s="14"/>
      <c r="AX703" s="14"/>
      <c r="AY703" s="14"/>
      <c r="AZ703" s="14"/>
      <c r="BA703" s="14"/>
    </row>
    <row r="704">
      <c r="A704" s="11"/>
      <c r="B704" s="11"/>
      <c r="C704" s="11"/>
      <c r="D704" s="11"/>
      <c r="E704" s="11"/>
      <c r="F704" s="11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3"/>
      <c r="T704" s="13"/>
      <c r="U704" s="13"/>
      <c r="V704" s="13"/>
      <c r="W704" s="13"/>
      <c r="X704" s="13"/>
      <c r="Y704" s="13"/>
      <c r="Z704" s="13"/>
      <c r="AA704" s="13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3"/>
      <c r="AO704" s="13"/>
      <c r="AP704" s="13"/>
      <c r="AQ704" s="13"/>
      <c r="AR704" s="13"/>
      <c r="AS704" s="13"/>
      <c r="AT704" s="13"/>
      <c r="AU704" s="13"/>
      <c r="AV704" s="13"/>
      <c r="AW704" s="14"/>
      <c r="AX704" s="14"/>
      <c r="AY704" s="14"/>
      <c r="AZ704" s="14"/>
      <c r="BA704" s="14"/>
    </row>
    <row r="705">
      <c r="A705" s="11"/>
      <c r="B705" s="11"/>
      <c r="C705" s="11"/>
      <c r="D705" s="11"/>
      <c r="E705" s="11"/>
      <c r="F705" s="11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3"/>
      <c r="T705" s="13"/>
      <c r="U705" s="13"/>
      <c r="V705" s="13"/>
      <c r="W705" s="13"/>
      <c r="X705" s="13"/>
      <c r="Y705" s="13"/>
      <c r="Z705" s="13"/>
      <c r="AA705" s="13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3"/>
      <c r="AO705" s="13"/>
      <c r="AP705" s="13"/>
      <c r="AQ705" s="13"/>
      <c r="AR705" s="13"/>
      <c r="AS705" s="13"/>
      <c r="AT705" s="13"/>
      <c r="AU705" s="13"/>
      <c r="AV705" s="13"/>
      <c r="AW705" s="14"/>
      <c r="AX705" s="14"/>
      <c r="AY705" s="14"/>
      <c r="AZ705" s="14"/>
      <c r="BA705" s="14"/>
    </row>
    <row r="706">
      <c r="A706" s="11"/>
      <c r="B706" s="11"/>
      <c r="C706" s="11"/>
      <c r="D706" s="11"/>
      <c r="E706" s="11"/>
      <c r="F706" s="11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3"/>
      <c r="T706" s="13"/>
      <c r="U706" s="13"/>
      <c r="V706" s="13"/>
      <c r="W706" s="13"/>
      <c r="X706" s="13"/>
      <c r="Y706" s="13"/>
      <c r="Z706" s="13"/>
      <c r="AA706" s="13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3"/>
      <c r="AO706" s="13"/>
      <c r="AP706" s="13"/>
      <c r="AQ706" s="13"/>
      <c r="AR706" s="13"/>
      <c r="AS706" s="13"/>
      <c r="AT706" s="13"/>
      <c r="AU706" s="13"/>
      <c r="AV706" s="13"/>
      <c r="AW706" s="14"/>
      <c r="AX706" s="14"/>
      <c r="AY706" s="14"/>
      <c r="AZ706" s="14"/>
      <c r="BA706" s="14"/>
    </row>
    <row r="707">
      <c r="A707" s="11"/>
      <c r="B707" s="11"/>
      <c r="C707" s="11"/>
      <c r="D707" s="11"/>
      <c r="E707" s="11"/>
      <c r="F707" s="11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3"/>
      <c r="T707" s="13"/>
      <c r="U707" s="13"/>
      <c r="V707" s="13"/>
      <c r="W707" s="13"/>
      <c r="X707" s="13"/>
      <c r="Y707" s="13"/>
      <c r="Z707" s="13"/>
      <c r="AA707" s="13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3"/>
      <c r="AO707" s="13"/>
      <c r="AP707" s="13"/>
      <c r="AQ707" s="13"/>
      <c r="AR707" s="13"/>
      <c r="AS707" s="13"/>
      <c r="AT707" s="13"/>
      <c r="AU707" s="13"/>
      <c r="AV707" s="13"/>
      <c r="AW707" s="14"/>
      <c r="AX707" s="14"/>
      <c r="AY707" s="14"/>
      <c r="AZ707" s="14"/>
      <c r="BA707" s="14"/>
    </row>
    <row r="708">
      <c r="A708" s="11"/>
      <c r="B708" s="11"/>
      <c r="C708" s="11"/>
      <c r="D708" s="11"/>
      <c r="E708" s="11"/>
      <c r="F708" s="11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3"/>
      <c r="T708" s="13"/>
      <c r="U708" s="13"/>
      <c r="V708" s="13"/>
      <c r="W708" s="13"/>
      <c r="X708" s="13"/>
      <c r="Y708" s="13"/>
      <c r="Z708" s="13"/>
      <c r="AA708" s="13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3"/>
      <c r="AO708" s="13"/>
      <c r="AP708" s="13"/>
      <c r="AQ708" s="13"/>
      <c r="AR708" s="13"/>
      <c r="AS708" s="13"/>
      <c r="AT708" s="13"/>
      <c r="AU708" s="13"/>
      <c r="AV708" s="13"/>
      <c r="AW708" s="14"/>
      <c r="AX708" s="14"/>
      <c r="AY708" s="14"/>
      <c r="AZ708" s="14"/>
      <c r="BA708" s="14"/>
    </row>
    <row r="709">
      <c r="A709" s="11"/>
      <c r="B709" s="11"/>
      <c r="C709" s="11"/>
      <c r="D709" s="11"/>
      <c r="E709" s="11"/>
      <c r="F709" s="11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3"/>
      <c r="T709" s="13"/>
      <c r="U709" s="13"/>
      <c r="V709" s="13"/>
      <c r="W709" s="13"/>
      <c r="X709" s="13"/>
      <c r="Y709" s="13"/>
      <c r="Z709" s="13"/>
      <c r="AA709" s="13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3"/>
      <c r="AO709" s="13"/>
      <c r="AP709" s="13"/>
      <c r="AQ709" s="13"/>
      <c r="AR709" s="13"/>
      <c r="AS709" s="13"/>
      <c r="AT709" s="13"/>
      <c r="AU709" s="13"/>
      <c r="AV709" s="13"/>
      <c r="AW709" s="14"/>
      <c r="AX709" s="14"/>
      <c r="AY709" s="14"/>
      <c r="AZ709" s="14"/>
      <c r="BA709" s="14"/>
    </row>
    <row r="710">
      <c r="A710" s="11"/>
      <c r="B710" s="11"/>
      <c r="C710" s="11"/>
      <c r="D710" s="11"/>
      <c r="E710" s="11"/>
      <c r="F710" s="11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3"/>
      <c r="T710" s="13"/>
      <c r="U710" s="13"/>
      <c r="V710" s="13"/>
      <c r="W710" s="13"/>
      <c r="X710" s="13"/>
      <c r="Y710" s="13"/>
      <c r="Z710" s="13"/>
      <c r="AA710" s="13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3"/>
      <c r="AO710" s="13"/>
      <c r="AP710" s="13"/>
      <c r="AQ710" s="13"/>
      <c r="AR710" s="13"/>
      <c r="AS710" s="13"/>
      <c r="AT710" s="13"/>
      <c r="AU710" s="13"/>
      <c r="AV710" s="13"/>
      <c r="AW710" s="14"/>
      <c r="AX710" s="14"/>
      <c r="AY710" s="14"/>
      <c r="AZ710" s="14"/>
      <c r="BA710" s="14"/>
    </row>
    <row r="711">
      <c r="A711" s="11"/>
      <c r="B711" s="11"/>
      <c r="C711" s="11"/>
      <c r="D711" s="11"/>
      <c r="E711" s="11"/>
      <c r="F711" s="11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3"/>
      <c r="T711" s="13"/>
      <c r="U711" s="13"/>
      <c r="V711" s="13"/>
      <c r="W711" s="13"/>
      <c r="X711" s="13"/>
      <c r="Y711" s="13"/>
      <c r="Z711" s="13"/>
      <c r="AA711" s="13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3"/>
      <c r="AO711" s="13"/>
      <c r="AP711" s="13"/>
      <c r="AQ711" s="13"/>
      <c r="AR711" s="13"/>
      <c r="AS711" s="13"/>
      <c r="AT711" s="13"/>
      <c r="AU711" s="13"/>
      <c r="AV711" s="13"/>
      <c r="AW711" s="14"/>
      <c r="AX711" s="14"/>
      <c r="AY711" s="14"/>
      <c r="AZ711" s="14"/>
      <c r="BA711" s="14"/>
    </row>
    <row r="712">
      <c r="A712" s="11"/>
      <c r="B712" s="11"/>
      <c r="C712" s="11"/>
      <c r="D712" s="11"/>
      <c r="E712" s="11"/>
      <c r="F712" s="11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3"/>
      <c r="T712" s="13"/>
      <c r="U712" s="13"/>
      <c r="V712" s="13"/>
      <c r="W712" s="13"/>
      <c r="X712" s="13"/>
      <c r="Y712" s="13"/>
      <c r="Z712" s="13"/>
      <c r="AA712" s="13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3"/>
      <c r="AO712" s="13"/>
      <c r="AP712" s="13"/>
      <c r="AQ712" s="13"/>
      <c r="AR712" s="13"/>
      <c r="AS712" s="13"/>
      <c r="AT712" s="13"/>
      <c r="AU712" s="13"/>
      <c r="AV712" s="13"/>
      <c r="AW712" s="14"/>
      <c r="AX712" s="14"/>
      <c r="AY712" s="14"/>
      <c r="AZ712" s="14"/>
      <c r="BA712" s="14"/>
    </row>
    <row r="713">
      <c r="A713" s="11"/>
      <c r="B713" s="11"/>
      <c r="C713" s="11"/>
      <c r="D713" s="11"/>
      <c r="E713" s="11"/>
      <c r="F713" s="11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3"/>
      <c r="T713" s="13"/>
      <c r="U713" s="13"/>
      <c r="V713" s="13"/>
      <c r="W713" s="13"/>
      <c r="X713" s="13"/>
      <c r="Y713" s="13"/>
      <c r="Z713" s="13"/>
      <c r="AA713" s="13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3"/>
      <c r="AO713" s="13"/>
      <c r="AP713" s="13"/>
      <c r="AQ713" s="13"/>
      <c r="AR713" s="13"/>
      <c r="AS713" s="13"/>
      <c r="AT713" s="13"/>
      <c r="AU713" s="13"/>
      <c r="AV713" s="13"/>
      <c r="AW713" s="14"/>
      <c r="AX713" s="14"/>
      <c r="AY713" s="14"/>
      <c r="AZ713" s="14"/>
      <c r="BA713" s="14"/>
    </row>
    <row r="714">
      <c r="A714" s="11"/>
      <c r="B714" s="11"/>
      <c r="C714" s="11"/>
      <c r="D714" s="11"/>
      <c r="E714" s="11"/>
      <c r="F714" s="11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3"/>
      <c r="T714" s="13"/>
      <c r="U714" s="13"/>
      <c r="V714" s="13"/>
      <c r="W714" s="13"/>
      <c r="X714" s="13"/>
      <c r="Y714" s="13"/>
      <c r="Z714" s="13"/>
      <c r="AA714" s="13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3"/>
      <c r="AO714" s="13"/>
      <c r="AP714" s="13"/>
      <c r="AQ714" s="13"/>
      <c r="AR714" s="13"/>
      <c r="AS714" s="13"/>
      <c r="AT714" s="13"/>
      <c r="AU714" s="13"/>
      <c r="AV714" s="13"/>
      <c r="AW714" s="14"/>
      <c r="AX714" s="14"/>
      <c r="AY714" s="14"/>
      <c r="AZ714" s="14"/>
      <c r="BA714" s="14"/>
    </row>
    <row r="715">
      <c r="A715" s="11"/>
      <c r="B715" s="11"/>
      <c r="C715" s="11"/>
      <c r="D715" s="11"/>
      <c r="E715" s="11"/>
      <c r="F715" s="11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3"/>
      <c r="T715" s="13"/>
      <c r="U715" s="13"/>
      <c r="V715" s="13"/>
      <c r="W715" s="13"/>
      <c r="X715" s="13"/>
      <c r="Y715" s="13"/>
      <c r="Z715" s="13"/>
      <c r="AA715" s="13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3"/>
      <c r="AO715" s="13"/>
      <c r="AP715" s="13"/>
      <c r="AQ715" s="13"/>
      <c r="AR715" s="13"/>
      <c r="AS715" s="13"/>
      <c r="AT715" s="13"/>
      <c r="AU715" s="13"/>
      <c r="AV715" s="13"/>
      <c r="AW715" s="14"/>
      <c r="AX715" s="14"/>
      <c r="AY715" s="14"/>
      <c r="AZ715" s="14"/>
      <c r="BA715" s="14"/>
    </row>
    <row r="716">
      <c r="A716" s="11"/>
      <c r="B716" s="11"/>
      <c r="C716" s="11"/>
      <c r="D716" s="11"/>
      <c r="E716" s="11"/>
      <c r="F716" s="11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3"/>
      <c r="T716" s="13"/>
      <c r="U716" s="13"/>
      <c r="V716" s="13"/>
      <c r="W716" s="13"/>
      <c r="X716" s="13"/>
      <c r="Y716" s="13"/>
      <c r="Z716" s="13"/>
      <c r="AA716" s="13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3"/>
      <c r="AO716" s="13"/>
      <c r="AP716" s="13"/>
      <c r="AQ716" s="13"/>
      <c r="AR716" s="13"/>
      <c r="AS716" s="13"/>
      <c r="AT716" s="13"/>
      <c r="AU716" s="13"/>
      <c r="AV716" s="13"/>
      <c r="AW716" s="14"/>
      <c r="AX716" s="14"/>
      <c r="AY716" s="14"/>
      <c r="AZ716" s="14"/>
      <c r="BA716" s="14"/>
    </row>
    <row r="717">
      <c r="A717" s="11"/>
      <c r="B717" s="11"/>
      <c r="C717" s="11"/>
      <c r="D717" s="11"/>
      <c r="E717" s="11"/>
      <c r="F717" s="11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3"/>
      <c r="T717" s="13"/>
      <c r="U717" s="13"/>
      <c r="V717" s="13"/>
      <c r="W717" s="13"/>
      <c r="X717" s="13"/>
      <c r="Y717" s="13"/>
      <c r="Z717" s="13"/>
      <c r="AA717" s="13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3"/>
      <c r="AO717" s="13"/>
      <c r="AP717" s="13"/>
      <c r="AQ717" s="13"/>
      <c r="AR717" s="13"/>
      <c r="AS717" s="13"/>
      <c r="AT717" s="13"/>
      <c r="AU717" s="13"/>
      <c r="AV717" s="13"/>
      <c r="AW717" s="14"/>
      <c r="AX717" s="14"/>
      <c r="AY717" s="14"/>
      <c r="AZ717" s="14"/>
      <c r="BA717" s="14"/>
    </row>
    <row r="718">
      <c r="A718" s="11"/>
      <c r="B718" s="11"/>
      <c r="C718" s="11"/>
      <c r="D718" s="11"/>
      <c r="E718" s="11"/>
      <c r="F718" s="11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3"/>
      <c r="T718" s="13"/>
      <c r="U718" s="13"/>
      <c r="V718" s="13"/>
      <c r="W718" s="13"/>
      <c r="X718" s="13"/>
      <c r="Y718" s="13"/>
      <c r="Z718" s="13"/>
      <c r="AA718" s="13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3"/>
      <c r="AO718" s="13"/>
      <c r="AP718" s="13"/>
      <c r="AQ718" s="13"/>
      <c r="AR718" s="13"/>
      <c r="AS718" s="13"/>
      <c r="AT718" s="13"/>
      <c r="AU718" s="13"/>
      <c r="AV718" s="13"/>
      <c r="AW718" s="14"/>
      <c r="AX718" s="14"/>
      <c r="AY718" s="14"/>
      <c r="AZ718" s="14"/>
      <c r="BA718" s="14"/>
    </row>
    <row r="719">
      <c r="A719" s="11"/>
      <c r="B719" s="11"/>
      <c r="C719" s="11"/>
      <c r="D719" s="11"/>
      <c r="E719" s="11"/>
      <c r="F719" s="11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3"/>
      <c r="T719" s="13"/>
      <c r="U719" s="13"/>
      <c r="V719" s="13"/>
      <c r="W719" s="13"/>
      <c r="X719" s="13"/>
      <c r="Y719" s="13"/>
      <c r="Z719" s="13"/>
      <c r="AA719" s="13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3"/>
      <c r="AO719" s="13"/>
      <c r="AP719" s="13"/>
      <c r="AQ719" s="13"/>
      <c r="AR719" s="13"/>
      <c r="AS719" s="13"/>
      <c r="AT719" s="13"/>
      <c r="AU719" s="13"/>
      <c r="AV719" s="13"/>
      <c r="AW719" s="14"/>
      <c r="AX719" s="14"/>
      <c r="AY719" s="14"/>
      <c r="AZ719" s="14"/>
      <c r="BA719" s="14"/>
    </row>
    <row r="720">
      <c r="A720" s="11"/>
      <c r="B720" s="11"/>
      <c r="C720" s="11"/>
      <c r="D720" s="11"/>
      <c r="E720" s="11"/>
      <c r="F720" s="11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3"/>
      <c r="T720" s="13"/>
      <c r="U720" s="13"/>
      <c r="V720" s="13"/>
      <c r="W720" s="13"/>
      <c r="X720" s="13"/>
      <c r="Y720" s="13"/>
      <c r="Z720" s="13"/>
      <c r="AA720" s="13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3"/>
      <c r="AO720" s="13"/>
      <c r="AP720" s="13"/>
      <c r="AQ720" s="13"/>
      <c r="AR720" s="13"/>
      <c r="AS720" s="13"/>
      <c r="AT720" s="13"/>
      <c r="AU720" s="13"/>
      <c r="AV720" s="13"/>
      <c r="AW720" s="14"/>
      <c r="AX720" s="14"/>
      <c r="AY720" s="14"/>
      <c r="AZ720" s="14"/>
      <c r="BA720" s="14"/>
    </row>
    <row r="721">
      <c r="A721" s="11"/>
      <c r="B721" s="11"/>
      <c r="C721" s="11"/>
      <c r="D721" s="11"/>
      <c r="E721" s="11"/>
      <c r="F721" s="11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3"/>
      <c r="T721" s="13"/>
      <c r="U721" s="13"/>
      <c r="V721" s="13"/>
      <c r="W721" s="13"/>
      <c r="X721" s="13"/>
      <c r="Y721" s="13"/>
      <c r="Z721" s="13"/>
      <c r="AA721" s="13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3"/>
      <c r="AO721" s="13"/>
      <c r="AP721" s="13"/>
      <c r="AQ721" s="13"/>
      <c r="AR721" s="13"/>
      <c r="AS721" s="13"/>
      <c r="AT721" s="13"/>
      <c r="AU721" s="13"/>
      <c r="AV721" s="13"/>
      <c r="AW721" s="14"/>
      <c r="AX721" s="14"/>
      <c r="AY721" s="14"/>
      <c r="AZ721" s="14"/>
      <c r="BA721" s="14"/>
    </row>
    <row r="722">
      <c r="A722" s="11"/>
      <c r="B722" s="11"/>
      <c r="C722" s="11"/>
      <c r="D722" s="11"/>
      <c r="E722" s="11"/>
      <c r="F722" s="11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3"/>
      <c r="T722" s="13"/>
      <c r="U722" s="13"/>
      <c r="V722" s="13"/>
      <c r="W722" s="13"/>
      <c r="X722" s="13"/>
      <c r="Y722" s="13"/>
      <c r="Z722" s="13"/>
      <c r="AA722" s="13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3"/>
      <c r="AO722" s="13"/>
      <c r="AP722" s="13"/>
      <c r="AQ722" s="13"/>
      <c r="AR722" s="13"/>
      <c r="AS722" s="13"/>
      <c r="AT722" s="13"/>
      <c r="AU722" s="13"/>
      <c r="AV722" s="13"/>
      <c r="AW722" s="14"/>
      <c r="AX722" s="14"/>
      <c r="AY722" s="14"/>
      <c r="AZ722" s="14"/>
      <c r="BA722" s="14"/>
    </row>
    <row r="723">
      <c r="A723" s="11"/>
      <c r="B723" s="11"/>
      <c r="C723" s="11"/>
      <c r="D723" s="11"/>
      <c r="E723" s="11"/>
      <c r="F723" s="11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3"/>
      <c r="T723" s="13"/>
      <c r="U723" s="13"/>
      <c r="V723" s="13"/>
      <c r="W723" s="13"/>
      <c r="X723" s="13"/>
      <c r="Y723" s="13"/>
      <c r="Z723" s="13"/>
      <c r="AA723" s="13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3"/>
      <c r="AO723" s="13"/>
      <c r="AP723" s="13"/>
      <c r="AQ723" s="13"/>
      <c r="AR723" s="13"/>
      <c r="AS723" s="13"/>
      <c r="AT723" s="13"/>
      <c r="AU723" s="13"/>
      <c r="AV723" s="13"/>
      <c r="AW723" s="14"/>
      <c r="AX723" s="14"/>
      <c r="AY723" s="14"/>
      <c r="AZ723" s="14"/>
      <c r="BA723" s="14"/>
    </row>
    <row r="724">
      <c r="A724" s="11"/>
      <c r="B724" s="11"/>
      <c r="C724" s="11"/>
      <c r="D724" s="11"/>
      <c r="E724" s="11"/>
      <c r="F724" s="11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3"/>
      <c r="T724" s="13"/>
      <c r="U724" s="13"/>
      <c r="V724" s="13"/>
      <c r="W724" s="13"/>
      <c r="X724" s="13"/>
      <c r="Y724" s="13"/>
      <c r="Z724" s="13"/>
      <c r="AA724" s="13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3"/>
      <c r="AO724" s="13"/>
      <c r="AP724" s="13"/>
      <c r="AQ724" s="13"/>
      <c r="AR724" s="13"/>
      <c r="AS724" s="13"/>
      <c r="AT724" s="13"/>
      <c r="AU724" s="13"/>
      <c r="AV724" s="13"/>
      <c r="AW724" s="14"/>
      <c r="AX724" s="14"/>
      <c r="AY724" s="14"/>
      <c r="AZ724" s="14"/>
      <c r="BA724" s="14"/>
    </row>
    <row r="725">
      <c r="A725" s="11"/>
      <c r="B725" s="11"/>
      <c r="C725" s="11"/>
      <c r="D725" s="11"/>
      <c r="E725" s="11"/>
      <c r="F725" s="11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3"/>
      <c r="T725" s="13"/>
      <c r="U725" s="13"/>
      <c r="V725" s="13"/>
      <c r="W725" s="13"/>
      <c r="X725" s="13"/>
      <c r="Y725" s="13"/>
      <c r="Z725" s="13"/>
      <c r="AA725" s="13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3"/>
      <c r="AO725" s="13"/>
      <c r="AP725" s="13"/>
      <c r="AQ725" s="13"/>
      <c r="AR725" s="13"/>
      <c r="AS725" s="13"/>
      <c r="AT725" s="13"/>
      <c r="AU725" s="13"/>
      <c r="AV725" s="13"/>
      <c r="AW725" s="14"/>
      <c r="AX725" s="14"/>
      <c r="AY725" s="14"/>
      <c r="AZ725" s="14"/>
      <c r="BA725" s="14"/>
    </row>
    <row r="726">
      <c r="A726" s="11"/>
      <c r="B726" s="11"/>
      <c r="C726" s="11"/>
      <c r="D726" s="11"/>
      <c r="E726" s="11"/>
      <c r="F726" s="11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3"/>
      <c r="T726" s="13"/>
      <c r="U726" s="13"/>
      <c r="V726" s="13"/>
      <c r="W726" s="13"/>
      <c r="X726" s="13"/>
      <c r="Y726" s="13"/>
      <c r="Z726" s="13"/>
      <c r="AA726" s="13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3"/>
      <c r="AO726" s="13"/>
      <c r="AP726" s="13"/>
      <c r="AQ726" s="13"/>
      <c r="AR726" s="13"/>
      <c r="AS726" s="13"/>
      <c r="AT726" s="13"/>
      <c r="AU726" s="13"/>
      <c r="AV726" s="13"/>
      <c r="AW726" s="14"/>
      <c r="AX726" s="14"/>
      <c r="AY726" s="14"/>
      <c r="AZ726" s="14"/>
      <c r="BA726" s="14"/>
    </row>
    <row r="727">
      <c r="A727" s="11"/>
      <c r="B727" s="11"/>
      <c r="C727" s="11"/>
      <c r="D727" s="11"/>
      <c r="E727" s="11"/>
      <c r="F727" s="11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3"/>
      <c r="T727" s="13"/>
      <c r="U727" s="13"/>
      <c r="V727" s="13"/>
      <c r="W727" s="13"/>
      <c r="X727" s="13"/>
      <c r="Y727" s="13"/>
      <c r="Z727" s="13"/>
      <c r="AA727" s="13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3"/>
      <c r="AO727" s="13"/>
      <c r="AP727" s="13"/>
      <c r="AQ727" s="13"/>
      <c r="AR727" s="13"/>
      <c r="AS727" s="13"/>
      <c r="AT727" s="13"/>
      <c r="AU727" s="13"/>
      <c r="AV727" s="13"/>
      <c r="AW727" s="14"/>
      <c r="AX727" s="14"/>
      <c r="AY727" s="14"/>
      <c r="AZ727" s="14"/>
      <c r="BA727" s="14"/>
    </row>
    <row r="728">
      <c r="A728" s="11"/>
      <c r="B728" s="11"/>
      <c r="C728" s="11"/>
      <c r="D728" s="11"/>
      <c r="E728" s="11"/>
      <c r="F728" s="11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3"/>
      <c r="T728" s="13"/>
      <c r="U728" s="13"/>
      <c r="V728" s="13"/>
      <c r="W728" s="13"/>
      <c r="X728" s="13"/>
      <c r="Y728" s="13"/>
      <c r="Z728" s="13"/>
      <c r="AA728" s="13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3"/>
      <c r="AO728" s="13"/>
      <c r="AP728" s="13"/>
      <c r="AQ728" s="13"/>
      <c r="AR728" s="13"/>
      <c r="AS728" s="13"/>
      <c r="AT728" s="13"/>
      <c r="AU728" s="13"/>
      <c r="AV728" s="13"/>
      <c r="AW728" s="14"/>
      <c r="AX728" s="14"/>
      <c r="AY728" s="14"/>
      <c r="AZ728" s="14"/>
      <c r="BA728" s="14"/>
    </row>
    <row r="729">
      <c r="A729" s="11"/>
      <c r="B729" s="11"/>
      <c r="C729" s="11"/>
      <c r="D729" s="11"/>
      <c r="E729" s="11"/>
      <c r="F729" s="11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3"/>
      <c r="T729" s="13"/>
      <c r="U729" s="13"/>
      <c r="V729" s="13"/>
      <c r="W729" s="13"/>
      <c r="X729" s="13"/>
      <c r="Y729" s="13"/>
      <c r="Z729" s="13"/>
      <c r="AA729" s="13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3"/>
      <c r="AO729" s="13"/>
      <c r="AP729" s="13"/>
      <c r="AQ729" s="13"/>
      <c r="AR729" s="13"/>
      <c r="AS729" s="13"/>
      <c r="AT729" s="13"/>
      <c r="AU729" s="13"/>
      <c r="AV729" s="13"/>
      <c r="AW729" s="14"/>
      <c r="AX729" s="14"/>
      <c r="AY729" s="14"/>
      <c r="AZ729" s="14"/>
      <c r="BA729" s="14"/>
    </row>
    <row r="730">
      <c r="A730" s="11"/>
      <c r="B730" s="11"/>
      <c r="C730" s="11"/>
      <c r="D730" s="11"/>
      <c r="E730" s="11"/>
      <c r="F730" s="11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3"/>
      <c r="T730" s="13"/>
      <c r="U730" s="13"/>
      <c r="V730" s="13"/>
      <c r="W730" s="13"/>
      <c r="X730" s="13"/>
      <c r="Y730" s="13"/>
      <c r="Z730" s="13"/>
      <c r="AA730" s="13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3"/>
      <c r="AO730" s="13"/>
      <c r="AP730" s="13"/>
      <c r="AQ730" s="13"/>
      <c r="AR730" s="13"/>
      <c r="AS730" s="13"/>
      <c r="AT730" s="13"/>
      <c r="AU730" s="13"/>
      <c r="AV730" s="13"/>
      <c r="AW730" s="14"/>
      <c r="AX730" s="14"/>
      <c r="AY730" s="14"/>
      <c r="AZ730" s="14"/>
      <c r="BA730" s="14"/>
    </row>
    <row r="731">
      <c r="A731" s="11"/>
      <c r="B731" s="11"/>
      <c r="C731" s="11"/>
      <c r="D731" s="11"/>
      <c r="E731" s="11"/>
      <c r="F731" s="11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3"/>
      <c r="T731" s="13"/>
      <c r="U731" s="13"/>
      <c r="V731" s="13"/>
      <c r="W731" s="13"/>
      <c r="X731" s="13"/>
      <c r="Y731" s="13"/>
      <c r="Z731" s="13"/>
      <c r="AA731" s="13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3"/>
      <c r="AO731" s="13"/>
      <c r="AP731" s="13"/>
      <c r="AQ731" s="13"/>
      <c r="AR731" s="13"/>
      <c r="AS731" s="13"/>
      <c r="AT731" s="13"/>
      <c r="AU731" s="13"/>
      <c r="AV731" s="13"/>
      <c r="AW731" s="14"/>
      <c r="AX731" s="14"/>
      <c r="AY731" s="14"/>
      <c r="AZ731" s="14"/>
      <c r="BA731" s="14"/>
    </row>
    <row r="732">
      <c r="A732" s="11"/>
      <c r="B732" s="11"/>
      <c r="C732" s="11"/>
      <c r="D732" s="11"/>
      <c r="E732" s="11"/>
      <c r="F732" s="11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3"/>
      <c r="T732" s="13"/>
      <c r="U732" s="13"/>
      <c r="V732" s="13"/>
      <c r="W732" s="13"/>
      <c r="X732" s="13"/>
      <c r="Y732" s="13"/>
      <c r="Z732" s="13"/>
      <c r="AA732" s="13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3"/>
      <c r="AO732" s="13"/>
      <c r="AP732" s="13"/>
      <c r="AQ732" s="13"/>
      <c r="AR732" s="13"/>
      <c r="AS732" s="13"/>
      <c r="AT732" s="13"/>
      <c r="AU732" s="13"/>
      <c r="AV732" s="13"/>
      <c r="AW732" s="14"/>
      <c r="AX732" s="14"/>
      <c r="AY732" s="14"/>
      <c r="AZ732" s="14"/>
      <c r="BA732" s="14"/>
    </row>
    <row r="733">
      <c r="A733" s="11"/>
      <c r="B733" s="11"/>
      <c r="C733" s="11"/>
      <c r="D733" s="11"/>
      <c r="E733" s="11"/>
      <c r="F733" s="11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3"/>
      <c r="T733" s="13"/>
      <c r="U733" s="13"/>
      <c r="V733" s="13"/>
      <c r="W733" s="13"/>
      <c r="X733" s="13"/>
      <c r="Y733" s="13"/>
      <c r="Z733" s="13"/>
      <c r="AA733" s="13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3"/>
      <c r="AO733" s="13"/>
      <c r="AP733" s="13"/>
      <c r="AQ733" s="13"/>
      <c r="AR733" s="13"/>
      <c r="AS733" s="13"/>
      <c r="AT733" s="13"/>
      <c r="AU733" s="13"/>
      <c r="AV733" s="13"/>
      <c r="AW733" s="14"/>
      <c r="AX733" s="14"/>
      <c r="AY733" s="14"/>
      <c r="AZ733" s="14"/>
      <c r="BA733" s="14"/>
    </row>
    <row r="734">
      <c r="A734" s="11"/>
      <c r="B734" s="11"/>
      <c r="C734" s="11"/>
      <c r="D734" s="11"/>
      <c r="E734" s="11"/>
      <c r="F734" s="11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3"/>
      <c r="T734" s="13"/>
      <c r="U734" s="13"/>
      <c r="V734" s="13"/>
      <c r="W734" s="13"/>
      <c r="X734" s="13"/>
      <c r="Y734" s="13"/>
      <c r="Z734" s="13"/>
      <c r="AA734" s="13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3"/>
      <c r="AO734" s="13"/>
      <c r="AP734" s="13"/>
      <c r="AQ734" s="13"/>
      <c r="AR734" s="13"/>
      <c r="AS734" s="13"/>
      <c r="AT734" s="13"/>
      <c r="AU734" s="13"/>
      <c r="AV734" s="13"/>
      <c r="AW734" s="14"/>
      <c r="AX734" s="14"/>
      <c r="AY734" s="14"/>
      <c r="AZ734" s="14"/>
      <c r="BA734" s="14"/>
    </row>
    <row r="735">
      <c r="A735" s="11"/>
      <c r="B735" s="11"/>
      <c r="C735" s="11"/>
      <c r="D735" s="11"/>
      <c r="E735" s="11"/>
      <c r="F735" s="11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3"/>
      <c r="T735" s="13"/>
      <c r="U735" s="13"/>
      <c r="V735" s="13"/>
      <c r="W735" s="13"/>
      <c r="X735" s="13"/>
      <c r="Y735" s="13"/>
      <c r="Z735" s="13"/>
      <c r="AA735" s="13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3"/>
      <c r="AO735" s="13"/>
      <c r="AP735" s="13"/>
      <c r="AQ735" s="13"/>
      <c r="AR735" s="13"/>
      <c r="AS735" s="13"/>
      <c r="AT735" s="13"/>
      <c r="AU735" s="13"/>
      <c r="AV735" s="13"/>
      <c r="AW735" s="14"/>
      <c r="AX735" s="14"/>
      <c r="AY735" s="14"/>
      <c r="AZ735" s="14"/>
      <c r="BA735" s="14"/>
    </row>
    <row r="736">
      <c r="A736" s="11"/>
      <c r="B736" s="11"/>
      <c r="C736" s="11"/>
      <c r="D736" s="11"/>
      <c r="E736" s="11"/>
      <c r="F736" s="11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3"/>
      <c r="T736" s="13"/>
      <c r="U736" s="13"/>
      <c r="V736" s="13"/>
      <c r="W736" s="13"/>
      <c r="X736" s="13"/>
      <c r="Y736" s="13"/>
      <c r="Z736" s="13"/>
      <c r="AA736" s="13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3"/>
      <c r="AO736" s="13"/>
      <c r="AP736" s="13"/>
      <c r="AQ736" s="13"/>
      <c r="AR736" s="13"/>
      <c r="AS736" s="13"/>
      <c r="AT736" s="13"/>
      <c r="AU736" s="13"/>
      <c r="AV736" s="13"/>
      <c r="AW736" s="14"/>
      <c r="AX736" s="14"/>
      <c r="AY736" s="14"/>
      <c r="AZ736" s="14"/>
      <c r="BA736" s="14"/>
    </row>
    <row r="737">
      <c r="A737" s="11"/>
      <c r="B737" s="11"/>
      <c r="C737" s="11"/>
      <c r="D737" s="11"/>
      <c r="E737" s="11"/>
      <c r="F737" s="11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3"/>
      <c r="T737" s="13"/>
      <c r="U737" s="13"/>
      <c r="V737" s="13"/>
      <c r="W737" s="13"/>
      <c r="X737" s="13"/>
      <c r="Y737" s="13"/>
      <c r="Z737" s="13"/>
      <c r="AA737" s="13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3"/>
      <c r="AO737" s="13"/>
      <c r="AP737" s="13"/>
      <c r="AQ737" s="13"/>
      <c r="AR737" s="13"/>
      <c r="AS737" s="13"/>
      <c r="AT737" s="13"/>
      <c r="AU737" s="13"/>
      <c r="AV737" s="13"/>
      <c r="AW737" s="14"/>
      <c r="AX737" s="14"/>
      <c r="AY737" s="14"/>
      <c r="AZ737" s="14"/>
      <c r="BA737" s="14"/>
    </row>
    <row r="738">
      <c r="A738" s="11"/>
      <c r="B738" s="11"/>
      <c r="C738" s="11"/>
      <c r="D738" s="11"/>
      <c r="E738" s="11"/>
      <c r="F738" s="11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3"/>
      <c r="T738" s="13"/>
      <c r="U738" s="13"/>
      <c r="V738" s="13"/>
      <c r="W738" s="13"/>
      <c r="X738" s="13"/>
      <c r="Y738" s="13"/>
      <c r="Z738" s="13"/>
      <c r="AA738" s="13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3"/>
      <c r="AO738" s="13"/>
      <c r="AP738" s="13"/>
      <c r="AQ738" s="13"/>
      <c r="AR738" s="13"/>
      <c r="AS738" s="13"/>
      <c r="AT738" s="13"/>
      <c r="AU738" s="13"/>
      <c r="AV738" s="13"/>
      <c r="AW738" s="14"/>
      <c r="AX738" s="14"/>
      <c r="AY738" s="14"/>
      <c r="AZ738" s="14"/>
      <c r="BA738" s="14"/>
    </row>
    <row r="739">
      <c r="A739" s="11"/>
      <c r="B739" s="11"/>
      <c r="C739" s="11"/>
      <c r="D739" s="11"/>
      <c r="E739" s="11"/>
      <c r="F739" s="11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3"/>
      <c r="T739" s="13"/>
      <c r="U739" s="13"/>
      <c r="V739" s="13"/>
      <c r="W739" s="13"/>
      <c r="X739" s="13"/>
      <c r="Y739" s="13"/>
      <c r="Z739" s="13"/>
      <c r="AA739" s="13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3"/>
      <c r="AO739" s="13"/>
      <c r="AP739" s="13"/>
      <c r="AQ739" s="13"/>
      <c r="AR739" s="13"/>
      <c r="AS739" s="13"/>
      <c r="AT739" s="13"/>
      <c r="AU739" s="13"/>
      <c r="AV739" s="13"/>
      <c r="AW739" s="14"/>
      <c r="AX739" s="14"/>
      <c r="AY739" s="14"/>
      <c r="AZ739" s="14"/>
      <c r="BA739" s="14"/>
    </row>
    <row r="740">
      <c r="A740" s="11"/>
      <c r="B740" s="11"/>
      <c r="C740" s="11"/>
      <c r="D740" s="11"/>
      <c r="E740" s="11"/>
      <c r="F740" s="11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3"/>
      <c r="T740" s="13"/>
      <c r="U740" s="13"/>
      <c r="V740" s="13"/>
      <c r="W740" s="13"/>
      <c r="X740" s="13"/>
      <c r="Y740" s="13"/>
      <c r="Z740" s="13"/>
      <c r="AA740" s="13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3"/>
      <c r="AO740" s="13"/>
      <c r="AP740" s="13"/>
      <c r="AQ740" s="13"/>
      <c r="AR740" s="13"/>
      <c r="AS740" s="13"/>
      <c r="AT740" s="13"/>
      <c r="AU740" s="13"/>
      <c r="AV740" s="13"/>
      <c r="AW740" s="14"/>
      <c r="AX740" s="14"/>
      <c r="AY740" s="14"/>
      <c r="AZ740" s="14"/>
      <c r="BA740" s="14"/>
    </row>
    <row r="741">
      <c r="A741" s="11"/>
      <c r="B741" s="11"/>
      <c r="C741" s="11"/>
      <c r="D741" s="11"/>
      <c r="E741" s="11"/>
      <c r="F741" s="11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3"/>
      <c r="T741" s="13"/>
      <c r="U741" s="13"/>
      <c r="V741" s="13"/>
      <c r="W741" s="13"/>
      <c r="X741" s="13"/>
      <c r="Y741" s="13"/>
      <c r="Z741" s="13"/>
      <c r="AA741" s="13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3"/>
      <c r="AO741" s="13"/>
      <c r="AP741" s="13"/>
      <c r="AQ741" s="13"/>
      <c r="AR741" s="13"/>
      <c r="AS741" s="13"/>
      <c r="AT741" s="13"/>
      <c r="AU741" s="13"/>
      <c r="AV741" s="13"/>
      <c r="AW741" s="14"/>
      <c r="AX741" s="14"/>
      <c r="AY741" s="14"/>
      <c r="AZ741" s="14"/>
      <c r="BA741" s="14"/>
    </row>
    <row r="742">
      <c r="A742" s="11"/>
      <c r="B742" s="11"/>
      <c r="C742" s="11"/>
      <c r="D742" s="11"/>
      <c r="E742" s="11"/>
      <c r="F742" s="11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3"/>
      <c r="T742" s="13"/>
      <c r="U742" s="13"/>
      <c r="V742" s="13"/>
      <c r="W742" s="13"/>
      <c r="X742" s="13"/>
      <c r="Y742" s="13"/>
      <c r="Z742" s="13"/>
      <c r="AA742" s="13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3"/>
      <c r="AO742" s="13"/>
      <c r="AP742" s="13"/>
      <c r="AQ742" s="13"/>
      <c r="AR742" s="13"/>
      <c r="AS742" s="13"/>
      <c r="AT742" s="13"/>
      <c r="AU742" s="13"/>
      <c r="AV742" s="13"/>
      <c r="AW742" s="14"/>
      <c r="AX742" s="14"/>
      <c r="AY742" s="14"/>
      <c r="AZ742" s="14"/>
      <c r="BA742" s="14"/>
    </row>
    <row r="743">
      <c r="A743" s="11"/>
      <c r="B743" s="11"/>
      <c r="C743" s="11"/>
      <c r="D743" s="11"/>
      <c r="E743" s="11"/>
      <c r="F743" s="11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3"/>
      <c r="T743" s="13"/>
      <c r="U743" s="13"/>
      <c r="V743" s="13"/>
      <c r="W743" s="13"/>
      <c r="X743" s="13"/>
      <c r="Y743" s="13"/>
      <c r="Z743" s="13"/>
      <c r="AA743" s="13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3"/>
      <c r="AO743" s="13"/>
      <c r="AP743" s="13"/>
      <c r="AQ743" s="13"/>
      <c r="AR743" s="13"/>
      <c r="AS743" s="13"/>
      <c r="AT743" s="13"/>
      <c r="AU743" s="13"/>
      <c r="AV743" s="13"/>
      <c r="AW743" s="14"/>
      <c r="AX743" s="14"/>
      <c r="AY743" s="14"/>
      <c r="AZ743" s="14"/>
      <c r="BA743" s="14"/>
    </row>
    <row r="744">
      <c r="A744" s="11"/>
      <c r="B744" s="11"/>
      <c r="C744" s="11"/>
      <c r="D744" s="11"/>
      <c r="E744" s="11"/>
      <c r="F744" s="11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3"/>
      <c r="T744" s="13"/>
      <c r="U744" s="13"/>
      <c r="V744" s="13"/>
      <c r="W744" s="13"/>
      <c r="X744" s="13"/>
      <c r="Y744" s="13"/>
      <c r="Z744" s="13"/>
      <c r="AA744" s="13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3"/>
      <c r="AO744" s="13"/>
      <c r="AP744" s="13"/>
      <c r="AQ744" s="13"/>
      <c r="AR744" s="13"/>
      <c r="AS744" s="13"/>
      <c r="AT744" s="13"/>
      <c r="AU744" s="13"/>
      <c r="AV744" s="13"/>
      <c r="AW744" s="14"/>
      <c r="AX744" s="14"/>
      <c r="AY744" s="14"/>
      <c r="AZ744" s="14"/>
      <c r="BA744" s="14"/>
    </row>
    <row r="745">
      <c r="A745" s="11"/>
      <c r="B745" s="11"/>
      <c r="C745" s="11"/>
      <c r="D745" s="11"/>
      <c r="E745" s="11"/>
      <c r="F745" s="11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3"/>
      <c r="T745" s="13"/>
      <c r="U745" s="13"/>
      <c r="V745" s="13"/>
      <c r="W745" s="13"/>
      <c r="X745" s="13"/>
      <c r="Y745" s="13"/>
      <c r="Z745" s="13"/>
      <c r="AA745" s="13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3"/>
      <c r="AO745" s="13"/>
      <c r="AP745" s="13"/>
      <c r="AQ745" s="13"/>
      <c r="AR745" s="13"/>
      <c r="AS745" s="13"/>
      <c r="AT745" s="13"/>
      <c r="AU745" s="13"/>
      <c r="AV745" s="13"/>
      <c r="AW745" s="14"/>
      <c r="AX745" s="14"/>
      <c r="AY745" s="14"/>
      <c r="AZ745" s="14"/>
      <c r="BA745" s="14"/>
    </row>
    <row r="746">
      <c r="A746" s="11"/>
      <c r="B746" s="11"/>
      <c r="C746" s="11"/>
      <c r="D746" s="11"/>
      <c r="E746" s="11"/>
      <c r="F746" s="11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3"/>
      <c r="T746" s="13"/>
      <c r="U746" s="13"/>
      <c r="V746" s="13"/>
      <c r="W746" s="13"/>
      <c r="X746" s="13"/>
      <c r="Y746" s="13"/>
      <c r="Z746" s="13"/>
      <c r="AA746" s="13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3"/>
      <c r="AO746" s="13"/>
      <c r="AP746" s="13"/>
      <c r="AQ746" s="13"/>
      <c r="AR746" s="13"/>
      <c r="AS746" s="13"/>
      <c r="AT746" s="13"/>
      <c r="AU746" s="13"/>
      <c r="AV746" s="13"/>
      <c r="AW746" s="14"/>
      <c r="AX746" s="14"/>
      <c r="AY746" s="14"/>
      <c r="AZ746" s="14"/>
      <c r="BA746" s="14"/>
    </row>
    <row r="747">
      <c r="A747" s="11"/>
      <c r="B747" s="11"/>
      <c r="C747" s="11"/>
      <c r="D747" s="11"/>
      <c r="E747" s="11"/>
      <c r="F747" s="11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3"/>
      <c r="T747" s="13"/>
      <c r="U747" s="13"/>
      <c r="V747" s="13"/>
      <c r="W747" s="13"/>
      <c r="X747" s="13"/>
      <c r="Y747" s="13"/>
      <c r="Z747" s="13"/>
      <c r="AA747" s="13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3"/>
      <c r="AO747" s="13"/>
      <c r="AP747" s="13"/>
      <c r="AQ747" s="13"/>
      <c r="AR747" s="13"/>
      <c r="AS747" s="13"/>
      <c r="AT747" s="13"/>
      <c r="AU747" s="13"/>
      <c r="AV747" s="13"/>
      <c r="AW747" s="14"/>
      <c r="AX747" s="14"/>
      <c r="AY747" s="14"/>
      <c r="AZ747" s="14"/>
      <c r="BA747" s="14"/>
    </row>
    <row r="748">
      <c r="A748" s="11"/>
      <c r="B748" s="11"/>
      <c r="C748" s="11"/>
      <c r="D748" s="11"/>
      <c r="E748" s="11"/>
      <c r="F748" s="11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3"/>
      <c r="T748" s="13"/>
      <c r="U748" s="13"/>
      <c r="V748" s="13"/>
      <c r="W748" s="13"/>
      <c r="X748" s="13"/>
      <c r="Y748" s="13"/>
      <c r="Z748" s="13"/>
      <c r="AA748" s="13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3"/>
      <c r="AO748" s="13"/>
      <c r="AP748" s="13"/>
      <c r="AQ748" s="13"/>
      <c r="AR748" s="13"/>
      <c r="AS748" s="13"/>
      <c r="AT748" s="13"/>
      <c r="AU748" s="13"/>
      <c r="AV748" s="13"/>
      <c r="AW748" s="14"/>
      <c r="AX748" s="14"/>
      <c r="AY748" s="14"/>
      <c r="AZ748" s="14"/>
      <c r="BA748" s="14"/>
    </row>
    <row r="749">
      <c r="A749" s="11"/>
      <c r="B749" s="11"/>
      <c r="C749" s="11"/>
      <c r="D749" s="11"/>
      <c r="E749" s="11"/>
      <c r="F749" s="11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3"/>
      <c r="T749" s="13"/>
      <c r="U749" s="13"/>
      <c r="V749" s="13"/>
      <c r="W749" s="13"/>
      <c r="X749" s="13"/>
      <c r="Y749" s="13"/>
      <c r="Z749" s="13"/>
      <c r="AA749" s="13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3"/>
      <c r="AO749" s="13"/>
      <c r="AP749" s="13"/>
      <c r="AQ749" s="13"/>
      <c r="AR749" s="13"/>
      <c r="AS749" s="13"/>
      <c r="AT749" s="13"/>
      <c r="AU749" s="13"/>
      <c r="AV749" s="13"/>
      <c r="AW749" s="14"/>
      <c r="AX749" s="14"/>
      <c r="AY749" s="14"/>
      <c r="AZ749" s="14"/>
      <c r="BA749" s="14"/>
    </row>
    <row r="750">
      <c r="A750" s="11"/>
      <c r="B750" s="11"/>
      <c r="C750" s="11"/>
      <c r="D750" s="11"/>
      <c r="E750" s="11"/>
      <c r="F750" s="11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3"/>
      <c r="T750" s="13"/>
      <c r="U750" s="13"/>
      <c r="V750" s="13"/>
      <c r="W750" s="13"/>
      <c r="X750" s="13"/>
      <c r="Y750" s="13"/>
      <c r="Z750" s="13"/>
      <c r="AA750" s="13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3"/>
      <c r="AO750" s="13"/>
      <c r="AP750" s="13"/>
      <c r="AQ750" s="13"/>
      <c r="AR750" s="13"/>
      <c r="AS750" s="13"/>
      <c r="AT750" s="13"/>
      <c r="AU750" s="13"/>
      <c r="AV750" s="13"/>
      <c r="AW750" s="14"/>
      <c r="AX750" s="14"/>
      <c r="AY750" s="14"/>
      <c r="AZ750" s="14"/>
      <c r="BA750" s="14"/>
    </row>
    <row r="751">
      <c r="A751" s="11"/>
      <c r="B751" s="11"/>
      <c r="C751" s="11"/>
      <c r="D751" s="11"/>
      <c r="E751" s="11"/>
      <c r="F751" s="11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3"/>
      <c r="T751" s="13"/>
      <c r="U751" s="13"/>
      <c r="V751" s="13"/>
      <c r="W751" s="13"/>
      <c r="X751" s="13"/>
      <c r="Y751" s="13"/>
      <c r="Z751" s="13"/>
      <c r="AA751" s="13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3"/>
      <c r="AO751" s="13"/>
      <c r="AP751" s="13"/>
      <c r="AQ751" s="13"/>
      <c r="AR751" s="13"/>
      <c r="AS751" s="13"/>
      <c r="AT751" s="13"/>
      <c r="AU751" s="13"/>
      <c r="AV751" s="13"/>
      <c r="AW751" s="14"/>
      <c r="AX751" s="14"/>
      <c r="AY751" s="14"/>
      <c r="AZ751" s="14"/>
      <c r="BA751" s="14"/>
    </row>
    <row r="752">
      <c r="A752" s="11"/>
      <c r="B752" s="11"/>
      <c r="C752" s="11"/>
      <c r="D752" s="11"/>
      <c r="E752" s="11"/>
      <c r="F752" s="11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3"/>
      <c r="T752" s="13"/>
      <c r="U752" s="13"/>
      <c r="V752" s="13"/>
      <c r="W752" s="13"/>
      <c r="X752" s="13"/>
      <c r="Y752" s="13"/>
      <c r="Z752" s="13"/>
      <c r="AA752" s="13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3"/>
      <c r="AO752" s="13"/>
      <c r="AP752" s="13"/>
      <c r="AQ752" s="13"/>
      <c r="AR752" s="13"/>
      <c r="AS752" s="13"/>
      <c r="AT752" s="13"/>
      <c r="AU752" s="13"/>
      <c r="AV752" s="13"/>
      <c r="AW752" s="14"/>
      <c r="AX752" s="14"/>
      <c r="AY752" s="14"/>
      <c r="AZ752" s="14"/>
      <c r="BA752" s="14"/>
    </row>
    <row r="753">
      <c r="A753" s="11"/>
      <c r="B753" s="11"/>
      <c r="C753" s="11"/>
      <c r="D753" s="11"/>
      <c r="E753" s="11"/>
      <c r="F753" s="11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3"/>
      <c r="T753" s="13"/>
      <c r="U753" s="13"/>
      <c r="V753" s="13"/>
      <c r="W753" s="13"/>
      <c r="X753" s="13"/>
      <c r="Y753" s="13"/>
      <c r="Z753" s="13"/>
      <c r="AA753" s="13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3"/>
      <c r="AO753" s="13"/>
      <c r="AP753" s="13"/>
      <c r="AQ753" s="13"/>
      <c r="AR753" s="13"/>
      <c r="AS753" s="13"/>
      <c r="AT753" s="13"/>
      <c r="AU753" s="13"/>
      <c r="AV753" s="13"/>
      <c r="AW753" s="14"/>
      <c r="AX753" s="14"/>
      <c r="AY753" s="14"/>
      <c r="AZ753" s="14"/>
      <c r="BA753" s="14"/>
    </row>
    <row r="754">
      <c r="A754" s="11"/>
      <c r="B754" s="11"/>
      <c r="C754" s="11"/>
      <c r="D754" s="11"/>
      <c r="E754" s="11"/>
      <c r="F754" s="11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3"/>
      <c r="T754" s="13"/>
      <c r="U754" s="13"/>
      <c r="V754" s="13"/>
      <c r="W754" s="13"/>
      <c r="X754" s="13"/>
      <c r="Y754" s="13"/>
      <c r="Z754" s="13"/>
      <c r="AA754" s="13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3"/>
      <c r="AO754" s="13"/>
      <c r="AP754" s="13"/>
      <c r="AQ754" s="13"/>
      <c r="AR754" s="13"/>
      <c r="AS754" s="13"/>
      <c r="AT754" s="13"/>
      <c r="AU754" s="13"/>
      <c r="AV754" s="13"/>
      <c r="AW754" s="14"/>
      <c r="AX754" s="14"/>
      <c r="AY754" s="14"/>
      <c r="AZ754" s="14"/>
      <c r="BA754" s="14"/>
    </row>
    <row r="755">
      <c r="A755" s="11"/>
      <c r="B755" s="11"/>
      <c r="C755" s="11"/>
      <c r="D755" s="11"/>
      <c r="E755" s="11"/>
      <c r="F755" s="11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3"/>
      <c r="T755" s="13"/>
      <c r="U755" s="13"/>
      <c r="V755" s="13"/>
      <c r="W755" s="13"/>
      <c r="X755" s="13"/>
      <c r="Y755" s="13"/>
      <c r="Z755" s="13"/>
      <c r="AA755" s="13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3"/>
      <c r="AO755" s="13"/>
      <c r="AP755" s="13"/>
      <c r="AQ755" s="13"/>
      <c r="AR755" s="13"/>
      <c r="AS755" s="13"/>
      <c r="AT755" s="13"/>
      <c r="AU755" s="13"/>
      <c r="AV755" s="13"/>
      <c r="AW755" s="14"/>
      <c r="AX755" s="14"/>
      <c r="AY755" s="14"/>
      <c r="AZ755" s="14"/>
      <c r="BA755" s="14"/>
    </row>
    <row r="756">
      <c r="A756" s="11"/>
      <c r="B756" s="11"/>
      <c r="C756" s="11"/>
      <c r="D756" s="11"/>
      <c r="E756" s="11"/>
      <c r="F756" s="11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3"/>
      <c r="T756" s="13"/>
      <c r="U756" s="13"/>
      <c r="V756" s="13"/>
      <c r="W756" s="13"/>
      <c r="X756" s="13"/>
      <c r="Y756" s="13"/>
      <c r="Z756" s="13"/>
      <c r="AA756" s="13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3"/>
      <c r="AO756" s="13"/>
      <c r="AP756" s="13"/>
      <c r="AQ756" s="13"/>
      <c r="AR756" s="13"/>
      <c r="AS756" s="13"/>
      <c r="AT756" s="13"/>
      <c r="AU756" s="13"/>
      <c r="AV756" s="13"/>
      <c r="AW756" s="14"/>
      <c r="AX756" s="14"/>
      <c r="AY756" s="14"/>
      <c r="AZ756" s="14"/>
      <c r="BA756" s="14"/>
    </row>
    <row r="757">
      <c r="A757" s="11"/>
      <c r="B757" s="11"/>
      <c r="C757" s="11"/>
      <c r="D757" s="11"/>
      <c r="E757" s="11"/>
      <c r="F757" s="11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3"/>
      <c r="T757" s="13"/>
      <c r="U757" s="13"/>
      <c r="V757" s="13"/>
      <c r="W757" s="13"/>
      <c r="X757" s="13"/>
      <c r="Y757" s="13"/>
      <c r="Z757" s="13"/>
      <c r="AA757" s="13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3"/>
      <c r="AO757" s="13"/>
      <c r="AP757" s="13"/>
      <c r="AQ757" s="13"/>
      <c r="AR757" s="13"/>
      <c r="AS757" s="13"/>
      <c r="AT757" s="13"/>
      <c r="AU757" s="13"/>
      <c r="AV757" s="13"/>
      <c r="AW757" s="14"/>
      <c r="AX757" s="14"/>
      <c r="AY757" s="14"/>
      <c r="AZ757" s="14"/>
      <c r="BA757" s="14"/>
    </row>
    <row r="758">
      <c r="A758" s="11"/>
      <c r="B758" s="11"/>
      <c r="C758" s="11"/>
      <c r="D758" s="11"/>
      <c r="E758" s="11"/>
      <c r="F758" s="11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3"/>
      <c r="T758" s="13"/>
      <c r="U758" s="13"/>
      <c r="V758" s="13"/>
      <c r="W758" s="13"/>
      <c r="X758" s="13"/>
      <c r="Y758" s="13"/>
      <c r="Z758" s="13"/>
      <c r="AA758" s="13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3"/>
      <c r="AO758" s="13"/>
      <c r="AP758" s="13"/>
      <c r="AQ758" s="13"/>
      <c r="AR758" s="13"/>
      <c r="AS758" s="13"/>
      <c r="AT758" s="13"/>
      <c r="AU758" s="13"/>
      <c r="AV758" s="13"/>
      <c r="AW758" s="14"/>
      <c r="AX758" s="14"/>
      <c r="AY758" s="14"/>
      <c r="AZ758" s="14"/>
      <c r="BA758" s="14"/>
    </row>
    <row r="759">
      <c r="A759" s="11"/>
      <c r="B759" s="11"/>
      <c r="C759" s="11"/>
      <c r="D759" s="11"/>
      <c r="E759" s="11"/>
      <c r="F759" s="11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3"/>
      <c r="T759" s="13"/>
      <c r="U759" s="13"/>
      <c r="V759" s="13"/>
      <c r="W759" s="13"/>
      <c r="X759" s="13"/>
      <c r="Y759" s="13"/>
      <c r="Z759" s="13"/>
      <c r="AA759" s="13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3"/>
      <c r="AO759" s="13"/>
      <c r="AP759" s="13"/>
      <c r="AQ759" s="13"/>
      <c r="AR759" s="13"/>
      <c r="AS759" s="13"/>
      <c r="AT759" s="13"/>
      <c r="AU759" s="13"/>
      <c r="AV759" s="13"/>
      <c r="AW759" s="14"/>
      <c r="AX759" s="14"/>
      <c r="AY759" s="14"/>
      <c r="AZ759" s="14"/>
      <c r="BA759" s="14"/>
    </row>
    <row r="760">
      <c r="A760" s="11"/>
      <c r="B760" s="11"/>
      <c r="C760" s="11"/>
      <c r="D760" s="11"/>
      <c r="E760" s="11"/>
      <c r="F760" s="11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3"/>
      <c r="T760" s="13"/>
      <c r="U760" s="13"/>
      <c r="V760" s="13"/>
      <c r="W760" s="13"/>
      <c r="X760" s="13"/>
      <c r="Y760" s="13"/>
      <c r="Z760" s="13"/>
      <c r="AA760" s="13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3"/>
      <c r="AO760" s="13"/>
      <c r="AP760" s="13"/>
      <c r="AQ760" s="13"/>
      <c r="AR760" s="13"/>
      <c r="AS760" s="13"/>
      <c r="AT760" s="13"/>
      <c r="AU760" s="13"/>
      <c r="AV760" s="13"/>
      <c r="AW760" s="14"/>
      <c r="AX760" s="14"/>
      <c r="AY760" s="14"/>
      <c r="AZ760" s="14"/>
      <c r="BA760" s="14"/>
    </row>
    <row r="761">
      <c r="A761" s="11"/>
      <c r="B761" s="11"/>
      <c r="C761" s="11"/>
      <c r="D761" s="11"/>
      <c r="E761" s="11"/>
      <c r="F761" s="11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3"/>
      <c r="T761" s="13"/>
      <c r="U761" s="13"/>
      <c r="V761" s="13"/>
      <c r="W761" s="13"/>
      <c r="X761" s="13"/>
      <c r="Y761" s="13"/>
      <c r="Z761" s="13"/>
      <c r="AA761" s="13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3"/>
      <c r="AO761" s="13"/>
      <c r="AP761" s="13"/>
      <c r="AQ761" s="13"/>
      <c r="AR761" s="13"/>
      <c r="AS761" s="13"/>
      <c r="AT761" s="13"/>
      <c r="AU761" s="13"/>
      <c r="AV761" s="13"/>
      <c r="AW761" s="14"/>
      <c r="AX761" s="14"/>
      <c r="AY761" s="14"/>
      <c r="AZ761" s="14"/>
      <c r="BA761" s="14"/>
    </row>
    <row r="762">
      <c r="A762" s="11"/>
      <c r="B762" s="11"/>
      <c r="C762" s="11"/>
      <c r="D762" s="11"/>
      <c r="E762" s="11"/>
      <c r="F762" s="11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3"/>
      <c r="T762" s="13"/>
      <c r="U762" s="13"/>
      <c r="V762" s="13"/>
      <c r="W762" s="13"/>
      <c r="X762" s="13"/>
      <c r="Y762" s="13"/>
      <c r="Z762" s="13"/>
      <c r="AA762" s="13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3"/>
      <c r="AO762" s="13"/>
      <c r="AP762" s="13"/>
      <c r="AQ762" s="13"/>
      <c r="AR762" s="13"/>
      <c r="AS762" s="13"/>
      <c r="AT762" s="13"/>
      <c r="AU762" s="13"/>
      <c r="AV762" s="13"/>
      <c r="AW762" s="14"/>
      <c r="AX762" s="14"/>
      <c r="AY762" s="14"/>
      <c r="AZ762" s="14"/>
      <c r="BA762" s="14"/>
    </row>
    <row r="763">
      <c r="A763" s="11"/>
      <c r="B763" s="11"/>
      <c r="C763" s="11"/>
      <c r="D763" s="11"/>
      <c r="E763" s="11"/>
      <c r="F763" s="11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3"/>
      <c r="T763" s="13"/>
      <c r="U763" s="13"/>
      <c r="V763" s="13"/>
      <c r="W763" s="13"/>
      <c r="X763" s="13"/>
      <c r="Y763" s="13"/>
      <c r="Z763" s="13"/>
      <c r="AA763" s="13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3"/>
      <c r="AO763" s="13"/>
      <c r="AP763" s="13"/>
      <c r="AQ763" s="13"/>
      <c r="AR763" s="13"/>
      <c r="AS763" s="13"/>
      <c r="AT763" s="13"/>
      <c r="AU763" s="13"/>
      <c r="AV763" s="13"/>
      <c r="AW763" s="14"/>
      <c r="AX763" s="14"/>
      <c r="AY763" s="14"/>
      <c r="AZ763" s="14"/>
      <c r="BA763" s="14"/>
    </row>
    <row r="764">
      <c r="A764" s="11"/>
      <c r="B764" s="11"/>
      <c r="C764" s="11"/>
      <c r="D764" s="11"/>
      <c r="E764" s="11"/>
      <c r="F764" s="11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3"/>
      <c r="T764" s="13"/>
      <c r="U764" s="13"/>
      <c r="V764" s="13"/>
      <c r="W764" s="13"/>
      <c r="X764" s="13"/>
      <c r="Y764" s="13"/>
      <c r="Z764" s="13"/>
      <c r="AA764" s="13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3"/>
      <c r="AO764" s="13"/>
      <c r="AP764" s="13"/>
      <c r="AQ764" s="13"/>
      <c r="AR764" s="13"/>
      <c r="AS764" s="13"/>
      <c r="AT764" s="13"/>
      <c r="AU764" s="13"/>
      <c r="AV764" s="13"/>
      <c r="AW764" s="14"/>
      <c r="AX764" s="14"/>
      <c r="AY764" s="14"/>
      <c r="AZ764" s="14"/>
      <c r="BA764" s="14"/>
    </row>
    <row r="765">
      <c r="A765" s="11"/>
      <c r="B765" s="11"/>
      <c r="C765" s="11"/>
      <c r="D765" s="11"/>
      <c r="E765" s="11"/>
      <c r="F765" s="11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3"/>
      <c r="T765" s="13"/>
      <c r="U765" s="13"/>
      <c r="V765" s="13"/>
      <c r="W765" s="13"/>
      <c r="X765" s="13"/>
      <c r="Y765" s="13"/>
      <c r="Z765" s="13"/>
      <c r="AA765" s="13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3"/>
      <c r="AO765" s="13"/>
      <c r="AP765" s="13"/>
      <c r="AQ765" s="13"/>
      <c r="AR765" s="13"/>
      <c r="AS765" s="13"/>
      <c r="AT765" s="13"/>
      <c r="AU765" s="13"/>
      <c r="AV765" s="13"/>
      <c r="AW765" s="14"/>
      <c r="AX765" s="14"/>
      <c r="AY765" s="14"/>
      <c r="AZ765" s="14"/>
      <c r="BA765" s="14"/>
    </row>
    <row r="766">
      <c r="A766" s="11"/>
      <c r="B766" s="11"/>
      <c r="C766" s="11"/>
      <c r="D766" s="11"/>
      <c r="E766" s="11"/>
      <c r="F766" s="11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3"/>
      <c r="T766" s="13"/>
      <c r="U766" s="13"/>
      <c r="V766" s="13"/>
      <c r="W766" s="13"/>
      <c r="X766" s="13"/>
      <c r="Y766" s="13"/>
      <c r="Z766" s="13"/>
      <c r="AA766" s="13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3"/>
      <c r="AO766" s="13"/>
      <c r="AP766" s="13"/>
      <c r="AQ766" s="13"/>
      <c r="AR766" s="13"/>
      <c r="AS766" s="13"/>
      <c r="AT766" s="13"/>
      <c r="AU766" s="13"/>
      <c r="AV766" s="13"/>
      <c r="AW766" s="14"/>
      <c r="AX766" s="14"/>
      <c r="AY766" s="14"/>
      <c r="AZ766" s="14"/>
      <c r="BA766" s="14"/>
    </row>
    <row r="767">
      <c r="A767" s="11"/>
      <c r="B767" s="11"/>
      <c r="C767" s="11"/>
      <c r="D767" s="11"/>
      <c r="E767" s="11"/>
      <c r="F767" s="11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3"/>
      <c r="T767" s="13"/>
      <c r="U767" s="13"/>
      <c r="V767" s="13"/>
      <c r="W767" s="13"/>
      <c r="X767" s="13"/>
      <c r="Y767" s="13"/>
      <c r="Z767" s="13"/>
      <c r="AA767" s="13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3"/>
      <c r="AO767" s="13"/>
      <c r="AP767" s="13"/>
      <c r="AQ767" s="13"/>
      <c r="AR767" s="13"/>
      <c r="AS767" s="13"/>
      <c r="AT767" s="13"/>
      <c r="AU767" s="13"/>
      <c r="AV767" s="13"/>
      <c r="AW767" s="14"/>
      <c r="AX767" s="14"/>
      <c r="AY767" s="14"/>
      <c r="AZ767" s="14"/>
      <c r="BA767" s="14"/>
    </row>
    <row r="768">
      <c r="A768" s="11"/>
      <c r="B768" s="11"/>
      <c r="C768" s="11"/>
      <c r="D768" s="11"/>
      <c r="E768" s="11"/>
      <c r="F768" s="11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3"/>
      <c r="T768" s="13"/>
      <c r="U768" s="13"/>
      <c r="V768" s="13"/>
      <c r="W768" s="13"/>
      <c r="X768" s="13"/>
      <c r="Y768" s="13"/>
      <c r="Z768" s="13"/>
      <c r="AA768" s="13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3"/>
      <c r="AO768" s="13"/>
      <c r="AP768" s="13"/>
      <c r="AQ768" s="13"/>
      <c r="AR768" s="13"/>
      <c r="AS768" s="13"/>
      <c r="AT768" s="13"/>
      <c r="AU768" s="13"/>
      <c r="AV768" s="13"/>
      <c r="AW768" s="14"/>
      <c r="AX768" s="14"/>
      <c r="AY768" s="14"/>
      <c r="AZ768" s="14"/>
      <c r="BA768" s="14"/>
    </row>
    <row r="769">
      <c r="A769" s="11"/>
      <c r="B769" s="11"/>
      <c r="C769" s="11"/>
      <c r="D769" s="11"/>
      <c r="E769" s="11"/>
      <c r="F769" s="11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3"/>
      <c r="T769" s="13"/>
      <c r="U769" s="13"/>
      <c r="V769" s="13"/>
      <c r="W769" s="13"/>
      <c r="X769" s="13"/>
      <c r="Y769" s="13"/>
      <c r="Z769" s="13"/>
      <c r="AA769" s="13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3"/>
      <c r="AO769" s="13"/>
      <c r="AP769" s="13"/>
      <c r="AQ769" s="13"/>
      <c r="AR769" s="13"/>
      <c r="AS769" s="13"/>
      <c r="AT769" s="13"/>
      <c r="AU769" s="13"/>
      <c r="AV769" s="13"/>
      <c r="AW769" s="14"/>
      <c r="AX769" s="14"/>
      <c r="AY769" s="14"/>
      <c r="AZ769" s="14"/>
      <c r="BA769" s="14"/>
    </row>
    <row r="770">
      <c r="A770" s="11"/>
      <c r="B770" s="11"/>
      <c r="C770" s="11"/>
      <c r="D770" s="11"/>
      <c r="E770" s="11"/>
      <c r="F770" s="11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3"/>
      <c r="T770" s="13"/>
      <c r="U770" s="13"/>
      <c r="V770" s="13"/>
      <c r="W770" s="13"/>
      <c r="X770" s="13"/>
      <c r="Y770" s="13"/>
      <c r="Z770" s="13"/>
      <c r="AA770" s="13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3"/>
      <c r="AO770" s="13"/>
      <c r="AP770" s="13"/>
      <c r="AQ770" s="13"/>
      <c r="AR770" s="13"/>
      <c r="AS770" s="13"/>
      <c r="AT770" s="13"/>
      <c r="AU770" s="13"/>
      <c r="AV770" s="13"/>
      <c r="AW770" s="14"/>
      <c r="AX770" s="14"/>
      <c r="AY770" s="14"/>
      <c r="AZ770" s="14"/>
      <c r="BA770" s="14"/>
    </row>
    <row r="771">
      <c r="A771" s="11"/>
      <c r="B771" s="11"/>
      <c r="C771" s="11"/>
      <c r="D771" s="11"/>
      <c r="E771" s="11"/>
      <c r="F771" s="11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3"/>
      <c r="T771" s="13"/>
      <c r="U771" s="13"/>
      <c r="V771" s="13"/>
      <c r="W771" s="13"/>
      <c r="X771" s="13"/>
      <c r="Y771" s="13"/>
      <c r="Z771" s="13"/>
      <c r="AA771" s="13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3"/>
      <c r="AO771" s="13"/>
      <c r="AP771" s="13"/>
      <c r="AQ771" s="13"/>
      <c r="AR771" s="13"/>
      <c r="AS771" s="13"/>
      <c r="AT771" s="13"/>
      <c r="AU771" s="13"/>
      <c r="AV771" s="13"/>
      <c r="AW771" s="14"/>
      <c r="AX771" s="14"/>
      <c r="AY771" s="14"/>
      <c r="AZ771" s="14"/>
      <c r="BA771" s="14"/>
    </row>
    <row r="772">
      <c r="A772" s="11"/>
      <c r="B772" s="11"/>
      <c r="C772" s="11"/>
      <c r="D772" s="11"/>
      <c r="E772" s="11"/>
      <c r="F772" s="11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3"/>
      <c r="T772" s="13"/>
      <c r="U772" s="13"/>
      <c r="V772" s="13"/>
      <c r="W772" s="13"/>
      <c r="X772" s="13"/>
      <c r="Y772" s="13"/>
      <c r="Z772" s="13"/>
      <c r="AA772" s="13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3"/>
      <c r="AO772" s="13"/>
      <c r="AP772" s="13"/>
      <c r="AQ772" s="13"/>
      <c r="AR772" s="13"/>
      <c r="AS772" s="13"/>
      <c r="AT772" s="13"/>
      <c r="AU772" s="13"/>
      <c r="AV772" s="13"/>
      <c r="AW772" s="14"/>
      <c r="AX772" s="14"/>
      <c r="AY772" s="14"/>
      <c r="AZ772" s="14"/>
      <c r="BA772" s="14"/>
    </row>
    <row r="773">
      <c r="A773" s="11"/>
      <c r="B773" s="11"/>
      <c r="C773" s="11"/>
      <c r="D773" s="11"/>
      <c r="E773" s="11"/>
      <c r="F773" s="11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3"/>
      <c r="T773" s="13"/>
      <c r="U773" s="13"/>
      <c r="V773" s="13"/>
      <c r="W773" s="13"/>
      <c r="X773" s="13"/>
      <c r="Y773" s="13"/>
      <c r="Z773" s="13"/>
      <c r="AA773" s="13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3"/>
      <c r="AO773" s="13"/>
      <c r="AP773" s="13"/>
      <c r="AQ773" s="13"/>
      <c r="AR773" s="13"/>
      <c r="AS773" s="13"/>
      <c r="AT773" s="13"/>
      <c r="AU773" s="13"/>
      <c r="AV773" s="13"/>
      <c r="AW773" s="14"/>
      <c r="AX773" s="14"/>
      <c r="AY773" s="14"/>
      <c r="AZ773" s="14"/>
      <c r="BA773" s="14"/>
    </row>
    <row r="774">
      <c r="A774" s="11"/>
      <c r="B774" s="11"/>
      <c r="C774" s="11"/>
      <c r="D774" s="11"/>
      <c r="E774" s="11"/>
      <c r="F774" s="11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3"/>
      <c r="T774" s="13"/>
      <c r="U774" s="13"/>
      <c r="V774" s="13"/>
      <c r="W774" s="13"/>
      <c r="X774" s="13"/>
      <c r="Y774" s="13"/>
      <c r="Z774" s="13"/>
      <c r="AA774" s="13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3"/>
      <c r="AO774" s="13"/>
      <c r="AP774" s="13"/>
      <c r="AQ774" s="13"/>
      <c r="AR774" s="13"/>
      <c r="AS774" s="13"/>
      <c r="AT774" s="13"/>
      <c r="AU774" s="13"/>
      <c r="AV774" s="13"/>
      <c r="AW774" s="14"/>
      <c r="AX774" s="14"/>
      <c r="AY774" s="14"/>
      <c r="AZ774" s="14"/>
      <c r="BA774" s="14"/>
    </row>
    <row r="775">
      <c r="A775" s="11"/>
      <c r="B775" s="11"/>
      <c r="C775" s="11"/>
      <c r="D775" s="11"/>
      <c r="E775" s="11"/>
      <c r="F775" s="11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3"/>
      <c r="T775" s="13"/>
      <c r="U775" s="13"/>
      <c r="V775" s="13"/>
      <c r="W775" s="13"/>
      <c r="X775" s="13"/>
      <c r="Y775" s="13"/>
      <c r="Z775" s="13"/>
      <c r="AA775" s="13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3"/>
      <c r="AO775" s="13"/>
      <c r="AP775" s="13"/>
      <c r="AQ775" s="13"/>
      <c r="AR775" s="13"/>
      <c r="AS775" s="13"/>
      <c r="AT775" s="13"/>
      <c r="AU775" s="13"/>
      <c r="AV775" s="13"/>
      <c r="AW775" s="14"/>
      <c r="AX775" s="14"/>
      <c r="AY775" s="14"/>
      <c r="AZ775" s="14"/>
      <c r="BA775" s="14"/>
    </row>
    <row r="776">
      <c r="A776" s="11"/>
      <c r="B776" s="11"/>
      <c r="C776" s="11"/>
      <c r="D776" s="11"/>
      <c r="E776" s="11"/>
      <c r="F776" s="11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3"/>
      <c r="T776" s="13"/>
      <c r="U776" s="13"/>
      <c r="V776" s="13"/>
      <c r="W776" s="13"/>
      <c r="X776" s="13"/>
      <c r="Y776" s="13"/>
      <c r="Z776" s="13"/>
      <c r="AA776" s="13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3"/>
      <c r="AO776" s="13"/>
      <c r="AP776" s="13"/>
      <c r="AQ776" s="13"/>
      <c r="AR776" s="13"/>
      <c r="AS776" s="13"/>
      <c r="AT776" s="13"/>
      <c r="AU776" s="13"/>
      <c r="AV776" s="13"/>
      <c r="AW776" s="14"/>
      <c r="AX776" s="14"/>
      <c r="AY776" s="14"/>
      <c r="AZ776" s="14"/>
      <c r="BA776" s="14"/>
    </row>
    <row r="777">
      <c r="A777" s="11"/>
      <c r="B777" s="11"/>
      <c r="C777" s="11"/>
      <c r="D777" s="11"/>
      <c r="E777" s="11"/>
      <c r="F777" s="11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3"/>
      <c r="T777" s="13"/>
      <c r="U777" s="13"/>
      <c r="V777" s="13"/>
      <c r="W777" s="13"/>
      <c r="X777" s="13"/>
      <c r="Y777" s="13"/>
      <c r="Z777" s="13"/>
      <c r="AA777" s="13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3"/>
      <c r="AO777" s="13"/>
      <c r="AP777" s="13"/>
      <c r="AQ777" s="13"/>
      <c r="AR777" s="13"/>
      <c r="AS777" s="13"/>
      <c r="AT777" s="13"/>
      <c r="AU777" s="13"/>
      <c r="AV777" s="13"/>
      <c r="AW777" s="14"/>
      <c r="AX777" s="14"/>
      <c r="AY777" s="14"/>
      <c r="AZ777" s="14"/>
      <c r="BA777" s="14"/>
    </row>
    <row r="778">
      <c r="A778" s="11"/>
      <c r="B778" s="11"/>
      <c r="C778" s="11"/>
      <c r="D778" s="11"/>
      <c r="E778" s="11"/>
      <c r="F778" s="11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3"/>
      <c r="T778" s="13"/>
      <c r="U778" s="13"/>
      <c r="V778" s="13"/>
      <c r="W778" s="13"/>
      <c r="X778" s="13"/>
      <c r="Y778" s="13"/>
      <c r="Z778" s="13"/>
      <c r="AA778" s="13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3"/>
      <c r="AO778" s="13"/>
      <c r="AP778" s="13"/>
      <c r="AQ778" s="13"/>
      <c r="AR778" s="13"/>
      <c r="AS778" s="13"/>
      <c r="AT778" s="13"/>
      <c r="AU778" s="13"/>
      <c r="AV778" s="13"/>
      <c r="AW778" s="14"/>
      <c r="AX778" s="14"/>
      <c r="AY778" s="14"/>
      <c r="AZ778" s="14"/>
      <c r="BA778" s="14"/>
    </row>
    <row r="779">
      <c r="A779" s="11"/>
      <c r="B779" s="11"/>
      <c r="C779" s="11"/>
      <c r="D779" s="11"/>
      <c r="E779" s="11"/>
      <c r="F779" s="11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3"/>
      <c r="T779" s="13"/>
      <c r="U779" s="13"/>
      <c r="V779" s="13"/>
      <c r="W779" s="13"/>
      <c r="X779" s="13"/>
      <c r="Y779" s="13"/>
      <c r="Z779" s="13"/>
      <c r="AA779" s="13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3"/>
      <c r="AO779" s="13"/>
      <c r="AP779" s="13"/>
      <c r="AQ779" s="13"/>
      <c r="AR779" s="13"/>
      <c r="AS779" s="13"/>
      <c r="AT779" s="13"/>
      <c r="AU779" s="13"/>
      <c r="AV779" s="13"/>
      <c r="AW779" s="14"/>
      <c r="AX779" s="14"/>
      <c r="AY779" s="14"/>
      <c r="AZ779" s="14"/>
      <c r="BA779" s="14"/>
    </row>
    <row r="780">
      <c r="A780" s="11"/>
      <c r="B780" s="11"/>
      <c r="C780" s="11"/>
      <c r="D780" s="11"/>
      <c r="E780" s="11"/>
      <c r="F780" s="11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3"/>
      <c r="T780" s="13"/>
      <c r="U780" s="13"/>
      <c r="V780" s="13"/>
      <c r="W780" s="13"/>
      <c r="X780" s="13"/>
      <c r="Y780" s="13"/>
      <c r="Z780" s="13"/>
      <c r="AA780" s="13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3"/>
      <c r="AO780" s="13"/>
      <c r="AP780" s="13"/>
      <c r="AQ780" s="13"/>
      <c r="AR780" s="13"/>
      <c r="AS780" s="13"/>
      <c r="AT780" s="13"/>
      <c r="AU780" s="13"/>
      <c r="AV780" s="13"/>
      <c r="AW780" s="14"/>
      <c r="AX780" s="14"/>
      <c r="AY780" s="14"/>
      <c r="AZ780" s="14"/>
      <c r="BA780" s="14"/>
    </row>
    <row r="781">
      <c r="A781" s="11"/>
      <c r="B781" s="11"/>
      <c r="C781" s="11"/>
      <c r="D781" s="11"/>
      <c r="E781" s="11"/>
      <c r="F781" s="11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3"/>
      <c r="T781" s="13"/>
      <c r="U781" s="13"/>
      <c r="V781" s="13"/>
      <c r="W781" s="13"/>
      <c r="X781" s="13"/>
      <c r="Y781" s="13"/>
      <c r="Z781" s="13"/>
      <c r="AA781" s="13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3"/>
      <c r="AO781" s="13"/>
      <c r="AP781" s="13"/>
      <c r="AQ781" s="13"/>
      <c r="AR781" s="13"/>
      <c r="AS781" s="13"/>
      <c r="AT781" s="13"/>
      <c r="AU781" s="13"/>
      <c r="AV781" s="13"/>
      <c r="AW781" s="14"/>
      <c r="AX781" s="14"/>
      <c r="AY781" s="14"/>
      <c r="AZ781" s="14"/>
      <c r="BA781" s="14"/>
    </row>
    <row r="782">
      <c r="A782" s="11"/>
      <c r="B782" s="11"/>
      <c r="C782" s="11"/>
      <c r="D782" s="11"/>
      <c r="E782" s="11"/>
      <c r="F782" s="11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3"/>
      <c r="T782" s="13"/>
      <c r="U782" s="13"/>
      <c r="V782" s="13"/>
      <c r="W782" s="13"/>
      <c r="X782" s="13"/>
      <c r="Y782" s="13"/>
      <c r="Z782" s="13"/>
      <c r="AA782" s="13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3"/>
      <c r="AO782" s="13"/>
      <c r="AP782" s="13"/>
      <c r="AQ782" s="13"/>
      <c r="AR782" s="13"/>
      <c r="AS782" s="13"/>
      <c r="AT782" s="13"/>
      <c r="AU782" s="13"/>
      <c r="AV782" s="13"/>
      <c r="AW782" s="14"/>
      <c r="AX782" s="14"/>
      <c r="AY782" s="14"/>
      <c r="AZ782" s="14"/>
      <c r="BA782" s="14"/>
    </row>
    <row r="783">
      <c r="A783" s="11"/>
      <c r="B783" s="11"/>
      <c r="C783" s="11"/>
      <c r="D783" s="11"/>
      <c r="E783" s="11"/>
      <c r="F783" s="11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3"/>
      <c r="T783" s="13"/>
      <c r="U783" s="13"/>
      <c r="V783" s="13"/>
      <c r="W783" s="13"/>
      <c r="X783" s="13"/>
      <c r="Y783" s="13"/>
      <c r="Z783" s="13"/>
      <c r="AA783" s="13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3"/>
      <c r="AO783" s="13"/>
      <c r="AP783" s="13"/>
      <c r="AQ783" s="13"/>
      <c r="AR783" s="13"/>
      <c r="AS783" s="13"/>
      <c r="AT783" s="13"/>
      <c r="AU783" s="13"/>
      <c r="AV783" s="13"/>
      <c r="AW783" s="14"/>
      <c r="AX783" s="14"/>
      <c r="AY783" s="14"/>
      <c r="AZ783" s="14"/>
      <c r="BA783" s="14"/>
    </row>
    <row r="784">
      <c r="A784" s="11"/>
      <c r="B784" s="11"/>
      <c r="C784" s="11"/>
      <c r="D784" s="11"/>
      <c r="E784" s="11"/>
      <c r="F784" s="11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3"/>
      <c r="T784" s="13"/>
      <c r="U784" s="13"/>
      <c r="V784" s="13"/>
      <c r="W784" s="13"/>
      <c r="X784" s="13"/>
      <c r="Y784" s="13"/>
      <c r="Z784" s="13"/>
      <c r="AA784" s="13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3"/>
      <c r="AO784" s="13"/>
      <c r="AP784" s="13"/>
      <c r="AQ784" s="13"/>
      <c r="AR784" s="13"/>
      <c r="AS784" s="13"/>
      <c r="AT784" s="13"/>
      <c r="AU784" s="13"/>
      <c r="AV784" s="13"/>
      <c r="AW784" s="14"/>
      <c r="AX784" s="14"/>
      <c r="AY784" s="14"/>
      <c r="AZ784" s="14"/>
      <c r="BA784" s="14"/>
    </row>
    <row r="785">
      <c r="A785" s="11"/>
      <c r="B785" s="11"/>
      <c r="C785" s="11"/>
      <c r="D785" s="11"/>
      <c r="E785" s="11"/>
      <c r="F785" s="11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3"/>
      <c r="T785" s="13"/>
      <c r="U785" s="13"/>
      <c r="V785" s="13"/>
      <c r="W785" s="13"/>
      <c r="X785" s="13"/>
      <c r="Y785" s="13"/>
      <c r="Z785" s="13"/>
      <c r="AA785" s="13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3"/>
      <c r="AO785" s="13"/>
      <c r="AP785" s="13"/>
      <c r="AQ785" s="13"/>
      <c r="AR785" s="13"/>
      <c r="AS785" s="13"/>
      <c r="AT785" s="13"/>
      <c r="AU785" s="13"/>
      <c r="AV785" s="13"/>
      <c r="AW785" s="14"/>
      <c r="AX785" s="14"/>
      <c r="AY785" s="14"/>
      <c r="AZ785" s="14"/>
      <c r="BA785" s="14"/>
    </row>
    <row r="786">
      <c r="A786" s="11"/>
      <c r="B786" s="11"/>
      <c r="C786" s="11"/>
      <c r="D786" s="11"/>
      <c r="E786" s="11"/>
      <c r="F786" s="11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3"/>
      <c r="T786" s="13"/>
      <c r="U786" s="13"/>
      <c r="V786" s="13"/>
      <c r="W786" s="13"/>
      <c r="X786" s="13"/>
      <c r="Y786" s="13"/>
      <c r="Z786" s="13"/>
      <c r="AA786" s="13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3"/>
      <c r="AO786" s="13"/>
      <c r="AP786" s="13"/>
      <c r="AQ786" s="13"/>
      <c r="AR786" s="13"/>
      <c r="AS786" s="13"/>
      <c r="AT786" s="13"/>
      <c r="AU786" s="13"/>
      <c r="AV786" s="13"/>
      <c r="AW786" s="14"/>
      <c r="AX786" s="14"/>
      <c r="AY786" s="14"/>
      <c r="AZ786" s="14"/>
      <c r="BA786" s="14"/>
    </row>
    <row r="787">
      <c r="A787" s="11"/>
      <c r="B787" s="11"/>
      <c r="C787" s="11"/>
      <c r="D787" s="11"/>
      <c r="E787" s="11"/>
      <c r="F787" s="11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3"/>
      <c r="T787" s="13"/>
      <c r="U787" s="13"/>
      <c r="V787" s="13"/>
      <c r="W787" s="13"/>
      <c r="X787" s="13"/>
      <c r="Y787" s="13"/>
      <c r="Z787" s="13"/>
      <c r="AA787" s="13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3"/>
      <c r="AO787" s="13"/>
      <c r="AP787" s="13"/>
      <c r="AQ787" s="13"/>
      <c r="AR787" s="13"/>
      <c r="AS787" s="13"/>
      <c r="AT787" s="13"/>
      <c r="AU787" s="13"/>
      <c r="AV787" s="13"/>
      <c r="AW787" s="14"/>
      <c r="AX787" s="14"/>
      <c r="AY787" s="14"/>
      <c r="AZ787" s="14"/>
      <c r="BA787" s="14"/>
    </row>
    <row r="788">
      <c r="A788" s="11"/>
      <c r="B788" s="11"/>
      <c r="C788" s="11"/>
      <c r="D788" s="11"/>
      <c r="E788" s="11"/>
      <c r="F788" s="11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3"/>
      <c r="T788" s="13"/>
      <c r="U788" s="13"/>
      <c r="V788" s="13"/>
      <c r="W788" s="13"/>
      <c r="X788" s="13"/>
      <c r="Y788" s="13"/>
      <c r="Z788" s="13"/>
      <c r="AA788" s="13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3"/>
      <c r="AO788" s="13"/>
      <c r="AP788" s="13"/>
      <c r="AQ788" s="13"/>
      <c r="AR788" s="13"/>
      <c r="AS788" s="13"/>
      <c r="AT788" s="13"/>
      <c r="AU788" s="13"/>
      <c r="AV788" s="13"/>
      <c r="AW788" s="14"/>
      <c r="AX788" s="14"/>
      <c r="AY788" s="14"/>
      <c r="AZ788" s="14"/>
      <c r="BA788" s="14"/>
    </row>
    <row r="789">
      <c r="A789" s="11"/>
      <c r="B789" s="11"/>
      <c r="C789" s="11"/>
      <c r="D789" s="11"/>
      <c r="E789" s="11"/>
      <c r="F789" s="11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3"/>
      <c r="T789" s="13"/>
      <c r="U789" s="13"/>
      <c r="V789" s="13"/>
      <c r="W789" s="13"/>
      <c r="X789" s="13"/>
      <c r="Y789" s="13"/>
      <c r="Z789" s="13"/>
      <c r="AA789" s="13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3"/>
      <c r="AO789" s="13"/>
      <c r="AP789" s="13"/>
      <c r="AQ789" s="13"/>
      <c r="AR789" s="13"/>
      <c r="AS789" s="13"/>
      <c r="AT789" s="13"/>
      <c r="AU789" s="13"/>
      <c r="AV789" s="13"/>
      <c r="AW789" s="14"/>
      <c r="AX789" s="14"/>
      <c r="AY789" s="14"/>
      <c r="AZ789" s="14"/>
      <c r="BA789" s="14"/>
    </row>
    <row r="790">
      <c r="A790" s="11"/>
      <c r="B790" s="11"/>
      <c r="C790" s="11"/>
      <c r="D790" s="11"/>
      <c r="E790" s="11"/>
      <c r="F790" s="11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3"/>
      <c r="T790" s="13"/>
      <c r="U790" s="13"/>
      <c r="V790" s="13"/>
      <c r="W790" s="13"/>
      <c r="X790" s="13"/>
      <c r="Y790" s="13"/>
      <c r="Z790" s="13"/>
      <c r="AA790" s="13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3"/>
      <c r="AO790" s="13"/>
      <c r="AP790" s="13"/>
      <c r="AQ790" s="13"/>
      <c r="AR790" s="13"/>
      <c r="AS790" s="13"/>
      <c r="AT790" s="13"/>
      <c r="AU790" s="13"/>
      <c r="AV790" s="13"/>
      <c r="AW790" s="14"/>
      <c r="AX790" s="14"/>
      <c r="AY790" s="14"/>
      <c r="AZ790" s="14"/>
      <c r="BA790" s="14"/>
    </row>
    <row r="791">
      <c r="A791" s="11"/>
      <c r="B791" s="11"/>
      <c r="C791" s="11"/>
      <c r="D791" s="11"/>
      <c r="E791" s="11"/>
      <c r="F791" s="11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3"/>
      <c r="T791" s="13"/>
      <c r="U791" s="13"/>
      <c r="V791" s="13"/>
      <c r="W791" s="13"/>
      <c r="X791" s="13"/>
      <c r="Y791" s="13"/>
      <c r="Z791" s="13"/>
      <c r="AA791" s="13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3"/>
      <c r="AO791" s="13"/>
      <c r="AP791" s="13"/>
      <c r="AQ791" s="13"/>
      <c r="AR791" s="13"/>
      <c r="AS791" s="13"/>
      <c r="AT791" s="13"/>
      <c r="AU791" s="13"/>
      <c r="AV791" s="13"/>
      <c r="AW791" s="14"/>
      <c r="AX791" s="14"/>
      <c r="AY791" s="14"/>
      <c r="AZ791" s="14"/>
      <c r="BA791" s="14"/>
    </row>
    <row r="792">
      <c r="A792" s="11"/>
      <c r="B792" s="11"/>
      <c r="C792" s="11"/>
      <c r="D792" s="11"/>
      <c r="E792" s="11"/>
      <c r="F792" s="11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3"/>
      <c r="T792" s="13"/>
      <c r="U792" s="13"/>
      <c r="V792" s="13"/>
      <c r="W792" s="13"/>
      <c r="X792" s="13"/>
      <c r="Y792" s="13"/>
      <c r="Z792" s="13"/>
      <c r="AA792" s="13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3"/>
      <c r="AO792" s="13"/>
      <c r="AP792" s="13"/>
      <c r="AQ792" s="13"/>
      <c r="AR792" s="13"/>
      <c r="AS792" s="13"/>
      <c r="AT792" s="13"/>
      <c r="AU792" s="13"/>
      <c r="AV792" s="13"/>
      <c r="AW792" s="14"/>
      <c r="AX792" s="14"/>
      <c r="AY792" s="14"/>
      <c r="AZ792" s="14"/>
      <c r="BA792" s="14"/>
    </row>
    <row r="793">
      <c r="A793" s="11"/>
      <c r="B793" s="11"/>
      <c r="C793" s="11"/>
      <c r="D793" s="11"/>
      <c r="E793" s="11"/>
      <c r="F793" s="11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3"/>
      <c r="T793" s="13"/>
      <c r="U793" s="13"/>
      <c r="V793" s="13"/>
      <c r="W793" s="13"/>
      <c r="X793" s="13"/>
      <c r="Y793" s="13"/>
      <c r="Z793" s="13"/>
      <c r="AA793" s="13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3"/>
      <c r="AO793" s="13"/>
      <c r="AP793" s="13"/>
      <c r="AQ793" s="13"/>
      <c r="AR793" s="13"/>
      <c r="AS793" s="13"/>
      <c r="AT793" s="13"/>
      <c r="AU793" s="13"/>
      <c r="AV793" s="13"/>
      <c r="AW793" s="14"/>
      <c r="AX793" s="14"/>
      <c r="AY793" s="14"/>
      <c r="AZ793" s="14"/>
      <c r="BA793" s="14"/>
    </row>
    <row r="794">
      <c r="A794" s="11"/>
      <c r="B794" s="11"/>
      <c r="C794" s="11"/>
      <c r="D794" s="11"/>
      <c r="E794" s="11"/>
      <c r="F794" s="11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3"/>
      <c r="T794" s="13"/>
      <c r="U794" s="13"/>
      <c r="V794" s="13"/>
      <c r="W794" s="13"/>
      <c r="X794" s="13"/>
      <c r="Y794" s="13"/>
      <c r="Z794" s="13"/>
      <c r="AA794" s="13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3"/>
      <c r="AO794" s="13"/>
      <c r="AP794" s="13"/>
      <c r="AQ794" s="13"/>
      <c r="AR794" s="13"/>
      <c r="AS794" s="13"/>
      <c r="AT794" s="13"/>
      <c r="AU794" s="13"/>
      <c r="AV794" s="13"/>
      <c r="AW794" s="14"/>
      <c r="AX794" s="14"/>
      <c r="AY794" s="14"/>
      <c r="AZ794" s="14"/>
      <c r="BA794" s="14"/>
    </row>
    <row r="795">
      <c r="A795" s="11"/>
      <c r="B795" s="11"/>
      <c r="C795" s="11"/>
      <c r="D795" s="11"/>
      <c r="E795" s="11"/>
      <c r="F795" s="11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3"/>
      <c r="T795" s="13"/>
      <c r="U795" s="13"/>
      <c r="V795" s="13"/>
      <c r="W795" s="13"/>
      <c r="X795" s="13"/>
      <c r="Y795" s="13"/>
      <c r="Z795" s="13"/>
      <c r="AA795" s="13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3"/>
      <c r="AO795" s="13"/>
      <c r="AP795" s="13"/>
      <c r="AQ795" s="13"/>
      <c r="AR795" s="13"/>
      <c r="AS795" s="13"/>
      <c r="AT795" s="13"/>
      <c r="AU795" s="13"/>
      <c r="AV795" s="13"/>
      <c r="AW795" s="14"/>
      <c r="AX795" s="14"/>
      <c r="AY795" s="14"/>
      <c r="AZ795" s="14"/>
      <c r="BA795" s="14"/>
    </row>
    <row r="796">
      <c r="A796" s="11"/>
      <c r="B796" s="11"/>
      <c r="C796" s="11"/>
      <c r="D796" s="11"/>
      <c r="E796" s="11"/>
      <c r="F796" s="11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3"/>
      <c r="T796" s="13"/>
      <c r="U796" s="13"/>
      <c r="V796" s="13"/>
      <c r="W796" s="13"/>
      <c r="X796" s="13"/>
      <c r="Y796" s="13"/>
      <c r="Z796" s="13"/>
      <c r="AA796" s="13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3"/>
      <c r="AO796" s="13"/>
      <c r="AP796" s="13"/>
      <c r="AQ796" s="13"/>
      <c r="AR796" s="13"/>
      <c r="AS796" s="13"/>
      <c r="AT796" s="13"/>
      <c r="AU796" s="13"/>
      <c r="AV796" s="13"/>
      <c r="AW796" s="14"/>
      <c r="AX796" s="14"/>
      <c r="AY796" s="14"/>
      <c r="AZ796" s="14"/>
      <c r="BA796" s="14"/>
    </row>
    <row r="797">
      <c r="A797" s="11"/>
      <c r="B797" s="11"/>
      <c r="C797" s="11"/>
      <c r="D797" s="11"/>
      <c r="E797" s="11"/>
      <c r="F797" s="11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3"/>
      <c r="T797" s="13"/>
      <c r="U797" s="13"/>
      <c r="V797" s="13"/>
      <c r="W797" s="13"/>
      <c r="X797" s="13"/>
      <c r="Y797" s="13"/>
      <c r="Z797" s="13"/>
      <c r="AA797" s="13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3"/>
      <c r="AO797" s="13"/>
      <c r="AP797" s="13"/>
      <c r="AQ797" s="13"/>
      <c r="AR797" s="13"/>
      <c r="AS797" s="13"/>
      <c r="AT797" s="13"/>
      <c r="AU797" s="13"/>
      <c r="AV797" s="13"/>
      <c r="AW797" s="14"/>
      <c r="AX797" s="14"/>
      <c r="AY797" s="14"/>
      <c r="AZ797" s="14"/>
      <c r="BA797" s="14"/>
    </row>
    <row r="798">
      <c r="A798" s="11"/>
      <c r="B798" s="11"/>
      <c r="C798" s="11"/>
      <c r="D798" s="11"/>
      <c r="E798" s="11"/>
      <c r="F798" s="11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3"/>
      <c r="T798" s="13"/>
      <c r="U798" s="13"/>
      <c r="V798" s="13"/>
      <c r="W798" s="13"/>
      <c r="X798" s="13"/>
      <c r="Y798" s="13"/>
      <c r="Z798" s="13"/>
      <c r="AA798" s="13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3"/>
      <c r="AO798" s="13"/>
      <c r="AP798" s="13"/>
      <c r="AQ798" s="13"/>
      <c r="AR798" s="13"/>
      <c r="AS798" s="13"/>
      <c r="AT798" s="13"/>
      <c r="AU798" s="13"/>
      <c r="AV798" s="13"/>
      <c r="AW798" s="14"/>
      <c r="AX798" s="14"/>
      <c r="AY798" s="14"/>
      <c r="AZ798" s="14"/>
      <c r="BA798" s="14"/>
    </row>
    <row r="799">
      <c r="A799" s="11"/>
      <c r="B799" s="11"/>
      <c r="C799" s="11"/>
      <c r="D799" s="11"/>
      <c r="E799" s="11"/>
      <c r="F799" s="11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3"/>
      <c r="T799" s="13"/>
      <c r="U799" s="13"/>
      <c r="V799" s="13"/>
      <c r="W799" s="13"/>
      <c r="X799" s="13"/>
      <c r="Y799" s="13"/>
      <c r="Z799" s="13"/>
      <c r="AA799" s="13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3"/>
      <c r="AO799" s="13"/>
      <c r="AP799" s="13"/>
      <c r="AQ799" s="13"/>
      <c r="AR799" s="13"/>
      <c r="AS799" s="13"/>
      <c r="AT799" s="13"/>
      <c r="AU799" s="13"/>
      <c r="AV799" s="13"/>
      <c r="AW799" s="14"/>
      <c r="AX799" s="14"/>
      <c r="AY799" s="14"/>
      <c r="AZ799" s="14"/>
      <c r="BA799" s="14"/>
    </row>
    <row r="800">
      <c r="A800" s="11"/>
      <c r="B800" s="11"/>
      <c r="C800" s="11"/>
      <c r="D800" s="11"/>
      <c r="E800" s="11"/>
      <c r="F800" s="11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3"/>
      <c r="T800" s="13"/>
      <c r="U800" s="13"/>
      <c r="V800" s="13"/>
      <c r="W800" s="13"/>
      <c r="X800" s="13"/>
      <c r="Y800" s="13"/>
      <c r="Z800" s="13"/>
      <c r="AA800" s="13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3"/>
      <c r="AO800" s="13"/>
      <c r="AP800" s="13"/>
      <c r="AQ800" s="13"/>
      <c r="AR800" s="13"/>
      <c r="AS800" s="13"/>
      <c r="AT800" s="13"/>
      <c r="AU800" s="13"/>
      <c r="AV800" s="13"/>
      <c r="AW800" s="14"/>
      <c r="AX800" s="14"/>
      <c r="AY800" s="14"/>
      <c r="AZ800" s="14"/>
      <c r="BA800" s="14"/>
    </row>
    <row r="801">
      <c r="A801" s="11"/>
      <c r="B801" s="11"/>
      <c r="C801" s="11"/>
      <c r="D801" s="11"/>
      <c r="E801" s="11"/>
      <c r="F801" s="11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3"/>
      <c r="T801" s="13"/>
      <c r="U801" s="13"/>
      <c r="V801" s="13"/>
      <c r="W801" s="13"/>
      <c r="X801" s="13"/>
      <c r="Y801" s="13"/>
      <c r="Z801" s="13"/>
      <c r="AA801" s="13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3"/>
      <c r="AO801" s="13"/>
      <c r="AP801" s="13"/>
      <c r="AQ801" s="13"/>
      <c r="AR801" s="13"/>
      <c r="AS801" s="13"/>
      <c r="AT801" s="13"/>
      <c r="AU801" s="13"/>
      <c r="AV801" s="13"/>
      <c r="AW801" s="14"/>
      <c r="AX801" s="14"/>
      <c r="AY801" s="14"/>
      <c r="AZ801" s="14"/>
      <c r="BA801" s="14"/>
    </row>
    <row r="802">
      <c r="A802" s="11"/>
      <c r="B802" s="11"/>
      <c r="C802" s="11"/>
      <c r="D802" s="11"/>
      <c r="E802" s="11"/>
      <c r="F802" s="11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3"/>
      <c r="T802" s="13"/>
      <c r="U802" s="13"/>
      <c r="V802" s="13"/>
      <c r="W802" s="13"/>
      <c r="X802" s="13"/>
      <c r="Y802" s="13"/>
      <c r="Z802" s="13"/>
      <c r="AA802" s="13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3"/>
      <c r="AO802" s="13"/>
      <c r="AP802" s="13"/>
      <c r="AQ802" s="13"/>
      <c r="AR802" s="13"/>
      <c r="AS802" s="13"/>
      <c r="AT802" s="13"/>
      <c r="AU802" s="13"/>
      <c r="AV802" s="13"/>
      <c r="AW802" s="14"/>
      <c r="AX802" s="14"/>
      <c r="AY802" s="14"/>
      <c r="AZ802" s="14"/>
      <c r="BA802" s="14"/>
    </row>
    <row r="803">
      <c r="A803" s="11"/>
      <c r="B803" s="11"/>
      <c r="C803" s="11"/>
      <c r="D803" s="11"/>
      <c r="E803" s="11"/>
      <c r="F803" s="11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3"/>
      <c r="T803" s="13"/>
      <c r="U803" s="13"/>
      <c r="V803" s="13"/>
      <c r="W803" s="13"/>
      <c r="X803" s="13"/>
      <c r="Y803" s="13"/>
      <c r="Z803" s="13"/>
      <c r="AA803" s="13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3"/>
      <c r="AO803" s="13"/>
      <c r="AP803" s="13"/>
      <c r="AQ803" s="13"/>
      <c r="AR803" s="13"/>
      <c r="AS803" s="13"/>
      <c r="AT803" s="13"/>
      <c r="AU803" s="13"/>
      <c r="AV803" s="13"/>
      <c r="AW803" s="14"/>
      <c r="AX803" s="14"/>
      <c r="AY803" s="14"/>
      <c r="AZ803" s="14"/>
      <c r="BA803" s="14"/>
    </row>
    <row r="804">
      <c r="A804" s="11"/>
      <c r="B804" s="11"/>
      <c r="C804" s="11"/>
      <c r="D804" s="11"/>
      <c r="E804" s="11"/>
      <c r="F804" s="11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3"/>
      <c r="T804" s="13"/>
      <c r="U804" s="13"/>
      <c r="V804" s="13"/>
      <c r="W804" s="13"/>
      <c r="X804" s="13"/>
      <c r="Y804" s="13"/>
      <c r="Z804" s="13"/>
      <c r="AA804" s="13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3"/>
      <c r="AO804" s="13"/>
      <c r="AP804" s="13"/>
      <c r="AQ804" s="13"/>
      <c r="AR804" s="13"/>
      <c r="AS804" s="13"/>
      <c r="AT804" s="13"/>
      <c r="AU804" s="13"/>
      <c r="AV804" s="13"/>
      <c r="AW804" s="14"/>
      <c r="AX804" s="14"/>
      <c r="AY804" s="14"/>
      <c r="AZ804" s="14"/>
      <c r="BA804" s="14"/>
    </row>
    <row r="805">
      <c r="A805" s="11"/>
      <c r="B805" s="11"/>
      <c r="C805" s="11"/>
      <c r="D805" s="11"/>
      <c r="E805" s="11"/>
      <c r="F805" s="11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3"/>
      <c r="T805" s="13"/>
      <c r="U805" s="13"/>
      <c r="V805" s="13"/>
      <c r="W805" s="13"/>
      <c r="X805" s="13"/>
      <c r="Y805" s="13"/>
      <c r="Z805" s="13"/>
      <c r="AA805" s="13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3"/>
      <c r="AO805" s="13"/>
      <c r="AP805" s="13"/>
      <c r="AQ805" s="13"/>
      <c r="AR805" s="13"/>
      <c r="AS805" s="13"/>
      <c r="AT805" s="13"/>
      <c r="AU805" s="13"/>
      <c r="AV805" s="13"/>
      <c r="AW805" s="14"/>
      <c r="AX805" s="14"/>
      <c r="AY805" s="14"/>
      <c r="AZ805" s="14"/>
      <c r="BA805" s="14"/>
    </row>
    <row r="806">
      <c r="A806" s="11"/>
      <c r="B806" s="11"/>
      <c r="C806" s="11"/>
      <c r="D806" s="11"/>
      <c r="E806" s="11"/>
      <c r="F806" s="11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3"/>
      <c r="T806" s="13"/>
      <c r="U806" s="13"/>
      <c r="V806" s="13"/>
      <c r="W806" s="13"/>
      <c r="X806" s="13"/>
      <c r="Y806" s="13"/>
      <c r="Z806" s="13"/>
      <c r="AA806" s="13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3"/>
      <c r="AO806" s="13"/>
      <c r="AP806" s="13"/>
      <c r="AQ806" s="13"/>
      <c r="AR806" s="13"/>
      <c r="AS806" s="13"/>
      <c r="AT806" s="13"/>
      <c r="AU806" s="13"/>
      <c r="AV806" s="13"/>
      <c r="AW806" s="14"/>
      <c r="AX806" s="14"/>
      <c r="AY806" s="14"/>
      <c r="AZ806" s="14"/>
      <c r="BA806" s="14"/>
    </row>
    <row r="807">
      <c r="A807" s="11"/>
      <c r="B807" s="11"/>
      <c r="C807" s="11"/>
      <c r="D807" s="11"/>
      <c r="E807" s="11"/>
      <c r="F807" s="11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3"/>
      <c r="T807" s="13"/>
      <c r="U807" s="13"/>
      <c r="V807" s="13"/>
      <c r="W807" s="13"/>
      <c r="X807" s="13"/>
      <c r="Y807" s="13"/>
      <c r="Z807" s="13"/>
      <c r="AA807" s="13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3"/>
      <c r="AO807" s="13"/>
      <c r="AP807" s="13"/>
      <c r="AQ807" s="13"/>
      <c r="AR807" s="13"/>
      <c r="AS807" s="13"/>
      <c r="AT807" s="13"/>
      <c r="AU807" s="13"/>
      <c r="AV807" s="13"/>
      <c r="AW807" s="14"/>
      <c r="AX807" s="14"/>
      <c r="AY807" s="14"/>
      <c r="AZ807" s="14"/>
      <c r="BA807" s="14"/>
    </row>
    <row r="808">
      <c r="A808" s="11"/>
      <c r="B808" s="11"/>
      <c r="C808" s="11"/>
      <c r="D808" s="11"/>
      <c r="E808" s="11"/>
      <c r="F808" s="11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3"/>
      <c r="T808" s="13"/>
      <c r="U808" s="13"/>
      <c r="V808" s="13"/>
      <c r="W808" s="13"/>
      <c r="X808" s="13"/>
      <c r="Y808" s="13"/>
      <c r="Z808" s="13"/>
      <c r="AA808" s="13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3"/>
      <c r="AO808" s="13"/>
      <c r="AP808" s="13"/>
      <c r="AQ808" s="13"/>
      <c r="AR808" s="13"/>
      <c r="AS808" s="13"/>
      <c r="AT808" s="13"/>
      <c r="AU808" s="13"/>
      <c r="AV808" s="13"/>
      <c r="AW808" s="14"/>
      <c r="AX808" s="14"/>
      <c r="AY808" s="14"/>
      <c r="AZ808" s="14"/>
      <c r="BA808" s="14"/>
    </row>
    <row r="809">
      <c r="A809" s="11"/>
      <c r="B809" s="11"/>
      <c r="C809" s="11"/>
      <c r="D809" s="11"/>
      <c r="E809" s="11"/>
      <c r="F809" s="11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3"/>
      <c r="T809" s="13"/>
      <c r="U809" s="13"/>
      <c r="V809" s="13"/>
      <c r="W809" s="13"/>
      <c r="X809" s="13"/>
      <c r="Y809" s="13"/>
      <c r="Z809" s="13"/>
      <c r="AA809" s="13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3"/>
      <c r="AO809" s="13"/>
      <c r="AP809" s="13"/>
      <c r="AQ809" s="13"/>
      <c r="AR809" s="13"/>
      <c r="AS809" s="13"/>
      <c r="AT809" s="13"/>
      <c r="AU809" s="13"/>
      <c r="AV809" s="13"/>
      <c r="AW809" s="14"/>
      <c r="AX809" s="14"/>
      <c r="AY809" s="14"/>
      <c r="AZ809" s="14"/>
      <c r="BA809" s="14"/>
    </row>
    <row r="810">
      <c r="A810" s="11"/>
      <c r="B810" s="11"/>
      <c r="C810" s="11"/>
      <c r="D810" s="11"/>
      <c r="E810" s="11"/>
      <c r="F810" s="11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3"/>
      <c r="T810" s="13"/>
      <c r="U810" s="13"/>
      <c r="V810" s="13"/>
      <c r="W810" s="13"/>
      <c r="X810" s="13"/>
      <c r="Y810" s="13"/>
      <c r="Z810" s="13"/>
      <c r="AA810" s="13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3"/>
      <c r="AO810" s="13"/>
      <c r="AP810" s="13"/>
      <c r="AQ810" s="13"/>
      <c r="AR810" s="13"/>
      <c r="AS810" s="13"/>
      <c r="AT810" s="13"/>
      <c r="AU810" s="13"/>
      <c r="AV810" s="13"/>
      <c r="AW810" s="14"/>
      <c r="AX810" s="14"/>
      <c r="AY810" s="14"/>
      <c r="AZ810" s="14"/>
      <c r="BA810" s="14"/>
    </row>
    <row r="811">
      <c r="A811" s="11"/>
      <c r="B811" s="11"/>
      <c r="C811" s="11"/>
      <c r="D811" s="11"/>
      <c r="E811" s="11"/>
      <c r="F811" s="11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3"/>
      <c r="T811" s="13"/>
      <c r="U811" s="13"/>
      <c r="V811" s="13"/>
      <c r="W811" s="13"/>
      <c r="X811" s="13"/>
      <c r="Y811" s="13"/>
      <c r="Z811" s="13"/>
      <c r="AA811" s="13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3"/>
      <c r="AO811" s="13"/>
      <c r="AP811" s="13"/>
      <c r="AQ811" s="13"/>
      <c r="AR811" s="13"/>
      <c r="AS811" s="13"/>
      <c r="AT811" s="13"/>
      <c r="AU811" s="13"/>
      <c r="AV811" s="13"/>
      <c r="AW811" s="14"/>
      <c r="AX811" s="14"/>
      <c r="AY811" s="14"/>
      <c r="AZ811" s="14"/>
      <c r="BA811" s="14"/>
    </row>
    <row r="812">
      <c r="A812" s="11"/>
      <c r="B812" s="11"/>
      <c r="C812" s="11"/>
      <c r="D812" s="11"/>
      <c r="E812" s="11"/>
      <c r="F812" s="11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3"/>
      <c r="T812" s="13"/>
      <c r="U812" s="13"/>
      <c r="V812" s="13"/>
      <c r="W812" s="13"/>
      <c r="X812" s="13"/>
      <c r="Y812" s="13"/>
      <c r="Z812" s="13"/>
      <c r="AA812" s="13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3"/>
      <c r="AO812" s="13"/>
      <c r="AP812" s="13"/>
      <c r="AQ812" s="13"/>
      <c r="AR812" s="13"/>
      <c r="AS812" s="13"/>
      <c r="AT812" s="13"/>
      <c r="AU812" s="13"/>
      <c r="AV812" s="13"/>
      <c r="AW812" s="14"/>
      <c r="AX812" s="14"/>
      <c r="AY812" s="14"/>
      <c r="AZ812" s="14"/>
      <c r="BA812" s="14"/>
    </row>
    <row r="813">
      <c r="A813" s="11"/>
      <c r="B813" s="11"/>
      <c r="C813" s="11"/>
      <c r="D813" s="11"/>
      <c r="E813" s="11"/>
      <c r="F813" s="11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3"/>
      <c r="T813" s="13"/>
      <c r="U813" s="13"/>
      <c r="V813" s="13"/>
      <c r="W813" s="13"/>
      <c r="X813" s="13"/>
      <c r="Y813" s="13"/>
      <c r="Z813" s="13"/>
      <c r="AA813" s="13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3"/>
      <c r="AO813" s="13"/>
      <c r="AP813" s="13"/>
      <c r="AQ813" s="13"/>
      <c r="AR813" s="13"/>
      <c r="AS813" s="13"/>
      <c r="AT813" s="13"/>
      <c r="AU813" s="13"/>
      <c r="AV813" s="13"/>
      <c r="AW813" s="14"/>
      <c r="AX813" s="14"/>
      <c r="AY813" s="14"/>
      <c r="AZ813" s="14"/>
      <c r="BA813" s="14"/>
    </row>
    <row r="814">
      <c r="A814" s="11"/>
      <c r="B814" s="11"/>
      <c r="C814" s="11"/>
      <c r="D814" s="11"/>
      <c r="E814" s="11"/>
      <c r="F814" s="11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3"/>
      <c r="T814" s="13"/>
      <c r="U814" s="13"/>
      <c r="V814" s="13"/>
      <c r="W814" s="13"/>
      <c r="X814" s="13"/>
      <c r="Y814" s="13"/>
      <c r="Z814" s="13"/>
      <c r="AA814" s="13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3"/>
      <c r="AO814" s="13"/>
      <c r="AP814" s="13"/>
      <c r="AQ814" s="13"/>
      <c r="AR814" s="13"/>
      <c r="AS814" s="13"/>
      <c r="AT814" s="13"/>
      <c r="AU814" s="13"/>
      <c r="AV814" s="13"/>
      <c r="AW814" s="14"/>
      <c r="AX814" s="14"/>
      <c r="AY814" s="14"/>
      <c r="AZ814" s="14"/>
      <c r="BA814" s="14"/>
    </row>
    <row r="815">
      <c r="A815" s="11"/>
      <c r="B815" s="11"/>
      <c r="C815" s="11"/>
      <c r="D815" s="11"/>
      <c r="E815" s="11"/>
      <c r="F815" s="11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3"/>
      <c r="T815" s="13"/>
      <c r="U815" s="13"/>
      <c r="V815" s="13"/>
      <c r="W815" s="13"/>
      <c r="X815" s="13"/>
      <c r="Y815" s="13"/>
      <c r="Z815" s="13"/>
      <c r="AA815" s="13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3"/>
      <c r="AO815" s="13"/>
      <c r="AP815" s="13"/>
      <c r="AQ815" s="13"/>
      <c r="AR815" s="13"/>
      <c r="AS815" s="13"/>
      <c r="AT815" s="13"/>
      <c r="AU815" s="13"/>
      <c r="AV815" s="13"/>
      <c r="AW815" s="14"/>
      <c r="AX815" s="14"/>
      <c r="AY815" s="14"/>
      <c r="AZ815" s="14"/>
      <c r="BA815" s="14"/>
    </row>
    <row r="816">
      <c r="A816" s="11"/>
      <c r="B816" s="11"/>
      <c r="C816" s="11"/>
      <c r="D816" s="11"/>
      <c r="E816" s="11"/>
      <c r="F816" s="11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3"/>
      <c r="T816" s="13"/>
      <c r="U816" s="13"/>
      <c r="V816" s="13"/>
      <c r="W816" s="13"/>
      <c r="X816" s="13"/>
      <c r="Y816" s="13"/>
      <c r="Z816" s="13"/>
      <c r="AA816" s="13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3"/>
      <c r="AO816" s="13"/>
      <c r="AP816" s="13"/>
      <c r="AQ816" s="13"/>
      <c r="AR816" s="13"/>
      <c r="AS816" s="13"/>
      <c r="AT816" s="13"/>
      <c r="AU816" s="13"/>
      <c r="AV816" s="13"/>
      <c r="AW816" s="14"/>
      <c r="AX816" s="14"/>
      <c r="AY816" s="14"/>
      <c r="AZ816" s="14"/>
      <c r="BA816" s="14"/>
    </row>
    <row r="817">
      <c r="A817" s="11"/>
      <c r="B817" s="11"/>
      <c r="C817" s="11"/>
      <c r="D817" s="11"/>
      <c r="E817" s="11"/>
      <c r="F817" s="11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3"/>
      <c r="T817" s="13"/>
      <c r="U817" s="13"/>
      <c r="V817" s="13"/>
      <c r="W817" s="13"/>
      <c r="X817" s="13"/>
      <c r="Y817" s="13"/>
      <c r="Z817" s="13"/>
      <c r="AA817" s="13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3"/>
      <c r="AO817" s="13"/>
      <c r="AP817" s="13"/>
      <c r="AQ817" s="13"/>
      <c r="AR817" s="13"/>
      <c r="AS817" s="13"/>
      <c r="AT817" s="13"/>
      <c r="AU817" s="13"/>
      <c r="AV817" s="13"/>
      <c r="AW817" s="14"/>
      <c r="AX817" s="14"/>
      <c r="AY817" s="14"/>
      <c r="AZ817" s="14"/>
      <c r="BA817" s="14"/>
    </row>
    <row r="818">
      <c r="A818" s="11"/>
      <c r="B818" s="11"/>
      <c r="C818" s="11"/>
      <c r="D818" s="11"/>
      <c r="E818" s="11"/>
      <c r="F818" s="11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3"/>
      <c r="T818" s="13"/>
      <c r="U818" s="13"/>
      <c r="V818" s="13"/>
      <c r="W818" s="13"/>
      <c r="X818" s="13"/>
      <c r="Y818" s="13"/>
      <c r="Z818" s="13"/>
      <c r="AA818" s="13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3"/>
      <c r="AO818" s="13"/>
      <c r="AP818" s="13"/>
      <c r="AQ818" s="13"/>
      <c r="AR818" s="13"/>
      <c r="AS818" s="13"/>
      <c r="AT818" s="13"/>
      <c r="AU818" s="13"/>
      <c r="AV818" s="13"/>
      <c r="AW818" s="14"/>
      <c r="AX818" s="14"/>
      <c r="AY818" s="14"/>
      <c r="AZ818" s="14"/>
      <c r="BA818" s="14"/>
    </row>
    <row r="819">
      <c r="A819" s="11"/>
      <c r="B819" s="11"/>
      <c r="C819" s="11"/>
      <c r="D819" s="11"/>
      <c r="E819" s="11"/>
      <c r="F819" s="11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3"/>
      <c r="T819" s="13"/>
      <c r="U819" s="13"/>
      <c r="V819" s="13"/>
      <c r="W819" s="13"/>
      <c r="X819" s="13"/>
      <c r="Y819" s="13"/>
      <c r="Z819" s="13"/>
      <c r="AA819" s="13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3"/>
      <c r="AO819" s="13"/>
      <c r="AP819" s="13"/>
      <c r="AQ819" s="13"/>
      <c r="AR819" s="13"/>
      <c r="AS819" s="13"/>
      <c r="AT819" s="13"/>
      <c r="AU819" s="13"/>
      <c r="AV819" s="13"/>
      <c r="AW819" s="14"/>
      <c r="AX819" s="14"/>
      <c r="AY819" s="14"/>
      <c r="AZ819" s="14"/>
      <c r="BA819" s="14"/>
    </row>
    <row r="820">
      <c r="A820" s="11"/>
      <c r="B820" s="11"/>
      <c r="C820" s="11"/>
      <c r="D820" s="11"/>
      <c r="E820" s="11"/>
      <c r="F820" s="11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3"/>
      <c r="T820" s="13"/>
      <c r="U820" s="13"/>
      <c r="V820" s="13"/>
      <c r="W820" s="13"/>
      <c r="X820" s="13"/>
      <c r="Y820" s="13"/>
      <c r="Z820" s="13"/>
      <c r="AA820" s="13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3"/>
      <c r="AO820" s="13"/>
      <c r="AP820" s="13"/>
      <c r="AQ820" s="13"/>
      <c r="AR820" s="13"/>
      <c r="AS820" s="13"/>
      <c r="AT820" s="13"/>
      <c r="AU820" s="13"/>
      <c r="AV820" s="13"/>
      <c r="AW820" s="14"/>
      <c r="AX820" s="14"/>
      <c r="AY820" s="14"/>
      <c r="AZ820" s="14"/>
      <c r="BA820" s="14"/>
    </row>
    <row r="821">
      <c r="A821" s="11"/>
      <c r="B821" s="11"/>
      <c r="C821" s="11"/>
      <c r="D821" s="11"/>
      <c r="E821" s="11"/>
      <c r="F821" s="11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3"/>
      <c r="T821" s="13"/>
      <c r="U821" s="13"/>
      <c r="V821" s="13"/>
      <c r="W821" s="13"/>
      <c r="X821" s="13"/>
      <c r="Y821" s="13"/>
      <c r="Z821" s="13"/>
      <c r="AA821" s="13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3"/>
      <c r="AO821" s="13"/>
      <c r="AP821" s="13"/>
      <c r="AQ821" s="13"/>
      <c r="AR821" s="13"/>
      <c r="AS821" s="13"/>
      <c r="AT821" s="13"/>
      <c r="AU821" s="13"/>
      <c r="AV821" s="13"/>
      <c r="AW821" s="14"/>
      <c r="AX821" s="14"/>
      <c r="AY821" s="14"/>
      <c r="AZ821" s="14"/>
      <c r="BA821" s="14"/>
    </row>
    <row r="822">
      <c r="A822" s="11"/>
      <c r="B822" s="11"/>
      <c r="C822" s="11"/>
      <c r="D822" s="11"/>
      <c r="E822" s="11"/>
      <c r="F822" s="11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3"/>
      <c r="T822" s="13"/>
      <c r="U822" s="13"/>
      <c r="V822" s="13"/>
      <c r="W822" s="13"/>
      <c r="X822" s="13"/>
      <c r="Y822" s="13"/>
      <c r="Z822" s="13"/>
      <c r="AA822" s="13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3"/>
      <c r="AO822" s="13"/>
      <c r="AP822" s="13"/>
      <c r="AQ822" s="13"/>
      <c r="AR822" s="13"/>
      <c r="AS822" s="13"/>
      <c r="AT822" s="13"/>
      <c r="AU822" s="13"/>
      <c r="AV822" s="13"/>
      <c r="AW822" s="14"/>
      <c r="AX822" s="14"/>
      <c r="AY822" s="14"/>
      <c r="AZ822" s="14"/>
      <c r="BA822" s="14"/>
    </row>
    <row r="823">
      <c r="A823" s="11"/>
      <c r="B823" s="11"/>
      <c r="C823" s="11"/>
      <c r="D823" s="11"/>
      <c r="E823" s="11"/>
      <c r="F823" s="11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3"/>
      <c r="T823" s="13"/>
      <c r="U823" s="13"/>
      <c r="V823" s="13"/>
      <c r="W823" s="13"/>
      <c r="X823" s="13"/>
      <c r="Y823" s="13"/>
      <c r="Z823" s="13"/>
      <c r="AA823" s="13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3"/>
      <c r="AO823" s="13"/>
      <c r="AP823" s="13"/>
      <c r="AQ823" s="13"/>
      <c r="AR823" s="13"/>
      <c r="AS823" s="13"/>
      <c r="AT823" s="13"/>
      <c r="AU823" s="13"/>
      <c r="AV823" s="13"/>
      <c r="AW823" s="14"/>
      <c r="AX823" s="14"/>
      <c r="AY823" s="14"/>
      <c r="AZ823" s="14"/>
      <c r="BA823" s="14"/>
    </row>
    <row r="824">
      <c r="A824" s="11"/>
      <c r="B824" s="11"/>
      <c r="C824" s="11"/>
      <c r="D824" s="11"/>
      <c r="E824" s="11"/>
      <c r="F824" s="11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3"/>
      <c r="T824" s="13"/>
      <c r="U824" s="13"/>
      <c r="V824" s="13"/>
      <c r="W824" s="13"/>
      <c r="X824" s="13"/>
      <c r="Y824" s="13"/>
      <c r="Z824" s="13"/>
      <c r="AA824" s="13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3"/>
      <c r="AO824" s="13"/>
      <c r="AP824" s="13"/>
      <c r="AQ824" s="13"/>
      <c r="AR824" s="13"/>
      <c r="AS824" s="13"/>
      <c r="AT824" s="13"/>
      <c r="AU824" s="13"/>
      <c r="AV824" s="13"/>
      <c r="AW824" s="14"/>
      <c r="AX824" s="14"/>
      <c r="AY824" s="14"/>
      <c r="AZ824" s="14"/>
      <c r="BA824" s="14"/>
    </row>
    <row r="825">
      <c r="A825" s="11"/>
      <c r="B825" s="11"/>
      <c r="C825" s="11"/>
      <c r="D825" s="11"/>
      <c r="E825" s="11"/>
      <c r="F825" s="11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3"/>
      <c r="T825" s="13"/>
      <c r="U825" s="13"/>
      <c r="V825" s="13"/>
      <c r="W825" s="13"/>
      <c r="X825" s="13"/>
      <c r="Y825" s="13"/>
      <c r="Z825" s="13"/>
      <c r="AA825" s="13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3"/>
      <c r="AO825" s="13"/>
      <c r="AP825" s="13"/>
      <c r="AQ825" s="13"/>
      <c r="AR825" s="13"/>
      <c r="AS825" s="13"/>
      <c r="AT825" s="13"/>
      <c r="AU825" s="13"/>
      <c r="AV825" s="13"/>
      <c r="AW825" s="14"/>
      <c r="AX825" s="14"/>
      <c r="AY825" s="14"/>
      <c r="AZ825" s="14"/>
      <c r="BA825" s="14"/>
    </row>
    <row r="826">
      <c r="A826" s="11"/>
      <c r="B826" s="11"/>
      <c r="C826" s="11"/>
      <c r="D826" s="11"/>
      <c r="E826" s="11"/>
      <c r="F826" s="11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3"/>
      <c r="T826" s="13"/>
      <c r="U826" s="13"/>
      <c r="V826" s="13"/>
      <c r="W826" s="13"/>
      <c r="X826" s="13"/>
      <c r="Y826" s="13"/>
      <c r="Z826" s="13"/>
      <c r="AA826" s="13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3"/>
      <c r="AO826" s="13"/>
      <c r="AP826" s="13"/>
      <c r="AQ826" s="13"/>
      <c r="AR826" s="13"/>
      <c r="AS826" s="13"/>
      <c r="AT826" s="13"/>
      <c r="AU826" s="13"/>
      <c r="AV826" s="13"/>
      <c r="AW826" s="14"/>
      <c r="AX826" s="14"/>
      <c r="AY826" s="14"/>
      <c r="AZ826" s="14"/>
      <c r="BA826" s="14"/>
    </row>
    <row r="827">
      <c r="A827" s="11"/>
      <c r="B827" s="11"/>
      <c r="C827" s="11"/>
      <c r="D827" s="11"/>
      <c r="E827" s="11"/>
      <c r="F827" s="11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3"/>
      <c r="T827" s="13"/>
      <c r="U827" s="13"/>
      <c r="V827" s="13"/>
      <c r="W827" s="13"/>
      <c r="X827" s="13"/>
      <c r="Y827" s="13"/>
      <c r="Z827" s="13"/>
      <c r="AA827" s="13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3"/>
      <c r="AO827" s="13"/>
      <c r="AP827" s="13"/>
      <c r="AQ827" s="13"/>
      <c r="AR827" s="13"/>
      <c r="AS827" s="13"/>
      <c r="AT827" s="13"/>
      <c r="AU827" s="13"/>
      <c r="AV827" s="13"/>
      <c r="AW827" s="14"/>
      <c r="AX827" s="14"/>
      <c r="AY827" s="14"/>
      <c r="AZ827" s="14"/>
      <c r="BA827" s="14"/>
    </row>
    <row r="828">
      <c r="A828" s="11"/>
      <c r="B828" s="11"/>
      <c r="C828" s="11"/>
      <c r="D828" s="11"/>
      <c r="E828" s="11"/>
      <c r="F828" s="11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3"/>
      <c r="T828" s="13"/>
      <c r="U828" s="13"/>
      <c r="V828" s="13"/>
      <c r="W828" s="13"/>
      <c r="X828" s="13"/>
      <c r="Y828" s="13"/>
      <c r="Z828" s="13"/>
      <c r="AA828" s="13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3"/>
      <c r="AO828" s="13"/>
      <c r="AP828" s="13"/>
      <c r="AQ828" s="13"/>
      <c r="AR828" s="13"/>
      <c r="AS828" s="13"/>
      <c r="AT828" s="13"/>
      <c r="AU828" s="13"/>
      <c r="AV828" s="13"/>
      <c r="AW828" s="14"/>
      <c r="AX828" s="14"/>
      <c r="AY828" s="14"/>
      <c r="AZ828" s="14"/>
      <c r="BA828" s="14"/>
    </row>
    <row r="829">
      <c r="A829" s="11"/>
      <c r="B829" s="11"/>
      <c r="C829" s="11"/>
      <c r="D829" s="11"/>
      <c r="E829" s="11"/>
      <c r="F829" s="11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3"/>
      <c r="T829" s="13"/>
      <c r="U829" s="13"/>
      <c r="V829" s="13"/>
      <c r="W829" s="13"/>
      <c r="X829" s="13"/>
      <c r="Y829" s="13"/>
      <c r="Z829" s="13"/>
      <c r="AA829" s="13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3"/>
      <c r="AO829" s="13"/>
      <c r="AP829" s="13"/>
      <c r="AQ829" s="13"/>
      <c r="AR829" s="13"/>
      <c r="AS829" s="13"/>
      <c r="AT829" s="13"/>
      <c r="AU829" s="13"/>
      <c r="AV829" s="13"/>
      <c r="AW829" s="14"/>
      <c r="AX829" s="14"/>
      <c r="AY829" s="14"/>
      <c r="AZ829" s="14"/>
      <c r="BA829" s="14"/>
    </row>
    <row r="830">
      <c r="A830" s="11"/>
      <c r="B830" s="11"/>
      <c r="C830" s="11"/>
      <c r="D830" s="11"/>
      <c r="E830" s="11"/>
      <c r="F830" s="11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3"/>
      <c r="T830" s="13"/>
      <c r="U830" s="13"/>
      <c r="V830" s="13"/>
      <c r="W830" s="13"/>
      <c r="X830" s="13"/>
      <c r="Y830" s="13"/>
      <c r="Z830" s="13"/>
      <c r="AA830" s="13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3"/>
      <c r="AO830" s="13"/>
      <c r="AP830" s="13"/>
      <c r="AQ830" s="13"/>
      <c r="AR830" s="13"/>
      <c r="AS830" s="13"/>
      <c r="AT830" s="13"/>
      <c r="AU830" s="13"/>
      <c r="AV830" s="13"/>
      <c r="AW830" s="14"/>
      <c r="AX830" s="14"/>
      <c r="AY830" s="14"/>
      <c r="AZ830" s="14"/>
      <c r="BA830" s="14"/>
    </row>
    <row r="831">
      <c r="A831" s="11"/>
      <c r="B831" s="11"/>
      <c r="C831" s="11"/>
      <c r="D831" s="11"/>
      <c r="E831" s="11"/>
      <c r="F831" s="11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3"/>
      <c r="T831" s="13"/>
      <c r="U831" s="13"/>
      <c r="V831" s="13"/>
      <c r="W831" s="13"/>
      <c r="X831" s="13"/>
      <c r="Y831" s="13"/>
      <c r="Z831" s="13"/>
      <c r="AA831" s="13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3"/>
      <c r="AO831" s="13"/>
      <c r="AP831" s="13"/>
      <c r="AQ831" s="13"/>
      <c r="AR831" s="13"/>
      <c r="AS831" s="13"/>
      <c r="AT831" s="13"/>
      <c r="AU831" s="13"/>
      <c r="AV831" s="13"/>
      <c r="AW831" s="14"/>
      <c r="AX831" s="14"/>
      <c r="AY831" s="14"/>
      <c r="AZ831" s="14"/>
      <c r="BA831" s="14"/>
    </row>
    <row r="832">
      <c r="A832" s="11"/>
      <c r="B832" s="11"/>
      <c r="C832" s="11"/>
      <c r="D832" s="11"/>
      <c r="E832" s="11"/>
      <c r="F832" s="11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3"/>
      <c r="T832" s="13"/>
      <c r="U832" s="13"/>
      <c r="V832" s="13"/>
      <c r="W832" s="13"/>
      <c r="X832" s="13"/>
      <c r="Y832" s="13"/>
      <c r="Z832" s="13"/>
      <c r="AA832" s="13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3"/>
      <c r="AO832" s="13"/>
      <c r="AP832" s="13"/>
      <c r="AQ832" s="13"/>
      <c r="AR832" s="13"/>
      <c r="AS832" s="13"/>
      <c r="AT832" s="13"/>
      <c r="AU832" s="13"/>
      <c r="AV832" s="13"/>
      <c r="AW832" s="14"/>
      <c r="AX832" s="14"/>
      <c r="AY832" s="14"/>
      <c r="AZ832" s="14"/>
      <c r="BA832" s="14"/>
    </row>
    <row r="833">
      <c r="A833" s="11"/>
      <c r="B833" s="11"/>
      <c r="C833" s="11"/>
      <c r="D833" s="11"/>
      <c r="E833" s="11"/>
      <c r="F833" s="11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3"/>
      <c r="T833" s="13"/>
      <c r="U833" s="13"/>
      <c r="V833" s="13"/>
      <c r="W833" s="13"/>
      <c r="X833" s="13"/>
      <c r="Y833" s="13"/>
      <c r="Z833" s="13"/>
      <c r="AA833" s="13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3"/>
      <c r="AO833" s="13"/>
      <c r="AP833" s="13"/>
      <c r="AQ833" s="13"/>
      <c r="AR833" s="13"/>
      <c r="AS833" s="13"/>
      <c r="AT833" s="13"/>
      <c r="AU833" s="13"/>
      <c r="AV833" s="13"/>
      <c r="AW833" s="14"/>
      <c r="AX833" s="14"/>
      <c r="AY833" s="14"/>
      <c r="AZ833" s="14"/>
      <c r="BA833" s="14"/>
    </row>
    <row r="834">
      <c r="A834" s="11"/>
      <c r="B834" s="11"/>
      <c r="C834" s="11"/>
      <c r="D834" s="11"/>
      <c r="E834" s="11"/>
      <c r="F834" s="11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3"/>
      <c r="T834" s="13"/>
      <c r="U834" s="13"/>
      <c r="V834" s="13"/>
      <c r="W834" s="13"/>
      <c r="X834" s="13"/>
      <c r="Y834" s="13"/>
      <c r="Z834" s="13"/>
      <c r="AA834" s="13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3"/>
      <c r="AO834" s="13"/>
      <c r="AP834" s="13"/>
      <c r="AQ834" s="13"/>
      <c r="AR834" s="13"/>
      <c r="AS834" s="13"/>
      <c r="AT834" s="13"/>
      <c r="AU834" s="13"/>
      <c r="AV834" s="13"/>
      <c r="AW834" s="14"/>
      <c r="AX834" s="14"/>
      <c r="AY834" s="14"/>
      <c r="AZ834" s="14"/>
      <c r="BA834" s="14"/>
    </row>
    <row r="835">
      <c r="A835" s="11"/>
      <c r="B835" s="11"/>
      <c r="C835" s="11"/>
      <c r="D835" s="11"/>
      <c r="E835" s="11"/>
      <c r="F835" s="11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3"/>
      <c r="T835" s="13"/>
      <c r="U835" s="13"/>
      <c r="V835" s="13"/>
      <c r="W835" s="13"/>
      <c r="X835" s="13"/>
      <c r="Y835" s="13"/>
      <c r="Z835" s="13"/>
      <c r="AA835" s="13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3"/>
      <c r="AO835" s="13"/>
      <c r="AP835" s="13"/>
      <c r="AQ835" s="13"/>
      <c r="AR835" s="13"/>
      <c r="AS835" s="13"/>
      <c r="AT835" s="13"/>
      <c r="AU835" s="13"/>
      <c r="AV835" s="13"/>
      <c r="AW835" s="14"/>
      <c r="AX835" s="14"/>
      <c r="AY835" s="14"/>
      <c r="AZ835" s="14"/>
      <c r="BA835" s="14"/>
    </row>
    <row r="836">
      <c r="A836" s="11"/>
      <c r="B836" s="11"/>
      <c r="C836" s="11"/>
      <c r="D836" s="11"/>
      <c r="E836" s="11"/>
      <c r="F836" s="11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3"/>
      <c r="T836" s="13"/>
      <c r="U836" s="13"/>
      <c r="V836" s="13"/>
      <c r="W836" s="13"/>
      <c r="X836" s="13"/>
      <c r="Y836" s="13"/>
      <c r="Z836" s="13"/>
      <c r="AA836" s="13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3"/>
      <c r="AO836" s="13"/>
      <c r="AP836" s="13"/>
      <c r="AQ836" s="13"/>
      <c r="AR836" s="13"/>
      <c r="AS836" s="13"/>
      <c r="AT836" s="13"/>
      <c r="AU836" s="13"/>
      <c r="AV836" s="13"/>
      <c r="AW836" s="14"/>
      <c r="AX836" s="14"/>
      <c r="AY836" s="14"/>
      <c r="AZ836" s="14"/>
      <c r="BA836" s="14"/>
    </row>
    <row r="837">
      <c r="A837" s="11"/>
      <c r="B837" s="11"/>
      <c r="C837" s="11"/>
      <c r="D837" s="11"/>
      <c r="E837" s="11"/>
      <c r="F837" s="11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3"/>
      <c r="T837" s="13"/>
      <c r="U837" s="13"/>
      <c r="V837" s="13"/>
      <c r="W837" s="13"/>
      <c r="X837" s="13"/>
      <c r="Y837" s="13"/>
      <c r="Z837" s="13"/>
      <c r="AA837" s="13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3"/>
      <c r="AO837" s="13"/>
      <c r="AP837" s="13"/>
      <c r="AQ837" s="13"/>
      <c r="AR837" s="13"/>
      <c r="AS837" s="13"/>
      <c r="AT837" s="13"/>
      <c r="AU837" s="13"/>
      <c r="AV837" s="13"/>
      <c r="AW837" s="14"/>
      <c r="AX837" s="14"/>
      <c r="AY837" s="14"/>
      <c r="AZ837" s="14"/>
      <c r="BA837" s="14"/>
    </row>
    <row r="838">
      <c r="A838" s="11"/>
      <c r="B838" s="11"/>
      <c r="C838" s="11"/>
      <c r="D838" s="11"/>
      <c r="E838" s="11"/>
      <c r="F838" s="11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3"/>
      <c r="T838" s="13"/>
      <c r="U838" s="13"/>
      <c r="V838" s="13"/>
      <c r="W838" s="13"/>
      <c r="X838" s="13"/>
      <c r="Y838" s="13"/>
      <c r="Z838" s="13"/>
      <c r="AA838" s="13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3"/>
      <c r="AO838" s="13"/>
      <c r="AP838" s="13"/>
      <c r="AQ838" s="13"/>
      <c r="AR838" s="13"/>
      <c r="AS838" s="13"/>
      <c r="AT838" s="13"/>
      <c r="AU838" s="13"/>
      <c r="AV838" s="13"/>
      <c r="AW838" s="14"/>
      <c r="AX838" s="14"/>
      <c r="AY838" s="14"/>
      <c r="AZ838" s="14"/>
      <c r="BA838" s="14"/>
    </row>
    <row r="839">
      <c r="A839" s="11"/>
      <c r="B839" s="11"/>
      <c r="C839" s="11"/>
      <c r="D839" s="11"/>
      <c r="E839" s="11"/>
      <c r="F839" s="11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3"/>
      <c r="T839" s="13"/>
      <c r="U839" s="13"/>
      <c r="V839" s="13"/>
      <c r="W839" s="13"/>
      <c r="X839" s="13"/>
      <c r="Y839" s="13"/>
      <c r="Z839" s="13"/>
      <c r="AA839" s="13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3"/>
      <c r="AO839" s="13"/>
      <c r="AP839" s="13"/>
      <c r="AQ839" s="13"/>
      <c r="AR839" s="13"/>
      <c r="AS839" s="13"/>
      <c r="AT839" s="13"/>
      <c r="AU839" s="13"/>
      <c r="AV839" s="13"/>
      <c r="AW839" s="14"/>
      <c r="AX839" s="14"/>
      <c r="AY839" s="14"/>
      <c r="AZ839" s="14"/>
      <c r="BA839" s="14"/>
    </row>
    <row r="840">
      <c r="A840" s="11"/>
      <c r="B840" s="11"/>
      <c r="C840" s="11"/>
      <c r="D840" s="11"/>
      <c r="E840" s="11"/>
      <c r="F840" s="11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3"/>
      <c r="T840" s="13"/>
      <c r="U840" s="13"/>
      <c r="V840" s="13"/>
      <c r="W840" s="13"/>
      <c r="X840" s="13"/>
      <c r="Y840" s="13"/>
      <c r="Z840" s="13"/>
      <c r="AA840" s="13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3"/>
      <c r="AO840" s="13"/>
      <c r="AP840" s="13"/>
      <c r="AQ840" s="13"/>
      <c r="AR840" s="13"/>
      <c r="AS840" s="13"/>
      <c r="AT840" s="13"/>
      <c r="AU840" s="13"/>
      <c r="AV840" s="13"/>
      <c r="AW840" s="14"/>
      <c r="AX840" s="14"/>
      <c r="AY840" s="14"/>
      <c r="AZ840" s="14"/>
      <c r="BA840" s="14"/>
    </row>
    <row r="841">
      <c r="A841" s="11"/>
      <c r="B841" s="11"/>
      <c r="C841" s="11"/>
      <c r="D841" s="11"/>
      <c r="E841" s="11"/>
      <c r="F841" s="11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3"/>
      <c r="T841" s="13"/>
      <c r="U841" s="13"/>
      <c r="V841" s="13"/>
      <c r="W841" s="13"/>
      <c r="X841" s="13"/>
      <c r="Y841" s="13"/>
      <c r="Z841" s="13"/>
      <c r="AA841" s="13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3"/>
      <c r="AO841" s="13"/>
      <c r="AP841" s="13"/>
      <c r="AQ841" s="13"/>
      <c r="AR841" s="13"/>
      <c r="AS841" s="13"/>
      <c r="AT841" s="13"/>
      <c r="AU841" s="13"/>
      <c r="AV841" s="13"/>
      <c r="AW841" s="14"/>
      <c r="AX841" s="14"/>
      <c r="AY841" s="14"/>
      <c r="AZ841" s="14"/>
      <c r="BA841" s="14"/>
    </row>
    <row r="842">
      <c r="A842" s="11"/>
      <c r="B842" s="11"/>
      <c r="C842" s="11"/>
      <c r="D842" s="11"/>
      <c r="E842" s="11"/>
      <c r="F842" s="11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3"/>
      <c r="T842" s="13"/>
      <c r="U842" s="13"/>
      <c r="V842" s="13"/>
      <c r="W842" s="13"/>
      <c r="X842" s="13"/>
      <c r="Y842" s="13"/>
      <c r="Z842" s="13"/>
      <c r="AA842" s="13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3"/>
      <c r="AO842" s="13"/>
      <c r="AP842" s="13"/>
      <c r="AQ842" s="13"/>
      <c r="AR842" s="13"/>
      <c r="AS842" s="13"/>
      <c r="AT842" s="13"/>
      <c r="AU842" s="13"/>
      <c r="AV842" s="13"/>
      <c r="AW842" s="14"/>
      <c r="AX842" s="14"/>
      <c r="AY842" s="14"/>
      <c r="AZ842" s="14"/>
      <c r="BA842" s="14"/>
    </row>
    <row r="843">
      <c r="A843" s="11"/>
      <c r="B843" s="11"/>
      <c r="C843" s="11"/>
      <c r="D843" s="11"/>
      <c r="E843" s="11"/>
      <c r="F843" s="11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3"/>
      <c r="T843" s="13"/>
      <c r="U843" s="13"/>
      <c r="V843" s="13"/>
      <c r="W843" s="13"/>
      <c r="X843" s="13"/>
      <c r="Y843" s="13"/>
      <c r="Z843" s="13"/>
      <c r="AA843" s="13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3"/>
      <c r="AO843" s="13"/>
      <c r="AP843" s="13"/>
      <c r="AQ843" s="13"/>
      <c r="AR843" s="13"/>
      <c r="AS843" s="13"/>
      <c r="AT843" s="13"/>
      <c r="AU843" s="13"/>
      <c r="AV843" s="13"/>
      <c r="AW843" s="14"/>
      <c r="AX843" s="14"/>
      <c r="AY843" s="14"/>
      <c r="AZ843" s="14"/>
      <c r="BA843" s="14"/>
    </row>
    <row r="844">
      <c r="A844" s="11"/>
      <c r="B844" s="11"/>
      <c r="C844" s="11"/>
      <c r="D844" s="11"/>
      <c r="E844" s="11"/>
      <c r="F844" s="11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3"/>
      <c r="T844" s="13"/>
      <c r="U844" s="13"/>
      <c r="V844" s="13"/>
      <c r="W844" s="13"/>
      <c r="X844" s="13"/>
      <c r="Y844" s="13"/>
      <c r="Z844" s="13"/>
      <c r="AA844" s="13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3"/>
      <c r="AO844" s="13"/>
      <c r="AP844" s="13"/>
      <c r="AQ844" s="13"/>
      <c r="AR844" s="13"/>
      <c r="AS844" s="13"/>
      <c r="AT844" s="13"/>
      <c r="AU844" s="13"/>
      <c r="AV844" s="13"/>
      <c r="AW844" s="14"/>
      <c r="AX844" s="14"/>
      <c r="AY844" s="14"/>
      <c r="AZ844" s="14"/>
      <c r="BA844" s="14"/>
    </row>
    <row r="845">
      <c r="A845" s="11"/>
      <c r="B845" s="11"/>
      <c r="C845" s="11"/>
      <c r="D845" s="11"/>
      <c r="E845" s="11"/>
      <c r="F845" s="11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3"/>
      <c r="T845" s="13"/>
      <c r="U845" s="13"/>
      <c r="V845" s="13"/>
      <c r="W845" s="13"/>
      <c r="X845" s="13"/>
      <c r="Y845" s="13"/>
      <c r="Z845" s="13"/>
      <c r="AA845" s="13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3"/>
      <c r="AO845" s="13"/>
      <c r="AP845" s="13"/>
      <c r="AQ845" s="13"/>
      <c r="AR845" s="13"/>
      <c r="AS845" s="13"/>
      <c r="AT845" s="13"/>
      <c r="AU845" s="13"/>
      <c r="AV845" s="13"/>
      <c r="AW845" s="14"/>
      <c r="AX845" s="14"/>
      <c r="AY845" s="14"/>
      <c r="AZ845" s="14"/>
      <c r="BA845" s="14"/>
    </row>
    <row r="846">
      <c r="A846" s="11"/>
      <c r="B846" s="11"/>
      <c r="C846" s="11"/>
      <c r="D846" s="11"/>
      <c r="E846" s="11"/>
      <c r="F846" s="11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3"/>
      <c r="T846" s="13"/>
      <c r="U846" s="13"/>
      <c r="V846" s="13"/>
      <c r="W846" s="13"/>
      <c r="X846" s="13"/>
      <c r="Y846" s="13"/>
      <c r="Z846" s="13"/>
      <c r="AA846" s="13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3"/>
      <c r="AO846" s="13"/>
      <c r="AP846" s="13"/>
      <c r="AQ846" s="13"/>
      <c r="AR846" s="13"/>
      <c r="AS846" s="13"/>
      <c r="AT846" s="13"/>
      <c r="AU846" s="13"/>
      <c r="AV846" s="13"/>
      <c r="AW846" s="14"/>
      <c r="AX846" s="14"/>
      <c r="AY846" s="14"/>
      <c r="AZ846" s="14"/>
      <c r="BA846" s="14"/>
    </row>
    <row r="847">
      <c r="A847" s="11"/>
      <c r="B847" s="11"/>
      <c r="C847" s="11"/>
      <c r="D847" s="11"/>
      <c r="E847" s="11"/>
      <c r="F847" s="11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3"/>
      <c r="T847" s="13"/>
      <c r="U847" s="13"/>
      <c r="V847" s="13"/>
      <c r="W847" s="13"/>
      <c r="X847" s="13"/>
      <c r="Y847" s="13"/>
      <c r="Z847" s="13"/>
      <c r="AA847" s="13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3"/>
      <c r="AO847" s="13"/>
      <c r="AP847" s="13"/>
      <c r="AQ847" s="13"/>
      <c r="AR847" s="13"/>
      <c r="AS847" s="13"/>
      <c r="AT847" s="13"/>
      <c r="AU847" s="13"/>
      <c r="AV847" s="13"/>
      <c r="AW847" s="14"/>
      <c r="AX847" s="14"/>
      <c r="AY847" s="14"/>
      <c r="AZ847" s="14"/>
      <c r="BA847" s="14"/>
    </row>
    <row r="848">
      <c r="A848" s="11"/>
      <c r="B848" s="11"/>
      <c r="C848" s="11"/>
      <c r="D848" s="11"/>
      <c r="E848" s="11"/>
      <c r="F848" s="11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3"/>
      <c r="T848" s="13"/>
      <c r="U848" s="13"/>
      <c r="V848" s="13"/>
      <c r="W848" s="13"/>
      <c r="X848" s="13"/>
      <c r="Y848" s="13"/>
      <c r="Z848" s="13"/>
      <c r="AA848" s="13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3"/>
      <c r="AO848" s="13"/>
      <c r="AP848" s="13"/>
      <c r="AQ848" s="13"/>
      <c r="AR848" s="13"/>
      <c r="AS848" s="13"/>
      <c r="AT848" s="13"/>
      <c r="AU848" s="13"/>
      <c r="AV848" s="13"/>
      <c r="AW848" s="14"/>
      <c r="AX848" s="14"/>
      <c r="AY848" s="14"/>
      <c r="AZ848" s="14"/>
      <c r="BA848" s="14"/>
    </row>
    <row r="849">
      <c r="A849" s="11"/>
      <c r="B849" s="11"/>
      <c r="C849" s="11"/>
      <c r="D849" s="11"/>
      <c r="E849" s="11"/>
      <c r="F849" s="11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3"/>
      <c r="T849" s="13"/>
      <c r="U849" s="13"/>
      <c r="V849" s="13"/>
      <c r="W849" s="13"/>
      <c r="X849" s="13"/>
      <c r="Y849" s="13"/>
      <c r="Z849" s="13"/>
      <c r="AA849" s="13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3"/>
      <c r="AO849" s="13"/>
      <c r="AP849" s="13"/>
      <c r="AQ849" s="13"/>
      <c r="AR849" s="13"/>
      <c r="AS849" s="13"/>
      <c r="AT849" s="13"/>
      <c r="AU849" s="13"/>
      <c r="AV849" s="13"/>
      <c r="AW849" s="14"/>
      <c r="AX849" s="14"/>
      <c r="AY849" s="14"/>
      <c r="AZ849" s="14"/>
      <c r="BA849" s="14"/>
    </row>
    <row r="850">
      <c r="A850" s="11"/>
      <c r="B850" s="11"/>
      <c r="C850" s="11"/>
      <c r="D850" s="11"/>
      <c r="E850" s="11"/>
      <c r="F850" s="11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3"/>
      <c r="T850" s="13"/>
      <c r="U850" s="13"/>
      <c r="V850" s="13"/>
      <c r="W850" s="13"/>
      <c r="X850" s="13"/>
      <c r="Y850" s="13"/>
      <c r="Z850" s="13"/>
      <c r="AA850" s="13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3"/>
      <c r="AO850" s="13"/>
      <c r="AP850" s="13"/>
      <c r="AQ850" s="13"/>
      <c r="AR850" s="13"/>
      <c r="AS850" s="13"/>
      <c r="AT850" s="13"/>
      <c r="AU850" s="13"/>
      <c r="AV850" s="13"/>
      <c r="AW850" s="14"/>
      <c r="AX850" s="14"/>
      <c r="AY850" s="14"/>
      <c r="AZ850" s="14"/>
      <c r="BA850" s="14"/>
    </row>
    <row r="851">
      <c r="A851" s="11"/>
      <c r="B851" s="11"/>
      <c r="C851" s="11"/>
      <c r="D851" s="11"/>
      <c r="E851" s="11"/>
      <c r="F851" s="11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3"/>
      <c r="T851" s="13"/>
      <c r="U851" s="13"/>
      <c r="V851" s="13"/>
      <c r="W851" s="13"/>
      <c r="X851" s="13"/>
      <c r="Y851" s="13"/>
      <c r="Z851" s="13"/>
      <c r="AA851" s="13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3"/>
      <c r="AO851" s="13"/>
      <c r="AP851" s="13"/>
      <c r="AQ851" s="13"/>
      <c r="AR851" s="13"/>
      <c r="AS851" s="13"/>
      <c r="AT851" s="13"/>
      <c r="AU851" s="13"/>
      <c r="AV851" s="13"/>
      <c r="AW851" s="14"/>
      <c r="AX851" s="14"/>
      <c r="AY851" s="14"/>
      <c r="AZ851" s="14"/>
      <c r="BA851" s="14"/>
    </row>
    <row r="852">
      <c r="A852" s="11"/>
      <c r="B852" s="11"/>
      <c r="C852" s="11"/>
      <c r="D852" s="11"/>
      <c r="E852" s="11"/>
      <c r="F852" s="11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3"/>
      <c r="T852" s="13"/>
      <c r="U852" s="13"/>
      <c r="V852" s="13"/>
      <c r="W852" s="13"/>
      <c r="X852" s="13"/>
      <c r="Y852" s="13"/>
      <c r="Z852" s="13"/>
      <c r="AA852" s="13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3"/>
      <c r="AO852" s="13"/>
      <c r="AP852" s="13"/>
      <c r="AQ852" s="13"/>
      <c r="AR852" s="13"/>
      <c r="AS852" s="13"/>
      <c r="AT852" s="13"/>
      <c r="AU852" s="13"/>
      <c r="AV852" s="13"/>
      <c r="AW852" s="14"/>
      <c r="AX852" s="14"/>
      <c r="AY852" s="14"/>
      <c r="AZ852" s="14"/>
      <c r="BA852" s="14"/>
    </row>
    <row r="853">
      <c r="A853" s="11"/>
      <c r="B853" s="11"/>
      <c r="C853" s="11"/>
      <c r="D853" s="11"/>
      <c r="E853" s="11"/>
      <c r="F853" s="11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3"/>
      <c r="T853" s="13"/>
      <c r="U853" s="13"/>
      <c r="V853" s="13"/>
      <c r="W853" s="13"/>
      <c r="X853" s="13"/>
      <c r="Y853" s="13"/>
      <c r="Z853" s="13"/>
      <c r="AA853" s="13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3"/>
      <c r="AO853" s="13"/>
      <c r="AP853" s="13"/>
      <c r="AQ853" s="13"/>
      <c r="AR853" s="13"/>
      <c r="AS853" s="13"/>
      <c r="AT853" s="13"/>
      <c r="AU853" s="13"/>
      <c r="AV853" s="13"/>
      <c r="AW853" s="14"/>
      <c r="AX853" s="14"/>
      <c r="AY853" s="14"/>
      <c r="AZ853" s="14"/>
      <c r="BA853" s="14"/>
    </row>
    <row r="854">
      <c r="A854" s="11"/>
      <c r="B854" s="11"/>
      <c r="C854" s="11"/>
      <c r="D854" s="11"/>
      <c r="E854" s="11"/>
      <c r="F854" s="11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3"/>
      <c r="T854" s="13"/>
      <c r="U854" s="13"/>
      <c r="V854" s="13"/>
      <c r="W854" s="13"/>
      <c r="X854" s="13"/>
      <c r="Y854" s="13"/>
      <c r="Z854" s="13"/>
      <c r="AA854" s="13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3"/>
      <c r="AO854" s="13"/>
      <c r="AP854" s="13"/>
      <c r="AQ854" s="13"/>
      <c r="AR854" s="13"/>
      <c r="AS854" s="13"/>
      <c r="AT854" s="13"/>
      <c r="AU854" s="13"/>
      <c r="AV854" s="13"/>
      <c r="AW854" s="14"/>
      <c r="AX854" s="14"/>
      <c r="AY854" s="14"/>
      <c r="AZ854" s="14"/>
      <c r="BA854" s="14"/>
    </row>
    <row r="855">
      <c r="A855" s="11"/>
      <c r="B855" s="11"/>
      <c r="C855" s="11"/>
      <c r="D855" s="11"/>
      <c r="E855" s="11"/>
      <c r="F855" s="11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3"/>
      <c r="T855" s="13"/>
      <c r="U855" s="13"/>
      <c r="V855" s="13"/>
      <c r="W855" s="13"/>
      <c r="X855" s="13"/>
      <c r="Y855" s="13"/>
      <c r="Z855" s="13"/>
      <c r="AA855" s="13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3"/>
      <c r="AO855" s="13"/>
      <c r="AP855" s="13"/>
      <c r="AQ855" s="13"/>
      <c r="AR855" s="13"/>
      <c r="AS855" s="13"/>
      <c r="AT855" s="13"/>
      <c r="AU855" s="13"/>
      <c r="AV855" s="13"/>
      <c r="AW855" s="14"/>
      <c r="AX855" s="14"/>
      <c r="AY855" s="14"/>
      <c r="AZ855" s="14"/>
      <c r="BA855" s="14"/>
    </row>
    <row r="856">
      <c r="A856" s="11"/>
      <c r="B856" s="11"/>
      <c r="C856" s="11"/>
      <c r="D856" s="11"/>
      <c r="E856" s="11"/>
      <c r="F856" s="11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3"/>
      <c r="T856" s="13"/>
      <c r="U856" s="13"/>
      <c r="V856" s="13"/>
      <c r="W856" s="13"/>
      <c r="X856" s="13"/>
      <c r="Y856" s="13"/>
      <c r="Z856" s="13"/>
      <c r="AA856" s="13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3"/>
      <c r="AO856" s="13"/>
      <c r="AP856" s="13"/>
      <c r="AQ856" s="13"/>
      <c r="AR856" s="13"/>
      <c r="AS856" s="13"/>
      <c r="AT856" s="13"/>
      <c r="AU856" s="13"/>
      <c r="AV856" s="13"/>
      <c r="AW856" s="14"/>
      <c r="AX856" s="14"/>
      <c r="AY856" s="14"/>
      <c r="AZ856" s="14"/>
      <c r="BA856" s="14"/>
    </row>
    <row r="857">
      <c r="A857" s="11"/>
      <c r="B857" s="11"/>
      <c r="C857" s="11"/>
      <c r="D857" s="11"/>
      <c r="E857" s="11"/>
      <c r="F857" s="11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3"/>
      <c r="T857" s="13"/>
      <c r="U857" s="13"/>
      <c r="V857" s="13"/>
      <c r="W857" s="13"/>
      <c r="X857" s="13"/>
      <c r="Y857" s="13"/>
      <c r="Z857" s="13"/>
      <c r="AA857" s="13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3"/>
      <c r="AO857" s="13"/>
      <c r="AP857" s="13"/>
      <c r="AQ857" s="13"/>
      <c r="AR857" s="13"/>
      <c r="AS857" s="13"/>
      <c r="AT857" s="13"/>
      <c r="AU857" s="13"/>
      <c r="AV857" s="13"/>
      <c r="AW857" s="14"/>
      <c r="AX857" s="14"/>
      <c r="AY857" s="14"/>
      <c r="AZ857" s="14"/>
      <c r="BA857" s="14"/>
    </row>
    <row r="858">
      <c r="A858" s="11"/>
      <c r="B858" s="11"/>
      <c r="C858" s="11"/>
      <c r="D858" s="11"/>
      <c r="E858" s="11"/>
      <c r="F858" s="11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3"/>
      <c r="T858" s="13"/>
      <c r="U858" s="13"/>
      <c r="V858" s="13"/>
      <c r="W858" s="13"/>
      <c r="X858" s="13"/>
      <c r="Y858" s="13"/>
      <c r="Z858" s="13"/>
      <c r="AA858" s="13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3"/>
      <c r="AO858" s="13"/>
      <c r="AP858" s="13"/>
      <c r="AQ858" s="13"/>
      <c r="AR858" s="13"/>
      <c r="AS858" s="13"/>
      <c r="AT858" s="13"/>
      <c r="AU858" s="13"/>
      <c r="AV858" s="13"/>
      <c r="AW858" s="14"/>
      <c r="AX858" s="14"/>
      <c r="AY858" s="14"/>
      <c r="AZ858" s="14"/>
      <c r="BA858" s="14"/>
    </row>
    <row r="859">
      <c r="A859" s="11"/>
      <c r="B859" s="11"/>
      <c r="C859" s="11"/>
      <c r="D859" s="11"/>
      <c r="E859" s="11"/>
      <c r="F859" s="11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3"/>
      <c r="T859" s="13"/>
      <c r="U859" s="13"/>
      <c r="V859" s="13"/>
      <c r="W859" s="13"/>
      <c r="X859" s="13"/>
      <c r="Y859" s="13"/>
      <c r="Z859" s="13"/>
      <c r="AA859" s="13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3"/>
      <c r="AO859" s="13"/>
      <c r="AP859" s="13"/>
      <c r="AQ859" s="13"/>
      <c r="AR859" s="13"/>
      <c r="AS859" s="13"/>
      <c r="AT859" s="13"/>
      <c r="AU859" s="13"/>
      <c r="AV859" s="13"/>
      <c r="AW859" s="14"/>
      <c r="AX859" s="14"/>
      <c r="AY859" s="14"/>
      <c r="AZ859" s="14"/>
      <c r="BA859" s="14"/>
    </row>
    <row r="860">
      <c r="A860" s="11"/>
      <c r="B860" s="11"/>
      <c r="C860" s="11"/>
      <c r="D860" s="11"/>
      <c r="E860" s="11"/>
      <c r="F860" s="11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3"/>
      <c r="T860" s="13"/>
      <c r="U860" s="13"/>
      <c r="V860" s="13"/>
      <c r="W860" s="13"/>
      <c r="X860" s="13"/>
      <c r="Y860" s="13"/>
      <c r="Z860" s="13"/>
      <c r="AA860" s="13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3"/>
      <c r="AO860" s="13"/>
      <c r="AP860" s="13"/>
      <c r="AQ860" s="13"/>
      <c r="AR860" s="13"/>
      <c r="AS860" s="13"/>
      <c r="AT860" s="13"/>
      <c r="AU860" s="13"/>
      <c r="AV860" s="13"/>
      <c r="AW860" s="14"/>
      <c r="AX860" s="14"/>
      <c r="AY860" s="14"/>
      <c r="AZ860" s="14"/>
      <c r="BA860" s="14"/>
    </row>
    <row r="861">
      <c r="A861" s="11"/>
      <c r="B861" s="11"/>
      <c r="C861" s="11"/>
      <c r="D861" s="11"/>
      <c r="E861" s="11"/>
      <c r="F861" s="11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3"/>
      <c r="T861" s="13"/>
      <c r="U861" s="13"/>
      <c r="V861" s="13"/>
      <c r="W861" s="13"/>
      <c r="X861" s="13"/>
      <c r="Y861" s="13"/>
      <c r="Z861" s="13"/>
      <c r="AA861" s="13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3"/>
      <c r="AO861" s="13"/>
      <c r="AP861" s="13"/>
      <c r="AQ861" s="13"/>
      <c r="AR861" s="13"/>
      <c r="AS861" s="13"/>
      <c r="AT861" s="13"/>
      <c r="AU861" s="13"/>
      <c r="AV861" s="13"/>
      <c r="AW861" s="14"/>
      <c r="AX861" s="14"/>
      <c r="AY861" s="14"/>
      <c r="AZ861" s="14"/>
      <c r="BA861" s="14"/>
    </row>
    <row r="862">
      <c r="A862" s="11"/>
      <c r="B862" s="11"/>
      <c r="C862" s="11"/>
      <c r="D862" s="11"/>
      <c r="E862" s="11"/>
      <c r="F862" s="11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3"/>
      <c r="T862" s="13"/>
      <c r="U862" s="13"/>
      <c r="V862" s="13"/>
      <c r="W862" s="13"/>
      <c r="X862" s="13"/>
      <c r="Y862" s="13"/>
      <c r="Z862" s="13"/>
      <c r="AA862" s="13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3"/>
      <c r="AO862" s="13"/>
      <c r="AP862" s="13"/>
      <c r="AQ862" s="13"/>
      <c r="AR862" s="13"/>
      <c r="AS862" s="13"/>
      <c r="AT862" s="13"/>
      <c r="AU862" s="13"/>
      <c r="AV862" s="13"/>
      <c r="AW862" s="14"/>
      <c r="AX862" s="14"/>
      <c r="AY862" s="14"/>
      <c r="AZ862" s="14"/>
      <c r="BA862" s="14"/>
    </row>
    <row r="863">
      <c r="A863" s="11"/>
      <c r="B863" s="11"/>
      <c r="C863" s="11"/>
      <c r="D863" s="11"/>
      <c r="E863" s="11"/>
      <c r="F863" s="11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3"/>
      <c r="T863" s="13"/>
      <c r="U863" s="13"/>
      <c r="V863" s="13"/>
      <c r="W863" s="13"/>
      <c r="X863" s="13"/>
      <c r="Y863" s="13"/>
      <c r="Z863" s="13"/>
      <c r="AA863" s="13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3"/>
      <c r="AO863" s="13"/>
      <c r="AP863" s="13"/>
      <c r="AQ863" s="13"/>
      <c r="AR863" s="13"/>
      <c r="AS863" s="13"/>
      <c r="AT863" s="13"/>
      <c r="AU863" s="13"/>
      <c r="AV863" s="13"/>
      <c r="AW863" s="14"/>
      <c r="AX863" s="14"/>
      <c r="AY863" s="14"/>
      <c r="AZ863" s="14"/>
      <c r="BA863" s="14"/>
    </row>
    <row r="864">
      <c r="A864" s="11"/>
      <c r="B864" s="11"/>
      <c r="C864" s="11"/>
      <c r="D864" s="11"/>
      <c r="E864" s="11"/>
      <c r="F864" s="11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3"/>
      <c r="T864" s="13"/>
      <c r="U864" s="13"/>
      <c r="V864" s="13"/>
      <c r="W864" s="13"/>
      <c r="X864" s="13"/>
      <c r="Y864" s="13"/>
      <c r="Z864" s="13"/>
      <c r="AA864" s="13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3"/>
      <c r="AO864" s="13"/>
      <c r="AP864" s="13"/>
      <c r="AQ864" s="13"/>
      <c r="AR864" s="13"/>
      <c r="AS864" s="13"/>
      <c r="AT864" s="13"/>
      <c r="AU864" s="13"/>
      <c r="AV864" s="13"/>
      <c r="AW864" s="14"/>
      <c r="AX864" s="14"/>
      <c r="AY864" s="14"/>
      <c r="AZ864" s="14"/>
      <c r="BA864" s="14"/>
    </row>
    <row r="865">
      <c r="A865" s="11"/>
      <c r="B865" s="11"/>
      <c r="C865" s="11"/>
      <c r="D865" s="11"/>
      <c r="E865" s="11"/>
      <c r="F865" s="11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3"/>
      <c r="T865" s="13"/>
      <c r="U865" s="13"/>
      <c r="V865" s="13"/>
      <c r="W865" s="13"/>
      <c r="X865" s="13"/>
      <c r="Y865" s="13"/>
      <c r="Z865" s="13"/>
      <c r="AA865" s="13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3"/>
      <c r="AO865" s="13"/>
      <c r="AP865" s="13"/>
      <c r="AQ865" s="13"/>
      <c r="AR865" s="13"/>
      <c r="AS865" s="13"/>
      <c r="AT865" s="13"/>
      <c r="AU865" s="13"/>
      <c r="AV865" s="13"/>
      <c r="AW865" s="14"/>
      <c r="AX865" s="14"/>
      <c r="AY865" s="14"/>
      <c r="AZ865" s="14"/>
      <c r="BA865" s="14"/>
    </row>
    <row r="866">
      <c r="A866" s="11"/>
      <c r="B866" s="11"/>
      <c r="C866" s="11"/>
      <c r="D866" s="11"/>
      <c r="E866" s="11"/>
      <c r="F866" s="11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3"/>
      <c r="T866" s="13"/>
      <c r="U866" s="13"/>
      <c r="V866" s="13"/>
      <c r="W866" s="13"/>
      <c r="X866" s="13"/>
      <c r="Y866" s="13"/>
      <c r="Z866" s="13"/>
      <c r="AA866" s="13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3"/>
      <c r="AO866" s="13"/>
      <c r="AP866" s="13"/>
      <c r="AQ866" s="13"/>
      <c r="AR866" s="13"/>
      <c r="AS866" s="13"/>
      <c r="AT866" s="13"/>
      <c r="AU866" s="13"/>
      <c r="AV866" s="13"/>
      <c r="AW866" s="14"/>
      <c r="AX866" s="14"/>
      <c r="AY866" s="14"/>
      <c r="AZ866" s="14"/>
      <c r="BA866" s="14"/>
    </row>
    <row r="867">
      <c r="A867" s="11"/>
      <c r="B867" s="11"/>
      <c r="C867" s="11"/>
      <c r="D867" s="11"/>
      <c r="E867" s="11"/>
      <c r="F867" s="11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3"/>
      <c r="T867" s="13"/>
      <c r="U867" s="13"/>
      <c r="V867" s="13"/>
      <c r="W867" s="13"/>
      <c r="X867" s="13"/>
      <c r="Y867" s="13"/>
      <c r="Z867" s="13"/>
      <c r="AA867" s="13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3"/>
      <c r="AO867" s="13"/>
      <c r="AP867" s="13"/>
      <c r="AQ867" s="13"/>
      <c r="AR867" s="13"/>
      <c r="AS867" s="13"/>
      <c r="AT867" s="13"/>
      <c r="AU867" s="13"/>
      <c r="AV867" s="13"/>
      <c r="AW867" s="14"/>
      <c r="AX867" s="14"/>
      <c r="AY867" s="14"/>
      <c r="AZ867" s="14"/>
      <c r="BA867" s="14"/>
    </row>
    <row r="868">
      <c r="A868" s="11"/>
      <c r="B868" s="11"/>
      <c r="C868" s="11"/>
      <c r="D868" s="11"/>
      <c r="E868" s="11"/>
      <c r="F868" s="11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3"/>
      <c r="T868" s="13"/>
      <c r="U868" s="13"/>
      <c r="V868" s="13"/>
      <c r="W868" s="13"/>
      <c r="X868" s="13"/>
      <c r="Y868" s="13"/>
      <c r="Z868" s="13"/>
      <c r="AA868" s="13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3"/>
      <c r="AO868" s="13"/>
      <c r="AP868" s="13"/>
      <c r="AQ868" s="13"/>
      <c r="AR868" s="13"/>
      <c r="AS868" s="13"/>
      <c r="AT868" s="13"/>
      <c r="AU868" s="13"/>
      <c r="AV868" s="13"/>
      <c r="AW868" s="14"/>
      <c r="AX868" s="14"/>
      <c r="AY868" s="14"/>
      <c r="AZ868" s="14"/>
      <c r="BA868" s="14"/>
    </row>
    <row r="869">
      <c r="A869" s="11"/>
      <c r="B869" s="11"/>
      <c r="C869" s="11"/>
      <c r="D869" s="11"/>
      <c r="E869" s="11"/>
      <c r="F869" s="11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3"/>
      <c r="T869" s="13"/>
      <c r="U869" s="13"/>
      <c r="V869" s="13"/>
      <c r="W869" s="13"/>
      <c r="X869" s="13"/>
      <c r="Y869" s="13"/>
      <c r="Z869" s="13"/>
      <c r="AA869" s="13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3"/>
      <c r="AO869" s="13"/>
      <c r="AP869" s="13"/>
      <c r="AQ869" s="13"/>
      <c r="AR869" s="13"/>
      <c r="AS869" s="13"/>
      <c r="AT869" s="13"/>
      <c r="AU869" s="13"/>
      <c r="AV869" s="13"/>
      <c r="AW869" s="14"/>
      <c r="AX869" s="14"/>
      <c r="AY869" s="14"/>
      <c r="AZ869" s="14"/>
      <c r="BA869" s="14"/>
    </row>
    <row r="870">
      <c r="A870" s="11"/>
      <c r="B870" s="11"/>
      <c r="C870" s="11"/>
      <c r="D870" s="11"/>
      <c r="E870" s="11"/>
      <c r="F870" s="11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3"/>
      <c r="T870" s="13"/>
      <c r="U870" s="13"/>
      <c r="V870" s="13"/>
      <c r="W870" s="13"/>
      <c r="X870" s="13"/>
      <c r="Y870" s="13"/>
      <c r="Z870" s="13"/>
      <c r="AA870" s="13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3"/>
      <c r="AO870" s="13"/>
      <c r="AP870" s="13"/>
      <c r="AQ870" s="13"/>
      <c r="AR870" s="13"/>
      <c r="AS870" s="13"/>
      <c r="AT870" s="13"/>
      <c r="AU870" s="13"/>
      <c r="AV870" s="13"/>
      <c r="AW870" s="14"/>
      <c r="AX870" s="14"/>
      <c r="AY870" s="14"/>
      <c r="AZ870" s="14"/>
      <c r="BA870" s="14"/>
    </row>
    <row r="871">
      <c r="A871" s="11"/>
      <c r="B871" s="11"/>
      <c r="C871" s="11"/>
      <c r="D871" s="11"/>
      <c r="E871" s="11"/>
      <c r="F871" s="11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3"/>
      <c r="T871" s="13"/>
      <c r="U871" s="13"/>
      <c r="V871" s="13"/>
      <c r="W871" s="13"/>
      <c r="X871" s="13"/>
      <c r="Y871" s="13"/>
      <c r="Z871" s="13"/>
      <c r="AA871" s="13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3"/>
      <c r="AO871" s="13"/>
      <c r="AP871" s="13"/>
      <c r="AQ871" s="13"/>
      <c r="AR871" s="13"/>
      <c r="AS871" s="13"/>
      <c r="AT871" s="13"/>
      <c r="AU871" s="13"/>
      <c r="AV871" s="13"/>
      <c r="AW871" s="14"/>
      <c r="AX871" s="14"/>
      <c r="AY871" s="14"/>
      <c r="AZ871" s="14"/>
      <c r="BA871" s="14"/>
    </row>
    <row r="872">
      <c r="A872" s="11"/>
      <c r="B872" s="11"/>
      <c r="C872" s="11"/>
      <c r="D872" s="11"/>
      <c r="E872" s="11"/>
      <c r="F872" s="11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3"/>
      <c r="T872" s="13"/>
      <c r="U872" s="13"/>
      <c r="V872" s="13"/>
      <c r="W872" s="13"/>
      <c r="X872" s="13"/>
      <c r="Y872" s="13"/>
      <c r="Z872" s="13"/>
      <c r="AA872" s="13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3"/>
      <c r="AO872" s="13"/>
      <c r="AP872" s="13"/>
      <c r="AQ872" s="13"/>
      <c r="AR872" s="13"/>
      <c r="AS872" s="13"/>
      <c r="AT872" s="13"/>
      <c r="AU872" s="13"/>
      <c r="AV872" s="13"/>
      <c r="AW872" s="14"/>
      <c r="AX872" s="14"/>
      <c r="AY872" s="14"/>
      <c r="AZ872" s="14"/>
      <c r="BA872" s="14"/>
    </row>
    <row r="873">
      <c r="A873" s="11"/>
      <c r="B873" s="11"/>
      <c r="C873" s="11"/>
      <c r="D873" s="11"/>
      <c r="E873" s="11"/>
      <c r="F873" s="11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3"/>
      <c r="T873" s="13"/>
      <c r="U873" s="13"/>
      <c r="V873" s="13"/>
      <c r="W873" s="13"/>
      <c r="X873" s="13"/>
      <c r="Y873" s="13"/>
      <c r="Z873" s="13"/>
      <c r="AA873" s="13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3"/>
      <c r="AO873" s="13"/>
      <c r="AP873" s="13"/>
      <c r="AQ873" s="13"/>
      <c r="AR873" s="13"/>
      <c r="AS873" s="13"/>
      <c r="AT873" s="13"/>
      <c r="AU873" s="13"/>
      <c r="AV873" s="13"/>
      <c r="AW873" s="14"/>
      <c r="AX873" s="14"/>
      <c r="AY873" s="14"/>
      <c r="AZ873" s="14"/>
      <c r="BA873" s="14"/>
    </row>
    <row r="874">
      <c r="A874" s="11"/>
      <c r="B874" s="11"/>
      <c r="C874" s="11"/>
      <c r="D874" s="11"/>
      <c r="E874" s="11"/>
      <c r="F874" s="11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3"/>
      <c r="T874" s="13"/>
      <c r="U874" s="13"/>
      <c r="V874" s="13"/>
      <c r="W874" s="13"/>
      <c r="X874" s="13"/>
      <c r="Y874" s="13"/>
      <c r="Z874" s="13"/>
      <c r="AA874" s="13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3"/>
      <c r="AO874" s="13"/>
      <c r="AP874" s="13"/>
      <c r="AQ874" s="13"/>
      <c r="AR874" s="13"/>
      <c r="AS874" s="13"/>
      <c r="AT874" s="13"/>
      <c r="AU874" s="13"/>
      <c r="AV874" s="13"/>
      <c r="AW874" s="14"/>
      <c r="AX874" s="14"/>
      <c r="AY874" s="14"/>
      <c r="AZ874" s="14"/>
      <c r="BA874" s="14"/>
    </row>
    <row r="875">
      <c r="A875" s="11"/>
      <c r="B875" s="11"/>
      <c r="C875" s="11"/>
      <c r="D875" s="11"/>
      <c r="E875" s="11"/>
      <c r="F875" s="11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3"/>
      <c r="T875" s="13"/>
      <c r="U875" s="13"/>
      <c r="V875" s="13"/>
      <c r="W875" s="13"/>
      <c r="X875" s="13"/>
      <c r="Y875" s="13"/>
      <c r="Z875" s="13"/>
      <c r="AA875" s="13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3"/>
      <c r="AO875" s="13"/>
      <c r="AP875" s="13"/>
      <c r="AQ875" s="13"/>
      <c r="AR875" s="13"/>
      <c r="AS875" s="13"/>
      <c r="AT875" s="13"/>
      <c r="AU875" s="13"/>
      <c r="AV875" s="13"/>
      <c r="AW875" s="14"/>
      <c r="AX875" s="14"/>
      <c r="AY875" s="14"/>
      <c r="AZ875" s="14"/>
      <c r="BA875" s="14"/>
    </row>
    <row r="876">
      <c r="A876" s="11"/>
      <c r="B876" s="11"/>
      <c r="C876" s="11"/>
      <c r="D876" s="11"/>
      <c r="E876" s="11"/>
      <c r="F876" s="11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3"/>
      <c r="T876" s="13"/>
      <c r="U876" s="13"/>
      <c r="V876" s="13"/>
      <c r="W876" s="13"/>
      <c r="X876" s="13"/>
      <c r="Y876" s="13"/>
      <c r="Z876" s="13"/>
      <c r="AA876" s="13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3"/>
      <c r="AO876" s="13"/>
      <c r="AP876" s="13"/>
      <c r="AQ876" s="13"/>
      <c r="AR876" s="13"/>
      <c r="AS876" s="13"/>
      <c r="AT876" s="13"/>
      <c r="AU876" s="13"/>
      <c r="AV876" s="13"/>
      <c r="AW876" s="14"/>
      <c r="AX876" s="14"/>
      <c r="AY876" s="14"/>
      <c r="AZ876" s="14"/>
      <c r="BA876" s="14"/>
    </row>
    <row r="877">
      <c r="A877" s="11"/>
      <c r="B877" s="11"/>
      <c r="C877" s="11"/>
      <c r="D877" s="11"/>
      <c r="E877" s="11"/>
      <c r="F877" s="11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3"/>
      <c r="T877" s="13"/>
      <c r="U877" s="13"/>
      <c r="V877" s="13"/>
      <c r="W877" s="13"/>
      <c r="X877" s="13"/>
      <c r="Y877" s="13"/>
      <c r="Z877" s="13"/>
      <c r="AA877" s="13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3"/>
      <c r="AO877" s="13"/>
      <c r="AP877" s="13"/>
      <c r="AQ877" s="13"/>
      <c r="AR877" s="13"/>
      <c r="AS877" s="13"/>
      <c r="AT877" s="13"/>
      <c r="AU877" s="13"/>
      <c r="AV877" s="13"/>
      <c r="AW877" s="14"/>
      <c r="AX877" s="14"/>
      <c r="AY877" s="14"/>
      <c r="AZ877" s="14"/>
      <c r="BA877" s="14"/>
    </row>
    <row r="878">
      <c r="A878" s="11"/>
      <c r="B878" s="11"/>
      <c r="C878" s="11"/>
      <c r="D878" s="11"/>
      <c r="E878" s="11"/>
      <c r="F878" s="11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3"/>
      <c r="T878" s="13"/>
      <c r="U878" s="13"/>
      <c r="V878" s="13"/>
      <c r="W878" s="13"/>
      <c r="X878" s="13"/>
      <c r="Y878" s="13"/>
      <c r="Z878" s="13"/>
      <c r="AA878" s="13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3"/>
      <c r="AO878" s="13"/>
      <c r="AP878" s="13"/>
      <c r="AQ878" s="13"/>
      <c r="AR878" s="13"/>
      <c r="AS878" s="13"/>
      <c r="AT878" s="13"/>
      <c r="AU878" s="13"/>
      <c r="AV878" s="13"/>
      <c r="AW878" s="14"/>
      <c r="AX878" s="14"/>
      <c r="AY878" s="14"/>
      <c r="AZ878" s="14"/>
      <c r="BA878" s="14"/>
    </row>
    <row r="879">
      <c r="A879" s="11"/>
      <c r="B879" s="11"/>
      <c r="C879" s="11"/>
      <c r="D879" s="11"/>
      <c r="E879" s="11"/>
      <c r="F879" s="11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3"/>
      <c r="T879" s="13"/>
      <c r="U879" s="13"/>
      <c r="V879" s="13"/>
      <c r="W879" s="13"/>
      <c r="X879" s="13"/>
      <c r="Y879" s="13"/>
      <c r="Z879" s="13"/>
      <c r="AA879" s="13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3"/>
      <c r="AO879" s="13"/>
      <c r="AP879" s="13"/>
      <c r="AQ879" s="13"/>
      <c r="AR879" s="13"/>
      <c r="AS879" s="13"/>
      <c r="AT879" s="13"/>
      <c r="AU879" s="13"/>
      <c r="AV879" s="13"/>
      <c r="AW879" s="14"/>
      <c r="AX879" s="14"/>
      <c r="AY879" s="14"/>
      <c r="AZ879" s="14"/>
      <c r="BA879" s="14"/>
    </row>
    <row r="880">
      <c r="A880" s="11"/>
      <c r="B880" s="11"/>
      <c r="C880" s="11"/>
      <c r="D880" s="11"/>
      <c r="E880" s="11"/>
      <c r="F880" s="11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3"/>
      <c r="T880" s="13"/>
      <c r="U880" s="13"/>
      <c r="V880" s="13"/>
      <c r="W880" s="13"/>
      <c r="X880" s="13"/>
      <c r="Y880" s="13"/>
      <c r="Z880" s="13"/>
      <c r="AA880" s="13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3"/>
      <c r="AO880" s="13"/>
      <c r="AP880" s="13"/>
      <c r="AQ880" s="13"/>
      <c r="AR880" s="13"/>
      <c r="AS880" s="13"/>
      <c r="AT880" s="13"/>
      <c r="AU880" s="13"/>
      <c r="AV880" s="13"/>
      <c r="AW880" s="14"/>
      <c r="AX880" s="14"/>
      <c r="AY880" s="14"/>
      <c r="AZ880" s="14"/>
      <c r="BA880" s="14"/>
    </row>
    <row r="881">
      <c r="A881" s="11"/>
      <c r="B881" s="11"/>
      <c r="C881" s="11"/>
      <c r="D881" s="11"/>
      <c r="E881" s="11"/>
      <c r="F881" s="11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3"/>
      <c r="T881" s="13"/>
      <c r="U881" s="13"/>
      <c r="V881" s="13"/>
      <c r="W881" s="13"/>
      <c r="X881" s="13"/>
      <c r="Y881" s="13"/>
      <c r="Z881" s="13"/>
      <c r="AA881" s="13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3"/>
      <c r="AO881" s="13"/>
      <c r="AP881" s="13"/>
      <c r="AQ881" s="13"/>
      <c r="AR881" s="13"/>
      <c r="AS881" s="13"/>
      <c r="AT881" s="13"/>
      <c r="AU881" s="13"/>
      <c r="AV881" s="13"/>
      <c r="AW881" s="14"/>
      <c r="AX881" s="14"/>
      <c r="AY881" s="14"/>
      <c r="AZ881" s="14"/>
      <c r="BA881" s="14"/>
    </row>
    <row r="882">
      <c r="A882" s="11"/>
      <c r="B882" s="11"/>
      <c r="C882" s="11"/>
      <c r="D882" s="11"/>
      <c r="E882" s="11"/>
      <c r="F882" s="11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3"/>
      <c r="T882" s="13"/>
      <c r="U882" s="13"/>
      <c r="V882" s="13"/>
      <c r="W882" s="13"/>
      <c r="X882" s="13"/>
      <c r="Y882" s="13"/>
      <c r="Z882" s="13"/>
      <c r="AA882" s="13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3"/>
      <c r="AO882" s="13"/>
      <c r="AP882" s="13"/>
      <c r="AQ882" s="13"/>
      <c r="AR882" s="13"/>
      <c r="AS882" s="13"/>
      <c r="AT882" s="13"/>
      <c r="AU882" s="13"/>
      <c r="AV882" s="13"/>
      <c r="AW882" s="14"/>
      <c r="AX882" s="14"/>
      <c r="AY882" s="14"/>
      <c r="AZ882" s="14"/>
      <c r="BA882" s="14"/>
    </row>
    <row r="883">
      <c r="A883" s="11"/>
      <c r="B883" s="11"/>
      <c r="C883" s="11"/>
      <c r="D883" s="11"/>
      <c r="E883" s="11"/>
      <c r="F883" s="11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3"/>
      <c r="T883" s="13"/>
      <c r="U883" s="13"/>
      <c r="V883" s="13"/>
      <c r="W883" s="13"/>
      <c r="X883" s="13"/>
      <c r="Y883" s="13"/>
      <c r="Z883" s="13"/>
      <c r="AA883" s="13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3"/>
      <c r="AO883" s="13"/>
      <c r="AP883" s="13"/>
      <c r="AQ883" s="13"/>
      <c r="AR883" s="13"/>
      <c r="AS883" s="13"/>
      <c r="AT883" s="13"/>
      <c r="AU883" s="13"/>
      <c r="AV883" s="13"/>
      <c r="AW883" s="14"/>
      <c r="AX883" s="14"/>
      <c r="AY883" s="14"/>
      <c r="AZ883" s="14"/>
      <c r="BA883" s="14"/>
    </row>
    <row r="884">
      <c r="A884" s="11"/>
      <c r="B884" s="11"/>
      <c r="C884" s="11"/>
      <c r="D884" s="11"/>
      <c r="E884" s="11"/>
      <c r="F884" s="11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3"/>
      <c r="T884" s="13"/>
      <c r="U884" s="13"/>
      <c r="V884" s="13"/>
      <c r="W884" s="13"/>
      <c r="X884" s="13"/>
      <c r="Y884" s="13"/>
      <c r="Z884" s="13"/>
      <c r="AA884" s="13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3"/>
      <c r="AO884" s="13"/>
      <c r="AP884" s="13"/>
      <c r="AQ884" s="13"/>
      <c r="AR884" s="13"/>
      <c r="AS884" s="13"/>
      <c r="AT884" s="13"/>
      <c r="AU884" s="13"/>
      <c r="AV884" s="13"/>
      <c r="AW884" s="14"/>
      <c r="AX884" s="14"/>
      <c r="AY884" s="14"/>
      <c r="AZ884" s="14"/>
      <c r="BA884" s="14"/>
    </row>
    <row r="885">
      <c r="A885" s="11"/>
      <c r="B885" s="11"/>
      <c r="C885" s="11"/>
      <c r="D885" s="11"/>
      <c r="E885" s="11"/>
      <c r="F885" s="11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3"/>
      <c r="T885" s="13"/>
      <c r="U885" s="13"/>
      <c r="V885" s="13"/>
      <c r="W885" s="13"/>
      <c r="X885" s="13"/>
      <c r="Y885" s="13"/>
      <c r="Z885" s="13"/>
      <c r="AA885" s="13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3"/>
      <c r="AO885" s="13"/>
      <c r="AP885" s="13"/>
      <c r="AQ885" s="13"/>
      <c r="AR885" s="13"/>
      <c r="AS885" s="13"/>
      <c r="AT885" s="13"/>
      <c r="AU885" s="13"/>
      <c r="AV885" s="13"/>
      <c r="AW885" s="14"/>
      <c r="AX885" s="14"/>
      <c r="AY885" s="14"/>
      <c r="AZ885" s="14"/>
      <c r="BA885" s="14"/>
    </row>
    <row r="886">
      <c r="A886" s="11"/>
      <c r="B886" s="11"/>
      <c r="C886" s="11"/>
      <c r="D886" s="11"/>
      <c r="E886" s="11"/>
      <c r="F886" s="11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3"/>
      <c r="T886" s="13"/>
      <c r="U886" s="13"/>
      <c r="V886" s="13"/>
      <c r="W886" s="13"/>
      <c r="X886" s="13"/>
      <c r="Y886" s="13"/>
      <c r="Z886" s="13"/>
      <c r="AA886" s="13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3"/>
      <c r="AO886" s="13"/>
      <c r="AP886" s="13"/>
      <c r="AQ886" s="13"/>
      <c r="AR886" s="13"/>
      <c r="AS886" s="13"/>
      <c r="AT886" s="13"/>
      <c r="AU886" s="13"/>
      <c r="AV886" s="13"/>
      <c r="AW886" s="14"/>
      <c r="AX886" s="14"/>
      <c r="AY886" s="14"/>
      <c r="AZ886" s="14"/>
      <c r="BA886" s="14"/>
    </row>
    <row r="887">
      <c r="A887" s="11"/>
      <c r="B887" s="11"/>
      <c r="C887" s="11"/>
      <c r="D887" s="11"/>
      <c r="E887" s="11"/>
      <c r="F887" s="11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3"/>
      <c r="T887" s="13"/>
      <c r="U887" s="13"/>
      <c r="V887" s="13"/>
      <c r="W887" s="13"/>
      <c r="X887" s="13"/>
      <c r="Y887" s="13"/>
      <c r="Z887" s="13"/>
      <c r="AA887" s="13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3"/>
      <c r="AO887" s="13"/>
      <c r="AP887" s="13"/>
      <c r="AQ887" s="13"/>
      <c r="AR887" s="13"/>
      <c r="AS887" s="13"/>
      <c r="AT887" s="13"/>
      <c r="AU887" s="13"/>
      <c r="AV887" s="13"/>
      <c r="AW887" s="14"/>
      <c r="AX887" s="14"/>
      <c r="AY887" s="14"/>
      <c r="AZ887" s="14"/>
      <c r="BA887" s="14"/>
    </row>
    <row r="888">
      <c r="A888" s="11"/>
      <c r="B888" s="11"/>
      <c r="C888" s="11"/>
      <c r="D888" s="11"/>
      <c r="E888" s="11"/>
      <c r="F888" s="11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3"/>
      <c r="T888" s="13"/>
      <c r="U888" s="13"/>
      <c r="V888" s="13"/>
      <c r="W888" s="13"/>
      <c r="X888" s="13"/>
      <c r="Y888" s="13"/>
      <c r="Z888" s="13"/>
      <c r="AA888" s="13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3"/>
      <c r="AO888" s="13"/>
      <c r="AP888" s="13"/>
      <c r="AQ888" s="13"/>
      <c r="AR888" s="13"/>
      <c r="AS888" s="13"/>
      <c r="AT888" s="13"/>
      <c r="AU888" s="13"/>
      <c r="AV888" s="13"/>
      <c r="AW888" s="14"/>
      <c r="AX888" s="14"/>
      <c r="AY888" s="14"/>
      <c r="AZ888" s="14"/>
      <c r="BA888" s="14"/>
    </row>
    <row r="889">
      <c r="A889" s="11"/>
      <c r="B889" s="11"/>
      <c r="C889" s="11"/>
      <c r="D889" s="11"/>
      <c r="E889" s="11"/>
      <c r="F889" s="11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3"/>
      <c r="T889" s="13"/>
      <c r="U889" s="13"/>
      <c r="V889" s="13"/>
      <c r="W889" s="13"/>
      <c r="X889" s="13"/>
      <c r="Y889" s="13"/>
      <c r="Z889" s="13"/>
      <c r="AA889" s="13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3"/>
      <c r="AO889" s="13"/>
      <c r="AP889" s="13"/>
      <c r="AQ889" s="13"/>
      <c r="AR889" s="13"/>
      <c r="AS889" s="13"/>
      <c r="AT889" s="13"/>
      <c r="AU889" s="13"/>
      <c r="AV889" s="13"/>
      <c r="AW889" s="14"/>
      <c r="AX889" s="14"/>
      <c r="AY889" s="14"/>
      <c r="AZ889" s="14"/>
      <c r="BA889" s="14"/>
    </row>
    <row r="890">
      <c r="A890" s="11"/>
      <c r="B890" s="11"/>
      <c r="C890" s="11"/>
      <c r="D890" s="11"/>
      <c r="E890" s="11"/>
      <c r="F890" s="11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3"/>
      <c r="T890" s="13"/>
      <c r="U890" s="13"/>
      <c r="V890" s="13"/>
      <c r="W890" s="13"/>
      <c r="X890" s="13"/>
      <c r="Y890" s="13"/>
      <c r="Z890" s="13"/>
      <c r="AA890" s="13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3"/>
      <c r="AO890" s="13"/>
      <c r="AP890" s="13"/>
      <c r="AQ890" s="13"/>
      <c r="AR890" s="13"/>
      <c r="AS890" s="13"/>
      <c r="AT890" s="13"/>
      <c r="AU890" s="13"/>
      <c r="AV890" s="13"/>
      <c r="AW890" s="14"/>
      <c r="AX890" s="14"/>
      <c r="AY890" s="14"/>
      <c r="AZ890" s="14"/>
      <c r="BA890" s="14"/>
    </row>
    <row r="891">
      <c r="A891" s="11"/>
      <c r="B891" s="11"/>
      <c r="C891" s="11"/>
      <c r="D891" s="11"/>
      <c r="E891" s="11"/>
      <c r="F891" s="11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3"/>
      <c r="T891" s="13"/>
      <c r="U891" s="13"/>
      <c r="V891" s="13"/>
      <c r="W891" s="13"/>
      <c r="X891" s="13"/>
      <c r="Y891" s="13"/>
      <c r="Z891" s="13"/>
      <c r="AA891" s="13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3"/>
      <c r="AO891" s="13"/>
      <c r="AP891" s="13"/>
      <c r="AQ891" s="13"/>
      <c r="AR891" s="13"/>
      <c r="AS891" s="13"/>
      <c r="AT891" s="13"/>
      <c r="AU891" s="13"/>
      <c r="AV891" s="13"/>
      <c r="AW891" s="14"/>
      <c r="AX891" s="14"/>
      <c r="AY891" s="14"/>
      <c r="AZ891" s="14"/>
      <c r="BA891" s="14"/>
    </row>
    <row r="892">
      <c r="A892" s="11"/>
      <c r="B892" s="11"/>
      <c r="C892" s="11"/>
      <c r="D892" s="11"/>
      <c r="E892" s="11"/>
      <c r="F892" s="11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3"/>
      <c r="T892" s="13"/>
      <c r="U892" s="13"/>
      <c r="V892" s="13"/>
      <c r="W892" s="13"/>
      <c r="X892" s="13"/>
      <c r="Y892" s="13"/>
      <c r="Z892" s="13"/>
      <c r="AA892" s="13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3"/>
      <c r="AO892" s="13"/>
      <c r="AP892" s="13"/>
      <c r="AQ892" s="13"/>
      <c r="AR892" s="13"/>
      <c r="AS892" s="13"/>
      <c r="AT892" s="13"/>
      <c r="AU892" s="13"/>
      <c r="AV892" s="13"/>
      <c r="AW892" s="14"/>
      <c r="AX892" s="14"/>
      <c r="AY892" s="14"/>
      <c r="AZ892" s="14"/>
      <c r="BA892" s="14"/>
    </row>
    <row r="893">
      <c r="A893" s="11"/>
      <c r="B893" s="11"/>
      <c r="C893" s="11"/>
      <c r="D893" s="11"/>
      <c r="E893" s="11"/>
      <c r="F893" s="11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3"/>
      <c r="T893" s="13"/>
      <c r="U893" s="13"/>
      <c r="V893" s="13"/>
      <c r="W893" s="13"/>
      <c r="X893" s="13"/>
      <c r="Y893" s="13"/>
      <c r="Z893" s="13"/>
      <c r="AA893" s="13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3"/>
      <c r="AO893" s="13"/>
      <c r="AP893" s="13"/>
      <c r="AQ893" s="13"/>
      <c r="AR893" s="13"/>
      <c r="AS893" s="13"/>
      <c r="AT893" s="13"/>
      <c r="AU893" s="13"/>
      <c r="AV893" s="13"/>
      <c r="AW893" s="14"/>
      <c r="AX893" s="14"/>
      <c r="AY893" s="14"/>
      <c r="AZ893" s="14"/>
      <c r="BA893" s="14"/>
    </row>
    <row r="894">
      <c r="A894" s="11"/>
      <c r="B894" s="11"/>
      <c r="C894" s="11"/>
      <c r="D894" s="11"/>
      <c r="E894" s="11"/>
      <c r="F894" s="11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3"/>
      <c r="T894" s="13"/>
      <c r="U894" s="13"/>
      <c r="V894" s="13"/>
      <c r="W894" s="13"/>
      <c r="X894" s="13"/>
      <c r="Y894" s="13"/>
      <c r="Z894" s="13"/>
      <c r="AA894" s="13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3"/>
      <c r="AO894" s="13"/>
      <c r="AP894" s="13"/>
      <c r="AQ894" s="13"/>
      <c r="AR894" s="13"/>
      <c r="AS894" s="13"/>
      <c r="AT894" s="13"/>
      <c r="AU894" s="13"/>
      <c r="AV894" s="13"/>
      <c r="AW894" s="14"/>
      <c r="AX894" s="14"/>
      <c r="AY894" s="14"/>
      <c r="AZ894" s="14"/>
      <c r="BA894" s="14"/>
    </row>
    <row r="895">
      <c r="A895" s="11"/>
      <c r="B895" s="11"/>
      <c r="C895" s="11"/>
      <c r="D895" s="11"/>
      <c r="E895" s="11"/>
      <c r="F895" s="11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3"/>
      <c r="T895" s="13"/>
      <c r="U895" s="13"/>
      <c r="V895" s="13"/>
      <c r="W895" s="13"/>
      <c r="X895" s="13"/>
      <c r="Y895" s="13"/>
      <c r="Z895" s="13"/>
      <c r="AA895" s="13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3"/>
      <c r="AO895" s="13"/>
      <c r="AP895" s="13"/>
      <c r="AQ895" s="13"/>
      <c r="AR895" s="13"/>
      <c r="AS895" s="13"/>
      <c r="AT895" s="13"/>
      <c r="AU895" s="13"/>
      <c r="AV895" s="13"/>
      <c r="AW895" s="14"/>
      <c r="AX895" s="14"/>
      <c r="AY895" s="14"/>
      <c r="AZ895" s="14"/>
      <c r="BA895" s="14"/>
    </row>
    <row r="896">
      <c r="A896" s="11"/>
      <c r="B896" s="11"/>
      <c r="C896" s="11"/>
      <c r="D896" s="11"/>
      <c r="E896" s="11"/>
      <c r="F896" s="11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3"/>
      <c r="T896" s="13"/>
      <c r="U896" s="13"/>
      <c r="V896" s="13"/>
      <c r="W896" s="13"/>
      <c r="X896" s="13"/>
      <c r="Y896" s="13"/>
      <c r="Z896" s="13"/>
      <c r="AA896" s="13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3"/>
      <c r="AO896" s="13"/>
      <c r="AP896" s="13"/>
      <c r="AQ896" s="13"/>
      <c r="AR896" s="13"/>
      <c r="AS896" s="13"/>
      <c r="AT896" s="13"/>
      <c r="AU896" s="13"/>
      <c r="AV896" s="13"/>
      <c r="AW896" s="14"/>
      <c r="AX896" s="14"/>
      <c r="AY896" s="14"/>
      <c r="AZ896" s="14"/>
      <c r="BA896" s="14"/>
    </row>
    <row r="897">
      <c r="A897" s="11"/>
      <c r="B897" s="11"/>
      <c r="C897" s="11"/>
      <c r="D897" s="11"/>
      <c r="E897" s="11"/>
      <c r="F897" s="11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3"/>
      <c r="T897" s="13"/>
      <c r="U897" s="13"/>
      <c r="V897" s="13"/>
      <c r="W897" s="13"/>
      <c r="X897" s="13"/>
      <c r="Y897" s="13"/>
      <c r="Z897" s="13"/>
      <c r="AA897" s="13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3"/>
      <c r="AO897" s="13"/>
      <c r="AP897" s="13"/>
      <c r="AQ897" s="13"/>
      <c r="AR897" s="13"/>
      <c r="AS897" s="13"/>
      <c r="AT897" s="13"/>
      <c r="AU897" s="13"/>
      <c r="AV897" s="13"/>
      <c r="AW897" s="14"/>
      <c r="AX897" s="14"/>
      <c r="AY897" s="14"/>
      <c r="AZ897" s="14"/>
      <c r="BA897" s="14"/>
    </row>
    <row r="898">
      <c r="A898" s="11"/>
      <c r="B898" s="11"/>
      <c r="C898" s="11"/>
      <c r="D898" s="11"/>
      <c r="E898" s="11"/>
      <c r="F898" s="11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3"/>
      <c r="T898" s="13"/>
      <c r="U898" s="13"/>
      <c r="V898" s="13"/>
      <c r="W898" s="13"/>
      <c r="X898" s="13"/>
      <c r="Y898" s="13"/>
      <c r="Z898" s="13"/>
      <c r="AA898" s="13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3"/>
      <c r="AO898" s="13"/>
      <c r="AP898" s="13"/>
      <c r="AQ898" s="13"/>
      <c r="AR898" s="13"/>
      <c r="AS898" s="13"/>
      <c r="AT898" s="13"/>
      <c r="AU898" s="13"/>
      <c r="AV898" s="13"/>
      <c r="AW898" s="14"/>
      <c r="AX898" s="14"/>
      <c r="AY898" s="14"/>
      <c r="AZ898" s="14"/>
      <c r="BA898" s="14"/>
    </row>
    <row r="899">
      <c r="A899" s="11"/>
      <c r="B899" s="11"/>
      <c r="C899" s="11"/>
      <c r="D899" s="11"/>
      <c r="E899" s="11"/>
      <c r="F899" s="11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3"/>
      <c r="T899" s="13"/>
      <c r="U899" s="13"/>
      <c r="V899" s="13"/>
      <c r="W899" s="13"/>
      <c r="X899" s="13"/>
      <c r="Y899" s="13"/>
      <c r="Z899" s="13"/>
      <c r="AA899" s="13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3"/>
      <c r="AO899" s="13"/>
      <c r="AP899" s="13"/>
      <c r="AQ899" s="13"/>
      <c r="AR899" s="13"/>
      <c r="AS899" s="13"/>
      <c r="AT899" s="13"/>
      <c r="AU899" s="13"/>
      <c r="AV899" s="13"/>
      <c r="AW899" s="14"/>
      <c r="AX899" s="14"/>
      <c r="AY899" s="14"/>
      <c r="AZ899" s="14"/>
      <c r="BA899" s="14"/>
    </row>
    <row r="900">
      <c r="A900" s="11"/>
      <c r="B900" s="11"/>
      <c r="C900" s="11"/>
      <c r="D900" s="11"/>
      <c r="E900" s="11"/>
      <c r="F900" s="11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3"/>
      <c r="T900" s="13"/>
      <c r="U900" s="13"/>
      <c r="V900" s="13"/>
      <c r="W900" s="13"/>
      <c r="X900" s="13"/>
      <c r="Y900" s="13"/>
      <c r="Z900" s="13"/>
      <c r="AA900" s="13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3"/>
      <c r="AO900" s="13"/>
      <c r="AP900" s="13"/>
      <c r="AQ900" s="13"/>
      <c r="AR900" s="13"/>
      <c r="AS900" s="13"/>
      <c r="AT900" s="13"/>
      <c r="AU900" s="13"/>
      <c r="AV900" s="13"/>
      <c r="AW900" s="14"/>
      <c r="AX900" s="14"/>
      <c r="AY900" s="14"/>
      <c r="AZ900" s="14"/>
      <c r="BA900" s="14"/>
    </row>
    <row r="901">
      <c r="A901" s="11"/>
      <c r="B901" s="11"/>
      <c r="C901" s="11"/>
      <c r="D901" s="11"/>
      <c r="E901" s="11"/>
      <c r="F901" s="11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3"/>
      <c r="T901" s="13"/>
      <c r="U901" s="13"/>
      <c r="V901" s="13"/>
      <c r="W901" s="13"/>
      <c r="X901" s="13"/>
      <c r="Y901" s="13"/>
      <c r="Z901" s="13"/>
      <c r="AA901" s="13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3"/>
      <c r="AO901" s="13"/>
      <c r="AP901" s="13"/>
      <c r="AQ901" s="13"/>
      <c r="AR901" s="13"/>
      <c r="AS901" s="13"/>
      <c r="AT901" s="13"/>
      <c r="AU901" s="13"/>
      <c r="AV901" s="13"/>
      <c r="AW901" s="14"/>
      <c r="AX901" s="14"/>
      <c r="AY901" s="14"/>
      <c r="AZ901" s="14"/>
      <c r="BA901" s="14"/>
    </row>
    <row r="902">
      <c r="A902" s="11"/>
      <c r="B902" s="11"/>
      <c r="C902" s="11"/>
      <c r="D902" s="11"/>
      <c r="E902" s="11"/>
      <c r="F902" s="11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3"/>
      <c r="T902" s="13"/>
      <c r="U902" s="13"/>
      <c r="V902" s="13"/>
      <c r="W902" s="13"/>
      <c r="X902" s="13"/>
      <c r="Y902" s="13"/>
      <c r="Z902" s="13"/>
      <c r="AA902" s="13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3"/>
      <c r="AO902" s="13"/>
      <c r="AP902" s="13"/>
      <c r="AQ902" s="13"/>
      <c r="AR902" s="13"/>
      <c r="AS902" s="13"/>
      <c r="AT902" s="13"/>
      <c r="AU902" s="13"/>
      <c r="AV902" s="13"/>
      <c r="AW902" s="14"/>
      <c r="AX902" s="14"/>
      <c r="AY902" s="14"/>
      <c r="AZ902" s="14"/>
      <c r="BA902" s="14"/>
    </row>
    <row r="903">
      <c r="A903" s="11"/>
      <c r="B903" s="11"/>
      <c r="C903" s="11"/>
      <c r="D903" s="11"/>
      <c r="E903" s="11"/>
      <c r="F903" s="11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3"/>
      <c r="T903" s="13"/>
      <c r="U903" s="13"/>
      <c r="V903" s="13"/>
      <c r="W903" s="13"/>
      <c r="X903" s="13"/>
      <c r="Y903" s="13"/>
      <c r="Z903" s="13"/>
      <c r="AA903" s="13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3"/>
      <c r="AO903" s="13"/>
      <c r="AP903" s="13"/>
      <c r="AQ903" s="13"/>
      <c r="AR903" s="13"/>
      <c r="AS903" s="13"/>
      <c r="AT903" s="13"/>
      <c r="AU903" s="13"/>
      <c r="AV903" s="13"/>
      <c r="AW903" s="14"/>
      <c r="AX903" s="14"/>
      <c r="AY903" s="14"/>
      <c r="AZ903" s="14"/>
      <c r="BA903" s="14"/>
    </row>
    <row r="904">
      <c r="A904" s="11"/>
      <c r="B904" s="11"/>
      <c r="C904" s="11"/>
      <c r="D904" s="11"/>
      <c r="E904" s="11"/>
      <c r="F904" s="11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3"/>
      <c r="T904" s="13"/>
      <c r="U904" s="13"/>
      <c r="V904" s="13"/>
      <c r="W904" s="13"/>
      <c r="X904" s="13"/>
      <c r="Y904" s="13"/>
      <c r="Z904" s="13"/>
      <c r="AA904" s="13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3"/>
      <c r="AO904" s="13"/>
      <c r="AP904" s="13"/>
      <c r="AQ904" s="13"/>
      <c r="AR904" s="13"/>
      <c r="AS904" s="13"/>
      <c r="AT904" s="13"/>
      <c r="AU904" s="13"/>
      <c r="AV904" s="13"/>
      <c r="AW904" s="14"/>
      <c r="AX904" s="14"/>
      <c r="AY904" s="14"/>
      <c r="AZ904" s="14"/>
      <c r="BA904" s="14"/>
    </row>
    <row r="905">
      <c r="A905" s="11"/>
      <c r="B905" s="11"/>
      <c r="C905" s="11"/>
      <c r="D905" s="11"/>
      <c r="E905" s="11"/>
      <c r="F905" s="11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3"/>
      <c r="T905" s="13"/>
      <c r="U905" s="13"/>
      <c r="V905" s="13"/>
      <c r="W905" s="13"/>
      <c r="X905" s="13"/>
      <c r="Y905" s="13"/>
      <c r="Z905" s="13"/>
      <c r="AA905" s="13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3"/>
      <c r="AO905" s="13"/>
      <c r="AP905" s="13"/>
      <c r="AQ905" s="13"/>
      <c r="AR905" s="13"/>
      <c r="AS905" s="13"/>
      <c r="AT905" s="13"/>
      <c r="AU905" s="13"/>
      <c r="AV905" s="13"/>
      <c r="AW905" s="14"/>
      <c r="AX905" s="14"/>
      <c r="AY905" s="14"/>
      <c r="AZ905" s="14"/>
      <c r="BA905" s="14"/>
    </row>
    <row r="906">
      <c r="A906" s="11"/>
      <c r="B906" s="11"/>
      <c r="C906" s="11"/>
      <c r="D906" s="11"/>
      <c r="E906" s="11"/>
      <c r="F906" s="11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3"/>
      <c r="T906" s="13"/>
      <c r="U906" s="13"/>
      <c r="V906" s="13"/>
      <c r="W906" s="13"/>
      <c r="X906" s="13"/>
      <c r="Y906" s="13"/>
      <c r="Z906" s="13"/>
      <c r="AA906" s="13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3"/>
      <c r="AO906" s="13"/>
      <c r="AP906" s="13"/>
      <c r="AQ906" s="13"/>
      <c r="AR906" s="13"/>
      <c r="AS906" s="13"/>
      <c r="AT906" s="13"/>
      <c r="AU906" s="13"/>
      <c r="AV906" s="13"/>
      <c r="AW906" s="14"/>
      <c r="AX906" s="14"/>
      <c r="AY906" s="14"/>
      <c r="AZ906" s="14"/>
      <c r="BA906" s="14"/>
    </row>
    <row r="907">
      <c r="A907" s="11"/>
      <c r="B907" s="11"/>
      <c r="C907" s="11"/>
      <c r="D907" s="11"/>
      <c r="E907" s="11"/>
      <c r="F907" s="11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3"/>
      <c r="T907" s="13"/>
      <c r="U907" s="13"/>
      <c r="V907" s="13"/>
      <c r="W907" s="13"/>
      <c r="X907" s="13"/>
      <c r="Y907" s="13"/>
      <c r="Z907" s="13"/>
      <c r="AA907" s="13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3"/>
      <c r="AO907" s="13"/>
      <c r="AP907" s="13"/>
      <c r="AQ907" s="13"/>
      <c r="AR907" s="13"/>
      <c r="AS907" s="13"/>
      <c r="AT907" s="13"/>
      <c r="AU907" s="13"/>
      <c r="AV907" s="13"/>
      <c r="AW907" s="14"/>
      <c r="AX907" s="14"/>
      <c r="AY907" s="14"/>
      <c r="AZ907" s="14"/>
      <c r="BA907" s="14"/>
    </row>
    <row r="908">
      <c r="A908" s="11"/>
      <c r="B908" s="11"/>
      <c r="C908" s="11"/>
      <c r="D908" s="11"/>
      <c r="E908" s="11"/>
      <c r="F908" s="11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3"/>
      <c r="T908" s="13"/>
      <c r="U908" s="13"/>
      <c r="V908" s="13"/>
      <c r="W908" s="13"/>
      <c r="X908" s="13"/>
      <c r="Y908" s="13"/>
      <c r="Z908" s="13"/>
      <c r="AA908" s="13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3"/>
      <c r="AO908" s="13"/>
      <c r="AP908" s="13"/>
      <c r="AQ908" s="13"/>
      <c r="AR908" s="13"/>
      <c r="AS908" s="13"/>
      <c r="AT908" s="13"/>
      <c r="AU908" s="13"/>
      <c r="AV908" s="13"/>
      <c r="AW908" s="14"/>
      <c r="AX908" s="14"/>
      <c r="AY908" s="14"/>
      <c r="AZ908" s="14"/>
      <c r="BA908" s="14"/>
    </row>
    <row r="909">
      <c r="A909" s="11"/>
      <c r="B909" s="11"/>
      <c r="C909" s="11"/>
      <c r="D909" s="11"/>
      <c r="E909" s="11"/>
      <c r="F909" s="11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3"/>
      <c r="T909" s="13"/>
      <c r="U909" s="13"/>
      <c r="V909" s="13"/>
      <c r="W909" s="13"/>
      <c r="X909" s="13"/>
      <c r="Y909" s="13"/>
      <c r="Z909" s="13"/>
      <c r="AA909" s="13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3"/>
      <c r="AO909" s="13"/>
      <c r="AP909" s="13"/>
      <c r="AQ909" s="13"/>
      <c r="AR909" s="13"/>
      <c r="AS909" s="13"/>
      <c r="AT909" s="13"/>
      <c r="AU909" s="13"/>
      <c r="AV909" s="13"/>
      <c r="AW909" s="14"/>
      <c r="AX909" s="14"/>
      <c r="AY909" s="14"/>
      <c r="AZ909" s="14"/>
      <c r="BA909" s="14"/>
    </row>
    <row r="910">
      <c r="A910" s="11"/>
      <c r="B910" s="11"/>
      <c r="C910" s="11"/>
      <c r="D910" s="11"/>
      <c r="E910" s="11"/>
      <c r="F910" s="11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3"/>
      <c r="T910" s="13"/>
      <c r="U910" s="13"/>
      <c r="V910" s="13"/>
      <c r="W910" s="13"/>
      <c r="X910" s="13"/>
      <c r="Y910" s="13"/>
      <c r="Z910" s="13"/>
      <c r="AA910" s="13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3"/>
      <c r="AO910" s="13"/>
      <c r="AP910" s="13"/>
      <c r="AQ910" s="13"/>
      <c r="AR910" s="13"/>
      <c r="AS910" s="13"/>
      <c r="AT910" s="13"/>
      <c r="AU910" s="13"/>
      <c r="AV910" s="13"/>
      <c r="AW910" s="14"/>
      <c r="AX910" s="14"/>
      <c r="AY910" s="14"/>
      <c r="AZ910" s="14"/>
      <c r="BA910" s="14"/>
    </row>
    <row r="911">
      <c r="A911" s="11"/>
      <c r="B911" s="11"/>
      <c r="C911" s="11"/>
      <c r="D911" s="11"/>
      <c r="E911" s="11"/>
      <c r="F911" s="11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3"/>
      <c r="T911" s="13"/>
      <c r="U911" s="13"/>
      <c r="V911" s="13"/>
      <c r="W911" s="13"/>
      <c r="X911" s="13"/>
      <c r="Y911" s="13"/>
      <c r="Z911" s="13"/>
      <c r="AA911" s="13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3"/>
      <c r="AO911" s="13"/>
      <c r="AP911" s="13"/>
      <c r="AQ911" s="13"/>
      <c r="AR911" s="13"/>
      <c r="AS911" s="13"/>
      <c r="AT911" s="13"/>
      <c r="AU911" s="13"/>
      <c r="AV911" s="13"/>
      <c r="AW911" s="14"/>
      <c r="AX911" s="14"/>
      <c r="AY911" s="14"/>
      <c r="AZ911" s="14"/>
      <c r="BA911" s="14"/>
    </row>
    <row r="912">
      <c r="A912" s="11"/>
      <c r="B912" s="11"/>
      <c r="C912" s="11"/>
      <c r="D912" s="11"/>
      <c r="E912" s="11"/>
      <c r="F912" s="11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3"/>
      <c r="T912" s="13"/>
      <c r="U912" s="13"/>
      <c r="V912" s="13"/>
      <c r="W912" s="13"/>
      <c r="X912" s="13"/>
      <c r="Y912" s="13"/>
      <c r="Z912" s="13"/>
      <c r="AA912" s="13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3"/>
      <c r="AO912" s="13"/>
      <c r="AP912" s="13"/>
      <c r="AQ912" s="13"/>
      <c r="AR912" s="13"/>
      <c r="AS912" s="13"/>
      <c r="AT912" s="13"/>
      <c r="AU912" s="13"/>
      <c r="AV912" s="13"/>
      <c r="AW912" s="14"/>
      <c r="AX912" s="14"/>
      <c r="AY912" s="14"/>
      <c r="AZ912" s="14"/>
      <c r="BA912" s="14"/>
    </row>
    <row r="913">
      <c r="A913" s="11"/>
      <c r="B913" s="11"/>
      <c r="C913" s="11"/>
      <c r="D913" s="11"/>
      <c r="E913" s="11"/>
      <c r="F913" s="11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3"/>
      <c r="T913" s="13"/>
      <c r="U913" s="13"/>
      <c r="V913" s="13"/>
      <c r="W913" s="13"/>
      <c r="X913" s="13"/>
      <c r="Y913" s="13"/>
      <c r="Z913" s="13"/>
      <c r="AA913" s="13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3"/>
      <c r="AO913" s="13"/>
      <c r="AP913" s="13"/>
      <c r="AQ913" s="13"/>
      <c r="AR913" s="13"/>
      <c r="AS913" s="13"/>
      <c r="AT913" s="13"/>
      <c r="AU913" s="13"/>
      <c r="AV913" s="13"/>
      <c r="AW913" s="14"/>
      <c r="AX913" s="14"/>
      <c r="AY913" s="14"/>
      <c r="AZ913" s="14"/>
      <c r="BA913" s="14"/>
    </row>
    <row r="914">
      <c r="A914" s="11"/>
      <c r="B914" s="11"/>
      <c r="C914" s="11"/>
      <c r="D914" s="11"/>
      <c r="E914" s="11"/>
      <c r="F914" s="11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3"/>
      <c r="T914" s="13"/>
      <c r="U914" s="13"/>
      <c r="V914" s="13"/>
      <c r="W914" s="13"/>
      <c r="X914" s="13"/>
      <c r="Y914" s="13"/>
      <c r="Z914" s="13"/>
      <c r="AA914" s="13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3"/>
      <c r="AO914" s="13"/>
      <c r="AP914" s="13"/>
      <c r="AQ914" s="13"/>
      <c r="AR914" s="13"/>
      <c r="AS914" s="13"/>
      <c r="AT914" s="13"/>
      <c r="AU914" s="13"/>
      <c r="AV914" s="13"/>
      <c r="AW914" s="14"/>
      <c r="AX914" s="14"/>
      <c r="AY914" s="14"/>
      <c r="AZ914" s="14"/>
      <c r="BA914" s="14"/>
    </row>
    <row r="915">
      <c r="A915" s="11"/>
      <c r="B915" s="11"/>
      <c r="C915" s="11"/>
      <c r="D915" s="11"/>
      <c r="E915" s="11"/>
      <c r="F915" s="11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3"/>
      <c r="T915" s="13"/>
      <c r="U915" s="13"/>
      <c r="V915" s="13"/>
      <c r="W915" s="13"/>
      <c r="X915" s="13"/>
      <c r="Y915" s="13"/>
      <c r="Z915" s="13"/>
      <c r="AA915" s="13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3"/>
      <c r="AO915" s="13"/>
      <c r="AP915" s="13"/>
      <c r="AQ915" s="13"/>
      <c r="AR915" s="13"/>
      <c r="AS915" s="13"/>
      <c r="AT915" s="13"/>
      <c r="AU915" s="13"/>
      <c r="AV915" s="13"/>
      <c r="AW915" s="14"/>
      <c r="AX915" s="14"/>
      <c r="AY915" s="14"/>
      <c r="AZ915" s="14"/>
      <c r="BA915" s="14"/>
    </row>
    <row r="916">
      <c r="A916" s="11"/>
      <c r="B916" s="11"/>
      <c r="C916" s="11"/>
      <c r="D916" s="11"/>
      <c r="E916" s="11"/>
      <c r="F916" s="11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3"/>
      <c r="T916" s="13"/>
      <c r="U916" s="13"/>
      <c r="V916" s="13"/>
      <c r="W916" s="13"/>
      <c r="X916" s="13"/>
      <c r="Y916" s="13"/>
      <c r="Z916" s="13"/>
      <c r="AA916" s="13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3"/>
      <c r="AO916" s="13"/>
      <c r="AP916" s="13"/>
      <c r="AQ916" s="13"/>
      <c r="AR916" s="13"/>
      <c r="AS916" s="13"/>
      <c r="AT916" s="13"/>
      <c r="AU916" s="13"/>
      <c r="AV916" s="13"/>
      <c r="AW916" s="14"/>
      <c r="AX916" s="14"/>
      <c r="AY916" s="14"/>
      <c r="AZ916" s="14"/>
      <c r="BA916" s="14"/>
    </row>
    <row r="917">
      <c r="A917" s="11"/>
      <c r="B917" s="11"/>
      <c r="C917" s="11"/>
      <c r="D917" s="11"/>
      <c r="E917" s="11"/>
      <c r="F917" s="11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3"/>
      <c r="T917" s="13"/>
      <c r="U917" s="13"/>
      <c r="V917" s="13"/>
      <c r="W917" s="13"/>
      <c r="X917" s="13"/>
      <c r="Y917" s="13"/>
      <c r="Z917" s="13"/>
      <c r="AA917" s="13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3"/>
      <c r="AO917" s="13"/>
      <c r="AP917" s="13"/>
      <c r="AQ917" s="13"/>
      <c r="AR917" s="13"/>
      <c r="AS917" s="13"/>
      <c r="AT917" s="13"/>
      <c r="AU917" s="13"/>
      <c r="AV917" s="13"/>
      <c r="AW917" s="14"/>
      <c r="AX917" s="14"/>
      <c r="AY917" s="14"/>
      <c r="AZ917" s="14"/>
      <c r="BA917" s="14"/>
    </row>
    <row r="918">
      <c r="A918" s="11"/>
      <c r="B918" s="11"/>
      <c r="C918" s="11"/>
      <c r="D918" s="11"/>
      <c r="E918" s="11"/>
      <c r="F918" s="11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3"/>
      <c r="T918" s="13"/>
      <c r="U918" s="13"/>
      <c r="V918" s="13"/>
      <c r="W918" s="13"/>
      <c r="X918" s="13"/>
      <c r="Y918" s="13"/>
      <c r="Z918" s="13"/>
      <c r="AA918" s="13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3"/>
      <c r="AO918" s="13"/>
      <c r="AP918" s="13"/>
      <c r="AQ918" s="13"/>
      <c r="AR918" s="13"/>
      <c r="AS918" s="13"/>
      <c r="AT918" s="13"/>
      <c r="AU918" s="13"/>
      <c r="AV918" s="13"/>
      <c r="AW918" s="14"/>
      <c r="AX918" s="14"/>
      <c r="AY918" s="14"/>
      <c r="AZ918" s="14"/>
      <c r="BA918" s="14"/>
    </row>
    <row r="919">
      <c r="A919" s="11"/>
      <c r="B919" s="11"/>
      <c r="C919" s="11"/>
      <c r="D919" s="11"/>
      <c r="E919" s="11"/>
      <c r="F919" s="11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3"/>
      <c r="T919" s="13"/>
      <c r="U919" s="13"/>
      <c r="V919" s="13"/>
      <c r="W919" s="13"/>
      <c r="X919" s="13"/>
      <c r="Y919" s="13"/>
      <c r="Z919" s="13"/>
      <c r="AA919" s="13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3"/>
      <c r="AO919" s="13"/>
      <c r="AP919" s="13"/>
      <c r="AQ919" s="13"/>
      <c r="AR919" s="13"/>
      <c r="AS919" s="13"/>
      <c r="AT919" s="13"/>
      <c r="AU919" s="13"/>
      <c r="AV919" s="13"/>
      <c r="AW919" s="14"/>
      <c r="AX919" s="14"/>
      <c r="AY919" s="14"/>
      <c r="AZ919" s="14"/>
      <c r="BA919" s="14"/>
    </row>
    <row r="920">
      <c r="A920" s="11"/>
      <c r="B920" s="11"/>
      <c r="C920" s="11"/>
      <c r="D920" s="11"/>
      <c r="E920" s="11"/>
      <c r="F920" s="11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3"/>
      <c r="T920" s="13"/>
      <c r="U920" s="13"/>
      <c r="V920" s="13"/>
      <c r="W920" s="13"/>
      <c r="X920" s="13"/>
      <c r="Y920" s="13"/>
      <c r="Z920" s="13"/>
      <c r="AA920" s="13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3"/>
      <c r="AO920" s="13"/>
      <c r="AP920" s="13"/>
      <c r="AQ920" s="13"/>
      <c r="AR920" s="13"/>
      <c r="AS920" s="13"/>
      <c r="AT920" s="13"/>
      <c r="AU920" s="13"/>
      <c r="AV920" s="13"/>
      <c r="AW920" s="14"/>
      <c r="AX920" s="14"/>
      <c r="AY920" s="14"/>
      <c r="AZ920" s="14"/>
      <c r="BA920" s="14"/>
    </row>
    <row r="921">
      <c r="A921" s="11"/>
      <c r="B921" s="11"/>
      <c r="C921" s="11"/>
      <c r="D921" s="11"/>
      <c r="E921" s="11"/>
      <c r="F921" s="11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3"/>
      <c r="T921" s="13"/>
      <c r="U921" s="13"/>
      <c r="V921" s="13"/>
      <c r="W921" s="13"/>
      <c r="X921" s="13"/>
      <c r="Y921" s="13"/>
      <c r="Z921" s="13"/>
      <c r="AA921" s="13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3"/>
      <c r="AO921" s="13"/>
      <c r="AP921" s="13"/>
      <c r="AQ921" s="13"/>
      <c r="AR921" s="13"/>
      <c r="AS921" s="13"/>
      <c r="AT921" s="13"/>
      <c r="AU921" s="13"/>
      <c r="AV921" s="13"/>
      <c r="AW921" s="14"/>
      <c r="AX921" s="14"/>
      <c r="AY921" s="14"/>
      <c r="AZ921" s="14"/>
      <c r="BA921" s="14"/>
    </row>
    <row r="922">
      <c r="A922" s="11"/>
      <c r="B922" s="11"/>
      <c r="C922" s="11"/>
      <c r="D922" s="11"/>
      <c r="E922" s="11"/>
      <c r="F922" s="11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3"/>
      <c r="T922" s="13"/>
      <c r="U922" s="13"/>
      <c r="V922" s="13"/>
      <c r="W922" s="13"/>
      <c r="X922" s="13"/>
      <c r="Y922" s="13"/>
      <c r="Z922" s="13"/>
      <c r="AA922" s="13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3"/>
      <c r="AO922" s="13"/>
      <c r="AP922" s="13"/>
      <c r="AQ922" s="13"/>
      <c r="AR922" s="13"/>
      <c r="AS922" s="13"/>
      <c r="AT922" s="13"/>
      <c r="AU922" s="13"/>
      <c r="AV922" s="13"/>
      <c r="AW922" s="14"/>
      <c r="AX922" s="14"/>
      <c r="AY922" s="14"/>
      <c r="AZ922" s="14"/>
      <c r="BA922" s="14"/>
    </row>
    <row r="923">
      <c r="A923" s="11"/>
      <c r="B923" s="11"/>
      <c r="C923" s="11"/>
      <c r="D923" s="11"/>
      <c r="E923" s="11"/>
      <c r="F923" s="11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3"/>
      <c r="T923" s="13"/>
      <c r="U923" s="13"/>
      <c r="V923" s="13"/>
      <c r="W923" s="13"/>
      <c r="X923" s="13"/>
      <c r="Y923" s="13"/>
      <c r="Z923" s="13"/>
      <c r="AA923" s="13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3"/>
      <c r="AO923" s="13"/>
      <c r="AP923" s="13"/>
      <c r="AQ923" s="13"/>
      <c r="AR923" s="13"/>
      <c r="AS923" s="13"/>
      <c r="AT923" s="13"/>
      <c r="AU923" s="13"/>
      <c r="AV923" s="13"/>
      <c r="AW923" s="14"/>
      <c r="AX923" s="14"/>
      <c r="AY923" s="14"/>
      <c r="AZ923" s="14"/>
      <c r="BA923" s="14"/>
    </row>
    <row r="924">
      <c r="A924" s="11"/>
      <c r="B924" s="11"/>
      <c r="C924" s="11"/>
      <c r="D924" s="11"/>
      <c r="E924" s="11"/>
      <c r="F924" s="11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3"/>
      <c r="T924" s="13"/>
      <c r="U924" s="13"/>
      <c r="V924" s="13"/>
      <c r="W924" s="13"/>
      <c r="X924" s="13"/>
      <c r="Y924" s="13"/>
      <c r="Z924" s="13"/>
      <c r="AA924" s="13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3"/>
      <c r="AO924" s="13"/>
      <c r="AP924" s="13"/>
      <c r="AQ924" s="13"/>
      <c r="AR924" s="13"/>
      <c r="AS924" s="13"/>
      <c r="AT924" s="13"/>
      <c r="AU924" s="13"/>
      <c r="AV924" s="13"/>
      <c r="AW924" s="14"/>
      <c r="AX924" s="14"/>
      <c r="AY924" s="14"/>
      <c r="AZ924" s="14"/>
      <c r="BA924" s="14"/>
    </row>
    <row r="925">
      <c r="A925" s="11"/>
      <c r="B925" s="11"/>
      <c r="C925" s="11"/>
      <c r="D925" s="11"/>
      <c r="E925" s="11"/>
      <c r="F925" s="11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3"/>
      <c r="T925" s="13"/>
      <c r="U925" s="13"/>
      <c r="V925" s="13"/>
      <c r="W925" s="13"/>
      <c r="X925" s="13"/>
      <c r="Y925" s="13"/>
      <c r="Z925" s="13"/>
      <c r="AA925" s="13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3"/>
      <c r="AO925" s="13"/>
      <c r="AP925" s="13"/>
      <c r="AQ925" s="13"/>
      <c r="AR925" s="13"/>
      <c r="AS925" s="13"/>
      <c r="AT925" s="13"/>
      <c r="AU925" s="13"/>
      <c r="AV925" s="13"/>
      <c r="AW925" s="14"/>
      <c r="AX925" s="14"/>
      <c r="AY925" s="14"/>
      <c r="AZ925" s="14"/>
      <c r="BA925" s="14"/>
    </row>
    <row r="926">
      <c r="A926" s="11"/>
      <c r="B926" s="11"/>
      <c r="C926" s="11"/>
      <c r="D926" s="11"/>
      <c r="E926" s="11"/>
      <c r="F926" s="11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3"/>
      <c r="T926" s="13"/>
      <c r="U926" s="13"/>
      <c r="V926" s="13"/>
      <c r="W926" s="13"/>
      <c r="X926" s="13"/>
      <c r="Y926" s="13"/>
      <c r="Z926" s="13"/>
      <c r="AA926" s="13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3"/>
      <c r="AO926" s="13"/>
      <c r="AP926" s="13"/>
      <c r="AQ926" s="13"/>
      <c r="AR926" s="13"/>
      <c r="AS926" s="13"/>
      <c r="AT926" s="13"/>
      <c r="AU926" s="13"/>
      <c r="AV926" s="13"/>
      <c r="AW926" s="14"/>
      <c r="AX926" s="14"/>
      <c r="AY926" s="14"/>
      <c r="AZ926" s="14"/>
      <c r="BA926" s="14"/>
    </row>
    <row r="927">
      <c r="A927" s="11"/>
      <c r="B927" s="11"/>
      <c r="C927" s="11"/>
      <c r="D927" s="11"/>
      <c r="E927" s="11"/>
      <c r="F927" s="11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3"/>
      <c r="T927" s="13"/>
      <c r="U927" s="13"/>
      <c r="V927" s="13"/>
      <c r="W927" s="13"/>
      <c r="X927" s="13"/>
      <c r="Y927" s="13"/>
      <c r="Z927" s="13"/>
      <c r="AA927" s="13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3"/>
      <c r="AO927" s="13"/>
      <c r="AP927" s="13"/>
      <c r="AQ927" s="13"/>
      <c r="AR927" s="13"/>
      <c r="AS927" s="13"/>
      <c r="AT927" s="13"/>
      <c r="AU927" s="13"/>
      <c r="AV927" s="13"/>
      <c r="AW927" s="14"/>
      <c r="AX927" s="14"/>
      <c r="AY927" s="14"/>
      <c r="AZ927" s="14"/>
      <c r="BA927" s="14"/>
    </row>
    <row r="928">
      <c r="A928" s="11"/>
      <c r="B928" s="11"/>
      <c r="C928" s="11"/>
      <c r="D928" s="11"/>
      <c r="E928" s="11"/>
      <c r="F928" s="11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3"/>
      <c r="T928" s="13"/>
      <c r="U928" s="13"/>
      <c r="V928" s="13"/>
      <c r="W928" s="13"/>
      <c r="X928" s="13"/>
      <c r="Y928" s="13"/>
      <c r="Z928" s="13"/>
      <c r="AA928" s="13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3"/>
      <c r="AO928" s="13"/>
      <c r="AP928" s="13"/>
      <c r="AQ928" s="13"/>
      <c r="AR928" s="13"/>
      <c r="AS928" s="13"/>
      <c r="AT928" s="13"/>
      <c r="AU928" s="13"/>
      <c r="AV928" s="13"/>
      <c r="AW928" s="14"/>
      <c r="AX928" s="14"/>
      <c r="AY928" s="14"/>
      <c r="AZ928" s="14"/>
      <c r="BA928" s="14"/>
    </row>
    <row r="929">
      <c r="A929" s="11"/>
      <c r="B929" s="11"/>
      <c r="C929" s="11"/>
      <c r="D929" s="11"/>
      <c r="E929" s="11"/>
      <c r="F929" s="11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3"/>
      <c r="T929" s="13"/>
      <c r="U929" s="13"/>
      <c r="V929" s="13"/>
      <c r="W929" s="13"/>
      <c r="X929" s="13"/>
      <c r="Y929" s="13"/>
      <c r="Z929" s="13"/>
      <c r="AA929" s="13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3"/>
      <c r="AO929" s="13"/>
      <c r="AP929" s="13"/>
      <c r="AQ929" s="13"/>
      <c r="AR929" s="13"/>
      <c r="AS929" s="13"/>
      <c r="AT929" s="13"/>
      <c r="AU929" s="13"/>
      <c r="AV929" s="13"/>
      <c r="AW929" s="14"/>
      <c r="AX929" s="14"/>
      <c r="AY929" s="14"/>
      <c r="AZ929" s="14"/>
      <c r="BA929" s="14"/>
    </row>
    <row r="930">
      <c r="A930" s="11"/>
      <c r="B930" s="11"/>
      <c r="C930" s="11"/>
      <c r="D930" s="11"/>
      <c r="E930" s="11"/>
      <c r="F930" s="11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3"/>
      <c r="T930" s="13"/>
      <c r="U930" s="13"/>
      <c r="V930" s="13"/>
      <c r="W930" s="13"/>
      <c r="X930" s="13"/>
      <c r="Y930" s="13"/>
      <c r="Z930" s="13"/>
      <c r="AA930" s="13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3"/>
      <c r="AO930" s="13"/>
      <c r="AP930" s="13"/>
      <c r="AQ930" s="13"/>
      <c r="AR930" s="13"/>
      <c r="AS930" s="13"/>
      <c r="AT930" s="13"/>
      <c r="AU930" s="13"/>
      <c r="AV930" s="13"/>
      <c r="AW930" s="14"/>
      <c r="AX930" s="14"/>
      <c r="AY930" s="14"/>
      <c r="AZ930" s="14"/>
      <c r="BA930" s="14"/>
    </row>
    <row r="931">
      <c r="A931" s="11"/>
      <c r="B931" s="11"/>
      <c r="C931" s="11"/>
      <c r="D931" s="11"/>
      <c r="E931" s="11"/>
      <c r="F931" s="11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3"/>
      <c r="T931" s="13"/>
      <c r="U931" s="13"/>
      <c r="V931" s="13"/>
      <c r="W931" s="13"/>
      <c r="X931" s="13"/>
      <c r="Y931" s="13"/>
      <c r="Z931" s="13"/>
      <c r="AA931" s="13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3"/>
      <c r="AO931" s="13"/>
      <c r="AP931" s="13"/>
      <c r="AQ931" s="13"/>
      <c r="AR931" s="13"/>
      <c r="AS931" s="13"/>
      <c r="AT931" s="13"/>
      <c r="AU931" s="13"/>
      <c r="AV931" s="13"/>
      <c r="AW931" s="14"/>
      <c r="AX931" s="14"/>
      <c r="AY931" s="14"/>
      <c r="AZ931" s="14"/>
      <c r="BA931" s="14"/>
    </row>
    <row r="932">
      <c r="A932" s="11"/>
      <c r="B932" s="11"/>
      <c r="C932" s="11"/>
      <c r="D932" s="11"/>
      <c r="E932" s="11"/>
      <c r="F932" s="11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3"/>
      <c r="T932" s="13"/>
      <c r="U932" s="13"/>
      <c r="V932" s="13"/>
      <c r="W932" s="13"/>
      <c r="X932" s="13"/>
      <c r="Y932" s="13"/>
      <c r="Z932" s="13"/>
      <c r="AA932" s="13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3"/>
      <c r="AO932" s="13"/>
      <c r="AP932" s="13"/>
      <c r="AQ932" s="13"/>
      <c r="AR932" s="13"/>
      <c r="AS932" s="13"/>
      <c r="AT932" s="13"/>
      <c r="AU932" s="13"/>
      <c r="AV932" s="13"/>
      <c r="AW932" s="14"/>
      <c r="AX932" s="14"/>
      <c r="AY932" s="14"/>
      <c r="AZ932" s="14"/>
      <c r="BA932" s="14"/>
    </row>
    <row r="933">
      <c r="A933" s="11"/>
      <c r="B933" s="11"/>
      <c r="C933" s="11"/>
      <c r="D933" s="11"/>
      <c r="E933" s="11"/>
      <c r="F933" s="11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3"/>
      <c r="T933" s="13"/>
      <c r="U933" s="13"/>
      <c r="V933" s="13"/>
      <c r="W933" s="13"/>
      <c r="X933" s="13"/>
      <c r="Y933" s="13"/>
      <c r="Z933" s="13"/>
      <c r="AA933" s="13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3"/>
      <c r="AO933" s="13"/>
      <c r="AP933" s="13"/>
      <c r="AQ933" s="13"/>
      <c r="AR933" s="13"/>
      <c r="AS933" s="13"/>
      <c r="AT933" s="13"/>
      <c r="AU933" s="13"/>
      <c r="AV933" s="13"/>
      <c r="AW933" s="14"/>
      <c r="AX933" s="14"/>
      <c r="AY933" s="14"/>
      <c r="AZ933" s="14"/>
      <c r="BA933" s="14"/>
    </row>
    <row r="934">
      <c r="A934" s="11"/>
      <c r="B934" s="11"/>
      <c r="C934" s="11"/>
      <c r="D934" s="11"/>
      <c r="E934" s="11"/>
      <c r="F934" s="11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3"/>
      <c r="T934" s="13"/>
      <c r="U934" s="13"/>
      <c r="V934" s="13"/>
      <c r="W934" s="13"/>
      <c r="X934" s="13"/>
      <c r="Y934" s="13"/>
      <c r="Z934" s="13"/>
      <c r="AA934" s="13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3"/>
      <c r="AO934" s="13"/>
      <c r="AP934" s="13"/>
      <c r="AQ934" s="13"/>
      <c r="AR934" s="13"/>
      <c r="AS934" s="13"/>
      <c r="AT934" s="13"/>
      <c r="AU934" s="13"/>
      <c r="AV934" s="13"/>
      <c r="AW934" s="14"/>
      <c r="AX934" s="14"/>
      <c r="AY934" s="14"/>
      <c r="AZ934" s="14"/>
      <c r="BA934" s="14"/>
    </row>
    <row r="935">
      <c r="A935" s="11"/>
      <c r="B935" s="11"/>
      <c r="C935" s="11"/>
      <c r="D935" s="11"/>
      <c r="E935" s="11"/>
      <c r="F935" s="11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3"/>
      <c r="T935" s="13"/>
      <c r="U935" s="13"/>
      <c r="V935" s="13"/>
      <c r="W935" s="13"/>
      <c r="X935" s="13"/>
      <c r="Y935" s="13"/>
      <c r="Z935" s="13"/>
      <c r="AA935" s="13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3"/>
      <c r="AO935" s="13"/>
      <c r="AP935" s="13"/>
      <c r="AQ935" s="13"/>
      <c r="AR935" s="13"/>
      <c r="AS935" s="13"/>
      <c r="AT935" s="13"/>
      <c r="AU935" s="13"/>
      <c r="AV935" s="13"/>
      <c r="AW935" s="14"/>
      <c r="AX935" s="14"/>
      <c r="AY935" s="14"/>
      <c r="AZ935" s="14"/>
      <c r="BA935" s="14"/>
    </row>
    <row r="936">
      <c r="A936" s="11"/>
      <c r="B936" s="11"/>
      <c r="C936" s="11"/>
      <c r="D936" s="11"/>
      <c r="E936" s="11"/>
      <c r="F936" s="11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3"/>
      <c r="T936" s="13"/>
      <c r="U936" s="13"/>
      <c r="V936" s="13"/>
      <c r="W936" s="13"/>
      <c r="X936" s="13"/>
      <c r="Y936" s="13"/>
      <c r="Z936" s="13"/>
      <c r="AA936" s="13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3"/>
      <c r="AO936" s="13"/>
      <c r="AP936" s="13"/>
      <c r="AQ936" s="13"/>
      <c r="AR936" s="13"/>
      <c r="AS936" s="13"/>
      <c r="AT936" s="13"/>
      <c r="AU936" s="13"/>
      <c r="AV936" s="13"/>
      <c r="AW936" s="14"/>
      <c r="AX936" s="14"/>
      <c r="AY936" s="14"/>
      <c r="AZ936" s="14"/>
      <c r="BA936" s="14"/>
    </row>
    <row r="937">
      <c r="A937" s="11"/>
      <c r="B937" s="11"/>
      <c r="C937" s="11"/>
      <c r="D937" s="11"/>
      <c r="E937" s="11"/>
      <c r="F937" s="11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3"/>
      <c r="T937" s="13"/>
      <c r="U937" s="13"/>
      <c r="V937" s="13"/>
      <c r="W937" s="13"/>
      <c r="X937" s="13"/>
      <c r="Y937" s="13"/>
      <c r="Z937" s="13"/>
      <c r="AA937" s="13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3"/>
      <c r="AO937" s="13"/>
      <c r="AP937" s="13"/>
      <c r="AQ937" s="13"/>
      <c r="AR937" s="13"/>
      <c r="AS937" s="13"/>
      <c r="AT937" s="13"/>
      <c r="AU937" s="13"/>
      <c r="AV937" s="13"/>
      <c r="AW937" s="14"/>
      <c r="AX937" s="14"/>
      <c r="AY937" s="14"/>
      <c r="AZ937" s="14"/>
      <c r="BA937" s="14"/>
    </row>
    <row r="938">
      <c r="A938" s="11"/>
      <c r="B938" s="11"/>
      <c r="C938" s="11"/>
      <c r="D938" s="11"/>
      <c r="E938" s="11"/>
      <c r="F938" s="11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3"/>
      <c r="T938" s="13"/>
      <c r="U938" s="13"/>
      <c r="V938" s="13"/>
      <c r="W938" s="13"/>
      <c r="X938" s="13"/>
      <c r="Y938" s="13"/>
      <c r="Z938" s="13"/>
      <c r="AA938" s="13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3"/>
      <c r="AO938" s="13"/>
      <c r="AP938" s="13"/>
      <c r="AQ938" s="13"/>
      <c r="AR938" s="13"/>
      <c r="AS938" s="13"/>
      <c r="AT938" s="13"/>
      <c r="AU938" s="13"/>
      <c r="AV938" s="13"/>
      <c r="AW938" s="14"/>
      <c r="AX938" s="14"/>
      <c r="AY938" s="14"/>
      <c r="AZ938" s="14"/>
      <c r="BA938" s="14"/>
    </row>
    <row r="939">
      <c r="A939" s="11"/>
      <c r="B939" s="11"/>
      <c r="C939" s="11"/>
      <c r="D939" s="11"/>
      <c r="E939" s="11"/>
      <c r="F939" s="11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3"/>
      <c r="T939" s="13"/>
      <c r="U939" s="13"/>
      <c r="V939" s="13"/>
      <c r="W939" s="13"/>
      <c r="X939" s="13"/>
      <c r="Y939" s="13"/>
      <c r="Z939" s="13"/>
      <c r="AA939" s="13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3"/>
      <c r="AO939" s="13"/>
      <c r="AP939" s="13"/>
      <c r="AQ939" s="13"/>
      <c r="AR939" s="13"/>
      <c r="AS939" s="13"/>
      <c r="AT939" s="13"/>
      <c r="AU939" s="13"/>
      <c r="AV939" s="13"/>
      <c r="AW939" s="14"/>
      <c r="AX939" s="14"/>
      <c r="AY939" s="14"/>
      <c r="AZ939" s="14"/>
      <c r="BA939" s="14"/>
    </row>
    <row r="940">
      <c r="A940" s="11"/>
      <c r="B940" s="11"/>
      <c r="C940" s="11"/>
      <c r="D940" s="11"/>
      <c r="E940" s="11"/>
      <c r="F940" s="11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3"/>
      <c r="T940" s="13"/>
      <c r="U940" s="13"/>
      <c r="V940" s="13"/>
      <c r="W940" s="13"/>
      <c r="X940" s="13"/>
      <c r="Y940" s="13"/>
      <c r="Z940" s="13"/>
      <c r="AA940" s="13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3"/>
      <c r="AO940" s="13"/>
      <c r="AP940" s="13"/>
      <c r="AQ940" s="13"/>
      <c r="AR940" s="13"/>
      <c r="AS940" s="13"/>
      <c r="AT940" s="13"/>
      <c r="AU940" s="13"/>
      <c r="AV940" s="13"/>
      <c r="AW940" s="14"/>
      <c r="AX940" s="14"/>
      <c r="AY940" s="14"/>
      <c r="AZ940" s="14"/>
      <c r="BA940" s="14"/>
    </row>
    <row r="941">
      <c r="A941" s="11"/>
      <c r="B941" s="11"/>
      <c r="C941" s="11"/>
      <c r="D941" s="11"/>
      <c r="E941" s="11"/>
      <c r="F941" s="11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3"/>
      <c r="T941" s="13"/>
      <c r="U941" s="13"/>
      <c r="V941" s="13"/>
      <c r="W941" s="13"/>
      <c r="X941" s="13"/>
      <c r="Y941" s="13"/>
      <c r="Z941" s="13"/>
      <c r="AA941" s="13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3"/>
      <c r="AO941" s="13"/>
      <c r="AP941" s="13"/>
      <c r="AQ941" s="13"/>
      <c r="AR941" s="13"/>
      <c r="AS941" s="13"/>
      <c r="AT941" s="13"/>
      <c r="AU941" s="13"/>
      <c r="AV941" s="13"/>
      <c r="AW941" s="14"/>
      <c r="AX941" s="14"/>
      <c r="AY941" s="14"/>
      <c r="AZ941" s="14"/>
      <c r="BA941" s="14"/>
    </row>
    <row r="942">
      <c r="A942" s="11"/>
      <c r="B942" s="11"/>
      <c r="C942" s="11"/>
      <c r="D942" s="11"/>
      <c r="E942" s="11"/>
      <c r="F942" s="11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3"/>
      <c r="T942" s="13"/>
      <c r="U942" s="13"/>
      <c r="V942" s="13"/>
      <c r="W942" s="13"/>
      <c r="X942" s="13"/>
      <c r="Y942" s="13"/>
      <c r="Z942" s="13"/>
      <c r="AA942" s="13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3"/>
      <c r="AO942" s="13"/>
      <c r="AP942" s="13"/>
      <c r="AQ942" s="13"/>
      <c r="AR942" s="13"/>
      <c r="AS942" s="13"/>
      <c r="AT942" s="13"/>
      <c r="AU942" s="13"/>
      <c r="AV942" s="13"/>
      <c r="AW942" s="14"/>
      <c r="AX942" s="14"/>
      <c r="AY942" s="14"/>
      <c r="AZ942" s="14"/>
      <c r="BA942" s="14"/>
    </row>
    <row r="943">
      <c r="A943" s="11"/>
      <c r="B943" s="11"/>
      <c r="C943" s="11"/>
      <c r="D943" s="11"/>
      <c r="E943" s="11"/>
      <c r="F943" s="11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3"/>
      <c r="T943" s="13"/>
      <c r="U943" s="13"/>
      <c r="V943" s="13"/>
      <c r="W943" s="13"/>
      <c r="X943" s="13"/>
      <c r="Y943" s="13"/>
      <c r="Z943" s="13"/>
      <c r="AA943" s="13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3"/>
      <c r="AO943" s="13"/>
      <c r="AP943" s="13"/>
      <c r="AQ943" s="13"/>
      <c r="AR943" s="13"/>
      <c r="AS943" s="13"/>
      <c r="AT943" s="13"/>
      <c r="AU943" s="13"/>
      <c r="AV943" s="13"/>
      <c r="AW943" s="14"/>
      <c r="AX943" s="14"/>
      <c r="AY943" s="14"/>
      <c r="AZ943" s="14"/>
      <c r="BA943" s="14"/>
    </row>
    <row r="944">
      <c r="A944" s="11"/>
      <c r="B944" s="11"/>
      <c r="C944" s="11"/>
      <c r="D944" s="11"/>
      <c r="E944" s="11"/>
      <c r="F944" s="11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3"/>
      <c r="T944" s="13"/>
      <c r="U944" s="13"/>
      <c r="V944" s="13"/>
      <c r="W944" s="13"/>
      <c r="X944" s="13"/>
      <c r="Y944" s="13"/>
      <c r="Z944" s="13"/>
      <c r="AA944" s="13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3"/>
      <c r="AO944" s="13"/>
      <c r="AP944" s="13"/>
      <c r="AQ944" s="13"/>
      <c r="AR944" s="13"/>
      <c r="AS944" s="13"/>
      <c r="AT944" s="13"/>
      <c r="AU944" s="13"/>
      <c r="AV944" s="13"/>
      <c r="AW944" s="14"/>
      <c r="AX944" s="14"/>
      <c r="AY944" s="14"/>
      <c r="AZ944" s="14"/>
      <c r="BA944" s="14"/>
    </row>
    <row r="945">
      <c r="A945" s="11"/>
      <c r="B945" s="11"/>
      <c r="C945" s="11"/>
      <c r="D945" s="11"/>
      <c r="E945" s="11"/>
      <c r="F945" s="11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3"/>
      <c r="T945" s="13"/>
      <c r="U945" s="13"/>
      <c r="V945" s="13"/>
      <c r="W945" s="13"/>
      <c r="X945" s="13"/>
      <c r="Y945" s="13"/>
      <c r="Z945" s="13"/>
      <c r="AA945" s="13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3"/>
      <c r="AO945" s="13"/>
      <c r="AP945" s="13"/>
      <c r="AQ945" s="13"/>
      <c r="AR945" s="13"/>
      <c r="AS945" s="13"/>
      <c r="AT945" s="13"/>
      <c r="AU945" s="13"/>
      <c r="AV945" s="13"/>
      <c r="AW945" s="14"/>
      <c r="AX945" s="14"/>
      <c r="AY945" s="14"/>
      <c r="AZ945" s="14"/>
      <c r="BA945" s="14"/>
    </row>
    <row r="946">
      <c r="A946" s="11"/>
      <c r="B946" s="11"/>
      <c r="C946" s="11"/>
      <c r="D946" s="11"/>
      <c r="E946" s="11"/>
      <c r="F946" s="11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3"/>
      <c r="T946" s="13"/>
      <c r="U946" s="13"/>
      <c r="V946" s="13"/>
      <c r="W946" s="13"/>
      <c r="X946" s="13"/>
      <c r="Y946" s="13"/>
      <c r="Z946" s="13"/>
      <c r="AA946" s="13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3"/>
      <c r="AO946" s="13"/>
      <c r="AP946" s="13"/>
      <c r="AQ946" s="13"/>
      <c r="AR946" s="13"/>
      <c r="AS946" s="13"/>
      <c r="AT946" s="13"/>
      <c r="AU946" s="13"/>
      <c r="AV946" s="13"/>
      <c r="AW946" s="14"/>
      <c r="AX946" s="14"/>
      <c r="AY946" s="14"/>
      <c r="AZ946" s="14"/>
      <c r="BA946" s="14"/>
    </row>
    <row r="947">
      <c r="A947" s="11"/>
      <c r="B947" s="11"/>
      <c r="C947" s="11"/>
      <c r="D947" s="11"/>
      <c r="E947" s="11"/>
      <c r="F947" s="11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3"/>
      <c r="T947" s="13"/>
      <c r="U947" s="13"/>
      <c r="V947" s="13"/>
      <c r="W947" s="13"/>
      <c r="X947" s="13"/>
      <c r="Y947" s="13"/>
      <c r="Z947" s="13"/>
      <c r="AA947" s="13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3"/>
      <c r="AO947" s="13"/>
      <c r="AP947" s="13"/>
      <c r="AQ947" s="13"/>
      <c r="AR947" s="13"/>
      <c r="AS947" s="13"/>
      <c r="AT947" s="13"/>
      <c r="AU947" s="13"/>
      <c r="AV947" s="13"/>
      <c r="AW947" s="14"/>
      <c r="AX947" s="14"/>
      <c r="AY947" s="14"/>
      <c r="AZ947" s="14"/>
      <c r="BA947" s="14"/>
    </row>
    <row r="948">
      <c r="A948" s="11"/>
      <c r="B948" s="11"/>
      <c r="C948" s="11"/>
      <c r="D948" s="11"/>
      <c r="E948" s="11"/>
      <c r="F948" s="11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3"/>
      <c r="T948" s="13"/>
      <c r="U948" s="13"/>
      <c r="V948" s="13"/>
      <c r="W948" s="13"/>
      <c r="X948" s="13"/>
      <c r="Y948" s="13"/>
      <c r="Z948" s="13"/>
      <c r="AA948" s="13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3"/>
      <c r="AO948" s="13"/>
      <c r="AP948" s="13"/>
      <c r="AQ948" s="13"/>
      <c r="AR948" s="13"/>
      <c r="AS948" s="13"/>
      <c r="AT948" s="13"/>
      <c r="AU948" s="13"/>
      <c r="AV948" s="13"/>
      <c r="AW948" s="14"/>
      <c r="AX948" s="14"/>
      <c r="AY948" s="14"/>
      <c r="AZ948" s="14"/>
      <c r="BA948" s="14"/>
    </row>
    <row r="949">
      <c r="A949" s="11"/>
      <c r="B949" s="11"/>
      <c r="C949" s="11"/>
      <c r="D949" s="11"/>
      <c r="E949" s="11"/>
      <c r="F949" s="11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3"/>
      <c r="T949" s="13"/>
      <c r="U949" s="13"/>
      <c r="V949" s="13"/>
      <c r="W949" s="13"/>
      <c r="X949" s="13"/>
      <c r="Y949" s="13"/>
      <c r="Z949" s="13"/>
      <c r="AA949" s="13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3"/>
      <c r="AO949" s="13"/>
      <c r="AP949" s="13"/>
      <c r="AQ949" s="13"/>
      <c r="AR949" s="13"/>
      <c r="AS949" s="13"/>
      <c r="AT949" s="13"/>
      <c r="AU949" s="13"/>
      <c r="AV949" s="13"/>
      <c r="AW949" s="14"/>
      <c r="AX949" s="14"/>
      <c r="AY949" s="14"/>
      <c r="AZ949" s="14"/>
      <c r="BA949" s="14"/>
    </row>
    <row r="950">
      <c r="A950" s="11"/>
      <c r="B950" s="11"/>
      <c r="C950" s="11"/>
      <c r="D950" s="11"/>
      <c r="E950" s="11"/>
      <c r="F950" s="11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3"/>
      <c r="T950" s="13"/>
      <c r="U950" s="13"/>
      <c r="V950" s="13"/>
      <c r="W950" s="13"/>
      <c r="X950" s="13"/>
      <c r="Y950" s="13"/>
      <c r="Z950" s="13"/>
      <c r="AA950" s="13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3"/>
      <c r="AO950" s="13"/>
      <c r="AP950" s="13"/>
      <c r="AQ950" s="13"/>
      <c r="AR950" s="13"/>
      <c r="AS950" s="13"/>
      <c r="AT950" s="13"/>
      <c r="AU950" s="13"/>
      <c r="AV950" s="13"/>
      <c r="AW950" s="14"/>
      <c r="AX950" s="14"/>
      <c r="AY950" s="14"/>
      <c r="AZ950" s="14"/>
      <c r="BA950" s="14"/>
    </row>
    <row r="951">
      <c r="A951" s="11"/>
      <c r="B951" s="11"/>
      <c r="C951" s="11"/>
      <c r="D951" s="11"/>
      <c r="E951" s="11"/>
      <c r="F951" s="11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3"/>
      <c r="T951" s="13"/>
      <c r="U951" s="13"/>
      <c r="V951" s="13"/>
      <c r="W951" s="13"/>
      <c r="X951" s="13"/>
      <c r="Y951" s="13"/>
      <c r="Z951" s="13"/>
      <c r="AA951" s="13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3"/>
      <c r="AO951" s="13"/>
      <c r="AP951" s="13"/>
      <c r="AQ951" s="13"/>
      <c r="AR951" s="13"/>
      <c r="AS951" s="13"/>
      <c r="AT951" s="13"/>
      <c r="AU951" s="13"/>
      <c r="AV951" s="13"/>
      <c r="AW951" s="14"/>
      <c r="AX951" s="14"/>
      <c r="AY951" s="14"/>
      <c r="AZ951" s="14"/>
      <c r="BA951" s="14"/>
    </row>
    <row r="952">
      <c r="A952" s="11"/>
      <c r="B952" s="11"/>
      <c r="C952" s="11"/>
      <c r="D952" s="11"/>
      <c r="E952" s="11"/>
      <c r="F952" s="11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3"/>
      <c r="T952" s="13"/>
      <c r="U952" s="13"/>
      <c r="V952" s="13"/>
      <c r="W952" s="13"/>
      <c r="X952" s="13"/>
      <c r="Y952" s="13"/>
      <c r="Z952" s="13"/>
      <c r="AA952" s="13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3"/>
      <c r="AO952" s="13"/>
      <c r="AP952" s="13"/>
      <c r="AQ952" s="13"/>
      <c r="AR952" s="13"/>
      <c r="AS952" s="13"/>
      <c r="AT952" s="13"/>
      <c r="AU952" s="13"/>
      <c r="AV952" s="13"/>
      <c r="AW952" s="14"/>
      <c r="AX952" s="14"/>
      <c r="AY952" s="14"/>
      <c r="AZ952" s="14"/>
      <c r="BA952" s="14"/>
    </row>
    <row r="953">
      <c r="A953" s="11"/>
      <c r="B953" s="11"/>
      <c r="C953" s="11"/>
      <c r="D953" s="11"/>
      <c r="E953" s="11"/>
      <c r="F953" s="11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3"/>
      <c r="T953" s="13"/>
      <c r="U953" s="13"/>
      <c r="V953" s="13"/>
      <c r="W953" s="13"/>
      <c r="X953" s="13"/>
      <c r="Y953" s="13"/>
      <c r="Z953" s="13"/>
      <c r="AA953" s="13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3"/>
      <c r="AO953" s="13"/>
      <c r="AP953" s="13"/>
      <c r="AQ953" s="13"/>
      <c r="AR953" s="13"/>
      <c r="AS953" s="13"/>
      <c r="AT953" s="13"/>
      <c r="AU953" s="13"/>
      <c r="AV953" s="13"/>
      <c r="AW953" s="14"/>
      <c r="AX953" s="14"/>
      <c r="AY953" s="14"/>
      <c r="AZ953" s="14"/>
      <c r="BA953" s="14"/>
    </row>
    <row r="954">
      <c r="A954" s="11"/>
      <c r="B954" s="11"/>
      <c r="C954" s="11"/>
      <c r="D954" s="11"/>
      <c r="E954" s="11"/>
      <c r="F954" s="11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3"/>
      <c r="T954" s="13"/>
      <c r="U954" s="13"/>
      <c r="V954" s="13"/>
      <c r="W954" s="13"/>
      <c r="X954" s="13"/>
      <c r="Y954" s="13"/>
      <c r="Z954" s="13"/>
      <c r="AA954" s="13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3"/>
      <c r="AO954" s="13"/>
      <c r="AP954" s="13"/>
      <c r="AQ954" s="13"/>
      <c r="AR954" s="13"/>
      <c r="AS954" s="13"/>
      <c r="AT954" s="13"/>
      <c r="AU954" s="13"/>
      <c r="AV954" s="13"/>
      <c r="AW954" s="14"/>
      <c r="AX954" s="14"/>
      <c r="AY954" s="14"/>
      <c r="AZ954" s="14"/>
      <c r="BA954" s="14"/>
    </row>
    <row r="955">
      <c r="A955" s="11"/>
      <c r="B955" s="11"/>
      <c r="C955" s="11"/>
      <c r="D955" s="11"/>
      <c r="E955" s="11"/>
      <c r="F955" s="11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3"/>
      <c r="T955" s="13"/>
      <c r="U955" s="13"/>
      <c r="V955" s="13"/>
      <c r="W955" s="13"/>
      <c r="X955" s="13"/>
      <c r="Y955" s="13"/>
      <c r="Z955" s="13"/>
      <c r="AA955" s="13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3"/>
      <c r="AO955" s="13"/>
      <c r="AP955" s="13"/>
      <c r="AQ955" s="13"/>
      <c r="AR955" s="13"/>
      <c r="AS955" s="13"/>
      <c r="AT955" s="13"/>
      <c r="AU955" s="13"/>
      <c r="AV955" s="13"/>
      <c r="AW955" s="14"/>
      <c r="AX955" s="14"/>
      <c r="AY955" s="14"/>
      <c r="AZ955" s="14"/>
      <c r="BA955" s="14"/>
    </row>
    <row r="956">
      <c r="A956" s="11"/>
      <c r="B956" s="11"/>
      <c r="C956" s="11"/>
      <c r="D956" s="11"/>
      <c r="E956" s="11"/>
      <c r="F956" s="11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3"/>
      <c r="T956" s="13"/>
      <c r="U956" s="13"/>
      <c r="V956" s="13"/>
      <c r="W956" s="13"/>
      <c r="X956" s="13"/>
      <c r="Y956" s="13"/>
      <c r="Z956" s="13"/>
      <c r="AA956" s="13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3"/>
      <c r="AO956" s="13"/>
      <c r="AP956" s="13"/>
      <c r="AQ956" s="13"/>
      <c r="AR956" s="13"/>
      <c r="AS956" s="13"/>
      <c r="AT956" s="13"/>
      <c r="AU956" s="13"/>
      <c r="AV956" s="13"/>
      <c r="AW956" s="14"/>
      <c r="AX956" s="14"/>
      <c r="AY956" s="14"/>
      <c r="AZ956" s="14"/>
      <c r="BA956" s="14"/>
    </row>
    <row r="957">
      <c r="A957" s="11"/>
      <c r="B957" s="11"/>
      <c r="C957" s="11"/>
      <c r="D957" s="11"/>
      <c r="E957" s="11"/>
      <c r="F957" s="11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3"/>
      <c r="T957" s="13"/>
      <c r="U957" s="13"/>
      <c r="V957" s="13"/>
      <c r="W957" s="13"/>
      <c r="X957" s="13"/>
      <c r="Y957" s="13"/>
      <c r="Z957" s="13"/>
      <c r="AA957" s="13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3"/>
      <c r="AO957" s="13"/>
      <c r="AP957" s="13"/>
      <c r="AQ957" s="13"/>
      <c r="AR957" s="13"/>
      <c r="AS957" s="13"/>
      <c r="AT957" s="13"/>
      <c r="AU957" s="13"/>
      <c r="AV957" s="13"/>
      <c r="AW957" s="14"/>
      <c r="AX957" s="14"/>
      <c r="AY957" s="14"/>
      <c r="AZ957" s="14"/>
      <c r="BA957" s="14"/>
    </row>
    <row r="958">
      <c r="A958" s="11"/>
      <c r="B958" s="11"/>
      <c r="C958" s="11"/>
      <c r="D958" s="11"/>
      <c r="E958" s="11"/>
      <c r="F958" s="11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3"/>
      <c r="T958" s="13"/>
      <c r="U958" s="13"/>
      <c r="V958" s="13"/>
      <c r="W958" s="13"/>
      <c r="X958" s="13"/>
      <c r="Y958" s="13"/>
      <c r="Z958" s="13"/>
      <c r="AA958" s="13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3"/>
      <c r="AO958" s="13"/>
      <c r="AP958" s="13"/>
      <c r="AQ958" s="13"/>
      <c r="AR958" s="13"/>
      <c r="AS958" s="13"/>
      <c r="AT958" s="13"/>
      <c r="AU958" s="13"/>
      <c r="AV958" s="13"/>
      <c r="AW958" s="14"/>
      <c r="AX958" s="14"/>
      <c r="AY958" s="14"/>
      <c r="AZ958" s="14"/>
      <c r="BA958" s="14"/>
    </row>
    <row r="959">
      <c r="A959" s="11"/>
      <c r="B959" s="11"/>
      <c r="C959" s="11"/>
      <c r="D959" s="11"/>
      <c r="E959" s="11"/>
      <c r="F959" s="11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3"/>
      <c r="T959" s="13"/>
      <c r="U959" s="13"/>
      <c r="V959" s="13"/>
      <c r="W959" s="13"/>
      <c r="X959" s="13"/>
      <c r="Y959" s="13"/>
      <c r="Z959" s="13"/>
      <c r="AA959" s="13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3"/>
      <c r="AO959" s="13"/>
      <c r="AP959" s="13"/>
      <c r="AQ959" s="13"/>
      <c r="AR959" s="13"/>
      <c r="AS959" s="13"/>
      <c r="AT959" s="13"/>
      <c r="AU959" s="13"/>
      <c r="AV959" s="13"/>
      <c r="AW959" s="14"/>
      <c r="AX959" s="14"/>
      <c r="AY959" s="14"/>
      <c r="AZ959" s="14"/>
      <c r="BA959" s="14"/>
    </row>
    <row r="960">
      <c r="A960" s="11"/>
      <c r="B960" s="11"/>
      <c r="C960" s="11"/>
      <c r="D960" s="11"/>
      <c r="E960" s="11"/>
      <c r="F960" s="11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3"/>
      <c r="T960" s="13"/>
      <c r="U960" s="13"/>
      <c r="V960" s="13"/>
      <c r="W960" s="13"/>
      <c r="X960" s="13"/>
      <c r="Y960" s="13"/>
      <c r="Z960" s="13"/>
      <c r="AA960" s="13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3"/>
      <c r="AO960" s="13"/>
      <c r="AP960" s="13"/>
      <c r="AQ960" s="13"/>
      <c r="AR960" s="13"/>
      <c r="AS960" s="13"/>
      <c r="AT960" s="13"/>
      <c r="AU960" s="13"/>
      <c r="AV960" s="13"/>
      <c r="AW960" s="14"/>
      <c r="AX960" s="14"/>
      <c r="AY960" s="14"/>
      <c r="AZ960" s="14"/>
      <c r="BA960" s="14"/>
    </row>
    <row r="961">
      <c r="A961" s="11"/>
      <c r="B961" s="11"/>
      <c r="C961" s="11"/>
      <c r="D961" s="11"/>
      <c r="E961" s="11"/>
      <c r="F961" s="11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3"/>
      <c r="T961" s="13"/>
      <c r="U961" s="13"/>
      <c r="V961" s="13"/>
      <c r="W961" s="13"/>
      <c r="X961" s="13"/>
      <c r="Y961" s="13"/>
      <c r="Z961" s="13"/>
      <c r="AA961" s="13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3"/>
      <c r="AO961" s="13"/>
      <c r="AP961" s="13"/>
      <c r="AQ961" s="13"/>
      <c r="AR961" s="13"/>
      <c r="AS961" s="13"/>
      <c r="AT961" s="13"/>
      <c r="AU961" s="13"/>
      <c r="AV961" s="13"/>
      <c r="AW961" s="14"/>
      <c r="AX961" s="14"/>
      <c r="AY961" s="14"/>
      <c r="AZ961" s="14"/>
      <c r="BA961" s="14"/>
    </row>
    <row r="962">
      <c r="A962" s="11"/>
      <c r="B962" s="11"/>
      <c r="C962" s="11"/>
      <c r="D962" s="11"/>
      <c r="E962" s="11"/>
      <c r="F962" s="11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3"/>
      <c r="T962" s="13"/>
      <c r="U962" s="13"/>
      <c r="V962" s="13"/>
      <c r="W962" s="13"/>
      <c r="X962" s="13"/>
      <c r="Y962" s="13"/>
      <c r="Z962" s="13"/>
      <c r="AA962" s="13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3"/>
      <c r="AO962" s="13"/>
      <c r="AP962" s="13"/>
      <c r="AQ962" s="13"/>
      <c r="AR962" s="13"/>
      <c r="AS962" s="13"/>
      <c r="AT962" s="13"/>
      <c r="AU962" s="13"/>
      <c r="AV962" s="13"/>
      <c r="AW962" s="14"/>
      <c r="AX962" s="14"/>
      <c r="AY962" s="14"/>
      <c r="AZ962" s="14"/>
      <c r="BA962" s="14"/>
    </row>
    <row r="963">
      <c r="A963" s="11"/>
      <c r="B963" s="11"/>
      <c r="C963" s="11"/>
      <c r="D963" s="11"/>
      <c r="E963" s="11"/>
      <c r="F963" s="11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3"/>
      <c r="T963" s="13"/>
      <c r="U963" s="13"/>
      <c r="V963" s="13"/>
      <c r="W963" s="13"/>
      <c r="X963" s="13"/>
      <c r="Y963" s="13"/>
      <c r="Z963" s="13"/>
      <c r="AA963" s="13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3"/>
      <c r="AO963" s="13"/>
      <c r="AP963" s="13"/>
      <c r="AQ963" s="13"/>
      <c r="AR963" s="13"/>
      <c r="AS963" s="13"/>
      <c r="AT963" s="13"/>
      <c r="AU963" s="13"/>
      <c r="AV963" s="13"/>
      <c r="AW963" s="14"/>
      <c r="AX963" s="14"/>
      <c r="AY963" s="14"/>
      <c r="AZ963" s="14"/>
      <c r="BA963" s="14"/>
    </row>
    <row r="964">
      <c r="A964" s="11"/>
      <c r="B964" s="11"/>
      <c r="C964" s="11"/>
      <c r="D964" s="11"/>
      <c r="E964" s="11"/>
      <c r="F964" s="11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3"/>
      <c r="T964" s="13"/>
      <c r="U964" s="13"/>
      <c r="V964" s="13"/>
      <c r="W964" s="13"/>
      <c r="X964" s="13"/>
      <c r="Y964" s="13"/>
      <c r="Z964" s="13"/>
      <c r="AA964" s="13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3"/>
      <c r="AO964" s="13"/>
      <c r="AP964" s="13"/>
      <c r="AQ964" s="13"/>
      <c r="AR964" s="13"/>
      <c r="AS964" s="13"/>
      <c r="AT964" s="13"/>
      <c r="AU964" s="13"/>
      <c r="AV964" s="13"/>
      <c r="AW964" s="14"/>
      <c r="AX964" s="14"/>
      <c r="AY964" s="14"/>
      <c r="AZ964" s="14"/>
      <c r="BA964" s="14"/>
    </row>
    <row r="965">
      <c r="A965" s="11"/>
      <c r="B965" s="11"/>
      <c r="C965" s="11"/>
      <c r="D965" s="11"/>
      <c r="E965" s="11"/>
      <c r="F965" s="11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3"/>
      <c r="T965" s="13"/>
      <c r="U965" s="13"/>
      <c r="V965" s="13"/>
      <c r="W965" s="13"/>
      <c r="X965" s="13"/>
      <c r="Y965" s="13"/>
      <c r="Z965" s="13"/>
      <c r="AA965" s="13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3"/>
      <c r="AO965" s="13"/>
      <c r="AP965" s="13"/>
      <c r="AQ965" s="13"/>
      <c r="AR965" s="13"/>
      <c r="AS965" s="13"/>
      <c r="AT965" s="13"/>
      <c r="AU965" s="13"/>
      <c r="AV965" s="13"/>
      <c r="AW965" s="14"/>
      <c r="AX965" s="14"/>
      <c r="AY965" s="14"/>
      <c r="AZ965" s="14"/>
      <c r="BA965" s="14"/>
    </row>
    <row r="966">
      <c r="A966" s="11"/>
      <c r="B966" s="11"/>
      <c r="C966" s="11"/>
      <c r="D966" s="11"/>
      <c r="E966" s="11"/>
      <c r="F966" s="11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3"/>
      <c r="T966" s="13"/>
      <c r="U966" s="13"/>
      <c r="V966" s="13"/>
      <c r="W966" s="13"/>
      <c r="X966" s="13"/>
      <c r="Y966" s="13"/>
      <c r="Z966" s="13"/>
      <c r="AA966" s="13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3"/>
      <c r="AO966" s="13"/>
      <c r="AP966" s="13"/>
      <c r="AQ966" s="13"/>
      <c r="AR966" s="13"/>
      <c r="AS966" s="13"/>
      <c r="AT966" s="13"/>
      <c r="AU966" s="13"/>
      <c r="AV966" s="13"/>
      <c r="AW966" s="14"/>
      <c r="AX966" s="14"/>
      <c r="AY966" s="14"/>
      <c r="AZ966" s="14"/>
      <c r="BA966" s="14"/>
    </row>
    <row r="967">
      <c r="A967" s="11"/>
      <c r="B967" s="11"/>
      <c r="C967" s="11"/>
      <c r="D967" s="11"/>
      <c r="E967" s="11"/>
      <c r="F967" s="11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3"/>
      <c r="T967" s="13"/>
      <c r="U967" s="13"/>
      <c r="V967" s="13"/>
      <c r="W967" s="13"/>
      <c r="X967" s="13"/>
      <c r="Y967" s="13"/>
      <c r="Z967" s="13"/>
      <c r="AA967" s="13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3"/>
      <c r="AO967" s="13"/>
      <c r="AP967" s="13"/>
      <c r="AQ967" s="13"/>
      <c r="AR967" s="13"/>
      <c r="AS967" s="13"/>
      <c r="AT967" s="13"/>
      <c r="AU967" s="13"/>
      <c r="AV967" s="13"/>
      <c r="AW967" s="14"/>
      <c r="AX967" s="14"/>
      <c r="AY967" s="14"/>
      <c r="AZ967" s="14"/>
      <c r="BA967" s="14"/>
    </row>
    <row r="968">
      <c r="A968" s="11"/>
      <c r="B968" s="11"/>
      <c r="C968" s="11"/>
      <c r="D968" s="11"/>
      <c r="E968" s="11"/>
      <c r="F968" s="11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3"/>
      <c r="T968" s="13"/>
      <c r="U968" s="13"/>
      <c r="V968" s="13"/>
      <c r="W968" s="13"/>
      <c r="X968" s="13"/>
      <c r="Y968" s="13"/>
      <c r="Z968" s="13"/>
      <c r="AA968" s="13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3"/>
      <c r="AO968" s="13"/>
      <c r="AP968" s="13"/>
      <c r="AQ968" s="13"/>
      <c r="AR968" s="13"/>
      <c r="AS968" s="13"/>
      <c r="AT968" s="13"/>
      <c r="AU968" s="13"/>
      <c r="AV968" s="13"/>
      <c r="AW968" s="14"/>
      <c r="AX968" s="14"/>
      <c r="AY968" s="14"/>
      <c r="AZ968" s="14"/>
      <c r="BA968" s="14"/>
    </row>
    <row r="969">
      <c r="A969" s="11"/>
      <c r="B969" s="11"/>
      <c r="C969" s="11"/>
      <c r="D969" s="11"/>
      <c r="E969" s="11"/>
      <c r="F969" s="11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3"/>
      <c r="T969" s="13"/>
      <c r="U969" s="13"/>
      <c r="V969" s="13"/>
      <c r="W969" s="13"/>
      <c r="X969" s="13"/>
      <c r="Y969" s="13"/>
      <c r="Z969" s="13"/>
      <c r="AA969" s="13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3"/>
      <c r="AO969" s="13"/>
      <c r="AP969" s="13"/>
      <c r="AQ969" s="13"/>
      <c r="AR969" s="13"/>
      <c r="AS969" s="13"/>
      <c r="AT969" s="13"/>
      <c r="AU969" s="13"/>
      <c r="AV969" s="13"/>
      <c r="AW969" s="14"/>
      <c r="AX969" s="14"/>
      <c r="AY969" s="14"/>
      <c r="AZ969" s="14"/>
      <c r="BA969" s="14"/>
    </row>
    <row r="970">
      <c r="A970" s="11"/>
      <c r="B970" s="11"/>
      <c r="C970" s="11"/>
      <c r="D970" s="11"/>
      <c r="E970" s="11"/>
      <c r="F970" s="11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3"/>
      <c r="T970" s="13"/>
      <c r="U970" s="13"/>
      <c r="V970" s="13"/>
      <c r="W970" s="13"/>
      <c r="X970" s="13"/>
      <c r="Y970" s="13"/>
      <c r="Z970" s="13"/>
      <c r="AA970" s="13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3"/>
      <c r="AO970" s="13"/>
      <c r="AP970" s="13"/>
      <c r="AQ970" s="13"/>
      <c r="AR970" s="13"/>
      <c r="AS970" s="13"/>
      <c r="AT970" s="13"/>
      <c r="AU970" s="13"/>
      <c r="AV970" s="13"/>
      <c r="AW970" s="14"/>
      <c r="AX970" s="14"/>
      <c r="AY970" s="14"/>
      <c r="AZ970" s="14"/>
      <c r="BA970" s="14"/>
    </row>
    <row r="971">
      <c r="A971" s="11"/>
      <c r="B971" s="11"/>
      <c r="C971" s="11"/>
      <c r="D971" s="11"/>
      <c r="E971" s="11"/>
      <c r="F971" s="11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3"/>
      <c r="T971" s="13"/>
      <c r="U971" s="13"/>
      <c r="V971" s="13"/>
      <c r="W971" s="13"/>
      <c r="X971" s="13"/>
      <c r="Y971" s="13"/>
      <c r="Z971" s="13"/>
      <c r="AA971" s="13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3"/>
      <c r="AO971" s="13"/>
      <c r="AP971" s="13"/>
      <c r="AQ971" s="13"/>
      <c r="AR971" s="13"/>
      <c r="AS971" s="13"/>
      <c r="AT971" s="13"/>
      <c r="AU971" s="13"/>
      <c r="AV971" s="13"/>
      <c r="AW971" s="14"/>
      <c r="AX971" s="14"/>
      <c r="AY971" s="14"/>
      <c r="AZ971" s="14"/>
      <c r="BA971" s="14"/>
    </row>
    <row r="972">
      <c r="A972" s="11"/>
      <c r="B972" s="11"/>
      <c r="C972" s="11"/>
      <c r="D972" s="11"/>
      <c r="E972" s="11"/>
      <c r="F972" s="11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3"/>
      <c r="T972" s="13"/>
      <c r="U972" s="13"/>
      <c r="V972" s="13"/>
      <c r="W972" s="13"/>
      <c r="X972" s="13"/>
      <c r="Y972" s="13"/>
      <c r="Z972" s="13"/>
      <c r="AA972" s="13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3"/>
      <c r="AO972" s="13"/>
      <c r="AP972" s="13"/>
      <c r="AQ972" s="13"/>
      <c r="AR972" s="13"/>
      <c r="AS972" s="13"/>
      <c r="AT972" s="13"/>
      <c r="AU972" s="13"/>
      <c r="AV972" s="13"/>
      <c r="AW972" s="14"/>
      <c r="AX972" s="14"/>
      <c r="AY972" s="14"/>
      <c r="AZ972" s="14"/>
      <c r="BA972" s="14"/>
    </row>
    <row r="973">
      <c r="A973" s="11"/>
      <c r="B973" s="11"/>
      <c r="C973" s="11"/>
      <c r="D973" s="11"/>
      <c r="E973" s="11"/>
      <c r="F973" s="11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3"/>
      <c r="T973" s="13"/>
      <c r="U973" s="13"/>
      <c r="V973" s="13"/>
      <c r="W973" s="13"/>
      <c r="X973" s="13"/>
      <c r="Y973" s="13"/>
      <c r="Z973" s="13"/>
      <c r="AA973" s="13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3"/>
      <c r="AO973" s="13"/>
      <c r="AP973" s="13"/>
      <c r="AQ973" s="13"/>
      <c r="AR973" s="13"/>
      <c r="AS973" s="13"/>
      <c r="AT973" s="13"/>
      <c r="AU973" s="13"/>
      <c r="AV973" s="13"/>
      <c r="AW973" s="14"/>
      <c r="AX973" s="14"/>
      <c r="AY973" s="14"/>
      <c r="AZ973" s="14"/>
      <c r="BA973" s="14"/>
    </row>
    <row r="974">
      <c r="A974" s="11"/>
      <c r="B974" s="11"/>
      <c r="C974" s="11"/>
      <c r="D974" s="11"/>
      <c r="E974" s="11"/>
      <c r="F974" s="11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3"/>
      <c r="T974" s="13"/>
      <c r="U974" s="13"/>
      <c r="V974" s="13"/>
      <c r="W974" s="13"/>
      <c r="X974" s="13"/>
      <c r="Y974" s="13"/>
      <c r="Z974" s="13"/>
      <c r="AA974" s="13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3"/>
      <c r="AO974" s="13"/>
      <c r="AP974" s="13"/>
      <c r="AQ974" s="13"/>
      <c r="AR974" s="13"/>
      <c r="AS974" s="13"/>
      <c r="AT974" s="13"/>
      <c r="AU974" s="13"/>
      <c r="AV974" s="13"/>
      <c r="AW974" s="14"/>
      <c r="AX974" s="14"/>
      <c r="AY974" s="14"/>
      <c r="AZ974" s="14"/>
      <c r="BA974" s="14"/>
    </row>
    <row r="975">
      <c r="A975" s="11"/>
      <c r="B975" s="11"/>
      <c r="C975" s="11"/>
      <c r="D975" s="11"/>
      <c r="E975" s="11"/>
      <c r="F975" s="11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3"/>
      <c r="T975" s="13"/>
      <c r="U975" s="13"/>
      <c r="V975" s="13"/>
      <c r="W975" s="13"/>
      <c r="X975" s="13"/>
      <c r="Y975" s="13"/>
      <c r="Z975" s="13"/>
      <c r="AA975" s="13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3"/>
      <c r="AO975" s="13"/>
      <c r="AP975" s="13"/>
      <c r="AQ975" s="13"/>
      <c r="AR975" s="13"/>
      <c r="AS975" s="13"/>
      <c r="AT975" s="13"/>
      <c r="AU975" s="13"/>
      <c r="AV975" s="13"/>
      <c r="AW975" s="14"/>
      <c r="AX975" s="14"/>
      <c r="AY975" s="14"/>
      <c r="AZ975" s="14"/>
      <c r="BA975" s="14"/>
    </row>
    <row r="976">
      <c r="A976" s="11"/>
      <c r="B976" s="11"/>
      <c r="C976" s="11"/>
      <c r="D976" s="11"/>
      <c r="E976" s="11"/>
      <c r="F976" s="11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3"/>
      <c r="T976" s="13"/>
      <c r="U976" s="13"/>
      <c r="V976" s="13"/>
      <c r="W976" s="13"/>
      <c r="X976" s="13"/>
      <c r="Y976" s="13"/>
      <c r="Z976" s="13"/>
      <c r="AA976" s="13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3"/>
      <c r="AO976" s="13"/>
      <c r="AP976" s="13"/>
      <c r="AQ976" s="13"/>
      <c r="AR976" s="13"/>
      <c r="AS976" s="13"/>
      <c r="AT976" s="13"/>
      <c r="AU976" s="13"/>
      <c r="AV976" s="13"/>
      <c r="AW976" s="14"/>
      <c r="AX976" s="14"/>
      <c r="AY976" s="14"/>
      <c r="AZ976" s="14"/>
      <c r="BA976" s="14"/>
    </row>
    <row r="977">
      <c r="A977" s="11"/>
      <c r="B977" s="11"/>
      <c r="C977" s="11"/>
      <c r="D977" s="11"/>
      <c r="E977" s="11"/>
      <c r="F977" s="11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3"/>
      <c r="T977" s="13"/>
      <c r="U977" s="13"/>
      <c r="V977" s="13"/>
      <c r="W977" s="13"/>
      <c r="X977" s="13"/>
      <c r="Y977" s="13"/>
      <c r="Z977" s="13"/>
      <c r="AA977" s="13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3"/>
      <c r="AO977" s="13"/>
      <c r="AP977" s="13"/>
      <c r="AQ977" s="13"/>
      <c r="AR977" s="13"/>
      <c r="AS977" s="13"/>
      <c r="AT977" s="13"/>
      <c r="AU977" s="13"/>
      <c r="AV977" s="13"/>
      <c r="AW977" s="14"/>
      <c r="AX977" s="14"/>
      <c r="AY977" s="14"/>
      <c r="AZ977" s="14"/>
      <c r="BA977" s="14"/>
    </row>
    <row r="978">
      <c r="A978" s="11"/>
      <c r="B978" s="11"/>
      <c r="C978" s="11"/>
      <c r="D978" s="11"/>
      <c r="E978" s="11"/>
      <c r="F978" s="11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3"/>
      <c r="T978" s="13"/>
      <c r="U978" s="13"/>
      <c r="V978" s="13"/>
      <c r="W978" s="13"/>
      <c r="X978" s="13"/>
      <c r="Y978" s="13"/>
      <c r="Z978" s="13"/>
      <c r="AA978" s="13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3"/>
      <c r="AO978" s="13"/>
      <c r="AP978" s="13"/>
      <c r="AQ978" s="13"/>
      <c r="AR978" s="13"/>
      <c r="AS978" s="13"/>
      <c r="AT978" s="13"/>
      <c r="AU978" s="13"/>
      <c r="AV978" s="13"/>
      <c r="AW978" s="14"/>
      <c r="AX978" s="14"/>
      <c r="AY978" s="14"/>
      <c r="AZ978" s="14"/>
      <c r="BA978" s="14"/>
    </row>
    <row r="979">
      <c r="A979" s="11"/>
      <c r="B979" s="11"/>
      <c r="C979" s="11"/>
      <c r="D979" s="11"/>
      <c r="E979" s="11"/>
      <c r="F979" s="11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3"/>
      <c r="T979" s="13"/>
      <c r="U979" s="13"/>
      <c r="V979" s="13"/>
      <c r="W979" s="13"/>
      <c r="X979" s="13"/>
      <c r="Y979" s="13"/>
      <c r="Z979" s="13"/>
      <c r="AA979" s="13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3"/>
      <c r="AO979" s="13"/>
      <c r="AP979" s="13"/>
      <c r="AQ979" s="13"/>
      <c r="AR979" s="13"/>
      <c r="AS979" s="13"/>
      <c r="AT979" s="13"/>
      <c r="AU979" s="13"/>
      <c r="AV979" s="13"/>
      <c r="AW979" s="14"/>
      <c r="AX979" s="14"/>
      <c r="AY979" s="14"/>
      <c r="AZ979" s="14"/>
      <c r="BA979" s="14"/>
    </row>
    <row r="980">
      <c r="A980" s="11"/>
      <c r="B980" s="11"/>
      <c r="C980" s="11"/>
      <c r="D980" s="11"/>
      <c r="E980" s="11"/>
      <c r="F980" s="11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3"/>
      <c r="T980" s="13"/>
      <c r="U980" s="13"/>
      <c r="V980" s="13"/>
      <c r="W980" s="13"/>
      <c r="X980" s="13"/>
      <c r="Y980" s="13"/>
      <c r="Z980" s="13"/>
      <c r="AA980" s="13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3"/>
      <c r="AO980" s="13"/>
      <c r="AP980" s="13"/>
      <c r="AQ980" s="13"/>
      <c r="AR980" s="13"/>
      <c r="AS980" s="13"/>
      <c r="AT980" s="13"/>
      <c r="AU980" s="13"/>
      <c r="AV980" s="13"/>
      <c r="AW980" s="14"/>
      <c r="AX980" s="14"/>
      <c r="AY980" s="14"/>
      <c r="AZ980" s="14"/>
      <c r="BA980" s="14"/>
    </row>
    <row r="981">
      <c r="A981" s="11"/>
      <c r="B981" s="11"/>
      <c r="C981" s="11"/>
      <c r="D981" s="11"/>
      <c r="E981" s="11"/>
      <c r="F981" s="11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3"/>
      <c r="T981" s="13"/>
      <c r="U981" s="13"/>
      <c r="V981" s="13"/>
      <c r="W981" s="13"/>
      <c r="X981" s="13"/>
      <c r="Y981" s="13"/>
      <c r="Z981" s="13"/>
      <c r="AA981" s="13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3"/>
      <c r="AO981" s="13"/>
      <c r="AP981" s="13"/>
      <c r="AQ981" s="13"/>
      <c r="AR981" s="13"/>
      <c r="AS981" s="13"/>
      <c r="AT981" s="13"/>
      <c r="AU981" s="13"/>
      <c r="AV981" s="13"/>
      <c r="AW981" s="14"/>
      <c r="AX981" s="14"/>
      <c r="AY981" s="14"/>
      <c r="AZ981" s="14"/>
      <c r="BA981" s="14"/>
    </row>
    <row r="982">
      <c r="A982" s="11"/>
      <c r="B982" s="11"/>
      <c r="C982" s="11"/>
      <c r="D982" s="11"/>
      <c r="E982" s="11"/>
      <c r="F982" s="11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3"/>
      <c r="T982" s="13"/>
      <c r="U982" s="13"/>
      <c r="V982" s="13"/>
      <c r="W982" s="13"/>
      <c r="X982" s="13"/>
      <c r="Y982" s="13"/>
      <c r="Z982" s="13"/>
      <c r="AA982" s="13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3"/>
      <c r="AO982" s="13"/>
      <c r="AP982" s="13"/>
      <c r="AQ982" s="13"/>
      <c r="AR982" s="13"/>
      <c r="AS982" s="13"/>
      <c r="AT982" s="13"/>
      <c r="AU982" s="13"/>
      <c r="AV982" s="13"/>
      <c r="AW982" s="14"/>
      <c r="AX982" s="14"/>
      <c r="AY982" s="14"/>
      <c r="AZ982" s="14"/>
      <c r="BA982" s="14"/>
    </row>
    <row r="983">
      <c r="A983" s="11"/>
      <c r="B983" s="11"/>
      <c r="C983" s="11"/>
      <c r="D983" s="11"/>
      <c r="E983" s="11"/>
      <c r="F983" s="11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3"/>
      <c r="T983" s="13"/>
      <c r="U983" s="13"/>
      <c r="V983" s="13"/>
      <c r="W983" s="13"/>
      <c r="X983" s="13"/>
      <c r="Y983" s="13"/>
      <c r="Z983" s="13"/>
      <c r="AA983" s="13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3"/>
      <c r="AO983" s="13"/>
      <c r="AP983" s="13"/>
      <c r="AQ983" s="13"/>
      <c r="AR983" s="13"/>
      <c r="AS983" s="13"/>
      <c r="AT983" s="13"/>
      <c r="AU983" s="13"/>
      <c r="AV983" s="13"/>
      <c r="AW983" s="14"/>
      <c r="AX983" s="14"/>
      <c r="AY983" s="14"/>
      <c r="AZ983" s="14"/>
      <c r="BA983" s="14"/>
    </row>
    <row r="984">
      <c r="A984" s="11"/>
      <c r="B984" s="11"/>
      <c r="C984" s="11"/>
      <c r="D984" s="11"/>
      <c r="E984" s="11"/>
      <c r="F984" s="11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3"/>
      <c r="T984" s="13"/>
      <c r="U984" s="13"/>
      <c r="V984" s="13"/>
      <c r="W984" s="13"/>
      <c r="X984" s="13"/>
      <c r="Y984" s="13"/>
      <c r="Z984" s="13"/>
      <c r="AA984" s="13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3"/>
      <c r="AO984" s="13"/>
      <c r="AP984" s="13"/>
      <c r="AQ984" s="13"/>
      <c r="AR984" s="13"/>
      <c r="AS984" s="13"/>
      <c r="AT984" s="13"/>
      <c r="AU984" s="13"/>
      <c r="AV984" s="13"/>
      <c r="AW984" s="14"/>
      <c r="AX984" s="14"/>
      <c r="AY984" s="14"/>
      <c r="AZ984" s="14"/>
      <c r="BA984" s="14"/>
    </row>
    <row r="985">
      <c r="A985" s="11"/>
      <c r="B985" s="11"/>
      <c r="C985" s="11"/>
      <c r="D985" s="11"/>
      <c r="E985" s="11"/>
      <c r="F985" s="11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3"/>
      <c r="T985" s="13"/>
      <c r="U985" s="13"/>
      <c r="V985" s="13"/>
      <c r="W985" s="13"/>
      <c r="X985" s="13"/>
      <c r="Y985" s="13"/>
      <c r="Z985" s="13"/>
      <c r="AA985" s="13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  <c r="AN985" s="13"/>
      <c r="AO985" s="13"/>
      <c r="AP985" s="13"/>
      <c r="AQ985" s="13"/>
      <c r="AR985" s="13"/>
      <c r="AS985" s="13"/>
      <c r="AT985" s="13"/>
      <c r="AU985" s="13"/>
      <c r="AV985" s="13"/>
      <c r="AW985" s="14"/>
      <c r="AX985" s="14"/>
      <c r="AY985" s="14"/>
      <c r="AZ985" s="14"/>
      <c r="BA985" s="14"/>
    </row>
    <row r="986">
      <c r="A986" s="11"/>
      <c r="B986" s="11"/>
      <c r="C986" s="11"/>
      <c r="D986" s="11"/>
      <c r="E986" s="11"/>
      <c r="F986" s="11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3"/>
      <c r="T986" s="13"/>
      <c r="U986" s="13"/>
      <c r="V986" s="13"/>
      <c r="W986" s="13"/>
      <c r="X986" s="13"/>
      <c r="Y986" s="13"/>
      <c r="Z986" s="13"/>
      <c r="AA986" s="13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3"/>
      <c r="AO986" s="13"/>
      <c r="AP986" s="13"/>
      <c r="AQ986" s="13"/>
      <c r="AR986" s="13"/>
      <c r="AS986" s="13"/>
      <c r="AT986" s="13"/>
      <c r="AU986" s="13"/>
      <c r="AV986" s="13"/>
      <c r="AW986" s="14"/>
      <c r="AX986" s="14"/>
      <c r="AY986" s="14"/>
      <c r="AZ986" s="14"/>
      <c r="BA986" s="14"/>
    </row>
    <row r="987">
      <c r="A987" s="11"/>
      <c r="B987" s="11"/>
      <c r="C987" s="11"/>
      <c r="D987" s="11"/>
      <c r="E987" s="11"/>
      <c r="F987" s="11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3"/>
      <c r="T987" s="13"/>
      <c r="U987" s="13"/>
      <c r="V987" s="13"/>
      <c r="W987" s="13"/>
      <c r="X987" s="13"/>
      <c r="Y987" s="13"/>
      <c r="Z987" s="13"/>
      <c r="AA987" s="13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3"/>
      <c r="AO987" s="13"/>
      <c r="AP987" s="13"/>
      <c r="AQ987" s="13"/>
      <c r="AR987" s="13"/>
      <c r="AS987" s="13"/>
      <c r="AT987" s="13"/>
      <c r="AU987" s="13"/>
      <c r="AV987" s="13"/>
      <c r="AW987" s="14"/>
      <c r="AX987" s="14"/>
      <c r="AY987" s="14"/>
      <c r="AZ987" s="14"/>
      <c r="BA987" s="14"/>
    </row>
    <row r="988">
      <c r="A988" s="11"/>
      <c r="B988" s="11"/>
      <c r="C988" s="11"/>
      <c r="D988" s="11"/>
      <c r="E988" s="11"/>
      <c r="F988" s="11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3"/>
      <c r="T988" s="13"/>
      <c r="U988" s="13"/>
      <c r="V988" s="13"/>
      <c r="W988" s="13"/>
      <c r="X988" s="13"/>
      <c r="Y988" s="13"/>
      <c r="Z988" s="13"/>
      <c r="AA988" s="13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3"/>
      <c r="AO988" s="13"/>
      <c r="AP988" s="13"/>
      <c r="AQ988" s="13"/>
      <c r="AR988" s="13"/>
      <c r="AS988" s="13"/>
      <c r="AT988" s="13"/>
      <c r="AU988" s="13"/>
      <c r="AV988" s="13"/>
      <c r="AW988" s="14"/>
      <c r="AX988" s="14"/>
      <c r="AY988" s="14"/>
      <c r="AZ988" s="14"/>
      <c r="BA988" s="14"/>
    </row>
    <row r="989">
      <c r="A989" s="11"/>
      <c r="B989" s="11"/>
      <c r="C989" s="11"/>
      <c r="D989" s="11"/>
      <c r="E989" s="11"/>
      <c r="F989" s="11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3"/>
      <c r="T989" s="13"/>
      <c r="U989" s="13"/>
      <c r="V989" s="13"/>
      <c r="W989" s="13"/>
      <c r="X989" s="13"/>
      <c r="Y989" s="13"/>
      <c r="Z989" s="13"/>
      <c r="AA989" s="13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  <c r="AN989" s="13"/>
      <c r="AO989" s="13"/>
      <c r="AP989" s="13"/>
      <c r="AQ989" s="13"/>
      <c r="AR989" s="13"/>
      <c r="AS989" s="13"/>
      <c r="AT989" s="13"/>
      <c r="AU989" s="13"/>
      <c r="AV989" s="13"/>
      <c r="AW989" s="14"/>
      <c r="AX989" s="14"/>
      <c r="AY989" s="14"/>
      <c r="AZ989" s="14"/>
      <c r="BA989" s="14"/>
    </row>
    <row r="990">
      <c r="A990" s="11"/>
      <c r="B990" s="11"/>
      <c r="C990" s="11"/>
      <c r="D990" s="11"/>
      <c r="E990" s="11"/>
      <c r="F990" s="11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3"/>
      <c r="T990" s="13"/>
      <c r="U990" s="13"/>
      <c r="V990" s="13"/>
      <c r="W990" s="13"/>
      <c r="X990" s="13"/>
      <c r="Y990" s="13"/>
      <c r="Z990" s="13"/>
      <c r="AA990" s="13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3"/>
      <c r="AO990" s="13"/>
      <c r="AP990" s="13"/>
      <c r="AQ990" s="13"/>
      <c r="AR990" s="13"/>
      <c r="AS990" s="13"/>
      <c r="AT990" s="13"/>
      <c r="AU990" s="13"/>
      <c r="AV990" s="13"/>
      <c r="AW990" s="14"/>
      <c r="AX990" s="14"/>
      <c r="AY990" s="14"/>
      <c r="AZ990" s="14"/>
      <c r="BA990" s="14"/>
    </row>
    <row r="991">
      <c r="A991" s="11"/>
      <c r="B991" s="11"/>
      <c r="C991" s="11"/>
      <c r="D991" s="11"/>
      <c r="E991" s="11"/>
      <c r="F991" s="11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3"/>
      <c r="T991" s="13"/>
      <c r="U991" s="13"/>
      <c r="V991" s="13"/>
      <c r="W991" s="13"/>
      <c r="X991" s="13"/>
      <c r="Y991" s="13"/>
      <c r="Z991" s="13"/>
      <c r="AA991" s="13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  <c r="AN991" s="13"/>
      <c r="AO991" s="13"/>
      <c r="AP991" s="13"/>
      <c r="AQ991" s="13"/>
      <c r="AR991" s="13"/>
      <c r="AS991" s="13"/>
      <c r="AT991" s="13"/>
      <c r="AU991" s="13"/>
      <c r="AV991" s="13"/>
      <c r="AW991" s="14"/>
      <c r="AX991" s="14"/>
      <c r="AY991" s="14"/>
      <c r="AZ991" s="14"/>
      <c r="BA991" s="14"/>
    </row>
    <row r="992">
      <c r="A992" s="11"/>
      <c r="B992" s="11"/>
      <c r="C992" s="11"/>
      <c r="D992" s="11"/>
      <c r="E992" s="11"/>
      <c r="F992" s="11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3"/>
      <c r="T992" s="13"/>
      <c r="U992" s="13"/>
      <c r="V992" s="13"/>
      <c r="W992" s="13"/>
      <c r="X992" s="13"/>
      <c r="Y992" s="13"/>
      <c r="Z992" s="13"/>
      <c r="AA992" s="13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  <c r="AN992" s="13"/>
      <c r="AO992" s="13"/>
      <c r="AP992" s="13"/>
      <c r="AQ992" s="13"/>
      <c r="AR992" s="13"/>
      <c r="AS992" s="13"/>
      <c r="AT992" s="13"/>
      <c r="AU992" s="13"/>
      <c r="AV992" s="13"/>
      <c r="AW992" s="14"/>
      <c r="AX992" s="14"/>
      <c r="AY992" s="14"/>
      <c r="AZ992" s="14"/>
      <c r="BA992" s="14"/>
    </row>
    <row r="993">
      <c r="A993" s="11"/>
      <c r="B993" s="11"/>
      <c r="C993" s="11"/>
      <c r="D993" s="11"/>
      <c r="E993" s="11"/>
      <c r="F993" s="11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3"/>
      <c r="T993" s="13"/>
      <c r="U993" s="13"/>
      <c r="V993" s="13"/>
      <c r="W993" s="13"/>
      <c r="X993" s="13"/>
      <c r="Y993" s="13"/>
      <c r="Z993" s="13"/>
      <c r="AA993" s="13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  <c r="AN993" s="13"/>
      <c r="AO993" s="13"/>
      <c r="AP993" s="13"/>
      <c r="AQ993" s="13"/>
      <c r="AR993" s="13"/>
      <c r="AS993" s="13"/>
      <c r="AT993" s="13"/>
      <c r="AU993" s="13"/>
      <c r="AV993" s="13"/>
      <c r="AW993" s="14"/>
      <c r="AX993" s="14"/>
      <c r="AY993" s="14"/>
      <c r="AZ993" s="14"/>
      <c r="BA993" s="14"/>
    </row>
    <row r="994">
      <c r="A994" s="11"/>
      <c r="B994" s="11"/>
      <c r="C994" s="11"/>
      <c r="D994" s="11"/>
      <c r="E994" s="11"/>
      <c r="F994" s="11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3"/>
      <c r="T994" s="13"/>
      <c r="U994" s="13"/>
      <c r="V994" s="13"/>
      <c r="W994" s="13"/>
      <c r="X994" s="13"/>
      <c r="Y994" s="13"/>
      <c r="Z994" s="13"/>
      <c r="AA994" s="13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3"/>
      <c r="AO994" s="13"/>
      <c r="AP994" s="13"/>
      <c r="AQ994" s="13"/>
      <c r="AR994" s="13"/>
      <c r="AS994" s="13"/>
      <c r="AT994" s="13"/>
      <c r="AU994" s="13"/>
      <c r="AV994" s="13"/>
      <c r="AW994" s="14"/>
      <c r="AX994" s="14"/>
      <c r="AY994" s="14"/>
      <c r="AZ994" s="14"/>
      <c r="BA994" s="14"/>
    </row>
    <row r="995">
      <c r="A995" s="11"/>
      <c r="B995" s="11"/>
      <c r="C995" s="11"/>
      <c r="D995" s="11"/>
      <c r="E995" s="11"/>
      <c r="F995" s="11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3"/>
      <c r="T995" s="13"/>
      <c r="U995" s="13"/>
      <c r="V995" s="13"/>
      <c r="W995" s="13"/>
      <c r="X995" s="13"/>
      <c r="Y995" s="13"/>
      <c r="Z995" s="13"/>
      <c r="AA995" s="13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  <c r="AN995" s="13"/>
      <c r="AO995" s="13"/>
      <c r="AP995" s="13"/>
      <c r="AQ995" s="13"/>
      <c r="AR995" s="13"/>
      <c r="AS995" s="13"/>
      <c r="AT995" s="13"/>
      <c r="AU995" s="13"/>
      <c r="AV995" s="13"/>
      <c r="AW995" s="14"/>
      <c r="AX995" s="14"/>
      <c r="AY995" s="14"/>
      <c r="AZ995" s="14"/>
      <c r="BA995" s="1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3.38"/>
    <col customWidth="1" min="2" max="2" width="18.38"/>
    <col customWidth="1" min="3" max="3" width="14.75"/>
    <col customWidth="1" min="4" max="4" width="13.63"/>
    <col hidden="1" min="8" max="9" width="12.63"/>
  </cols>
  <sheetData>
    <row r="1" ht="7.5" customHeight="1">
      <c r="A1" s="15"/>
      <c r="B1" s="16"/>
      <c r="C1" s="16"/>
      <c r="D1" s="16"/>
      <c r="E1" s="16"/>
      <c r="F1" s="16"/>
      <c r="G1" s="16"/>
      <c r="H1" s="15"/>
      <c r="I1" s="15"/>
    </row>
    <row r="2">
      <c r="A2" s="15"/>
      <c r="B2" s="17" t="s">
        <v>99</v>
      </c>
      <c r="C2" s="18"/>
      <c r="D2" s="18"/>
      <c r="E2" s="18"/>
      <c r="F2" s="18"/>
      <c r="G2" s="19"/>
      <c r="H2" s="15"/>
      <c r="I2" s="15"/>
    </row>
    <row r="3" ht="7.5" customHeight="1">
      <c r="A3" s="15"/>
      <c r="B3" s="15"/>
      <c r="C3" s="15"/>
      <c r="D3" s="15"/>
      <c r="E3" s="15"/>
      <c r="F3" s="15"/>
      <c r="G3" s="15"/>
      <c r="H3" s="15"/>
      <c r="I3" s="15"/>
    </row>
    <row r="4">
      <c r="A4" s="15"/>
      <c r="B4" s="20" t="s">
        <v>100</v>
      </c>
      <c r="C4" s="21" t="s">
        <v>97</v>
      </c>
      <c r="F4" s="20" t="s">
        <v>101</v>
      </c>
      <c r="G4" s="21" t="str">
        <f t="array" ref="G4">IFERROR(VLOOKUP($C$4,{DATOS!B1:B15,DATOS!A1:A15},2,FALSE),"-")</f>
        <v/>
      </c>
      <c r="H4" s="15"/>
      <c r="I4" s="15"/>
    </row>
    <row r="5" ht="7.5" customHeight="1">
      <c r="A5" s="15"/>
      <c r="B5" s="15"/>
      <c r="C5" s="15"/>
      <c r="D5" s="15"/>
      <c r="E5" s="15"/>
      <c r="F5" s="15"/>
      <c r="G5" s="15"/>
      <c r="H5" s="15"/>
      <c r="I5" s="15"/>
    </row>
    <row r="6">
      <c r="A6" s="15"/>
      <c r="B6" s="22" t="s">
        <v>102</v>
      </c>
      <c r="E6" s="22" t="s">
        <v>103</v>
      </c>
      <c r="H6" s="23" t="s">
        <v>104</v>
      </c>
      <c r="I6" s="24">
        <f>B7</f>
        <v>150</v>
      </c>
    </row>
    <row r="7">
      <c r="A7" s="15"/>
      <c r="B7" s="25">
        <f t="array" ref="B7">IFERROR(VLOOKUP($C$4,DATOS!B:BA,52,FALSE),"-")</f>
        <v>150</v>
      </c>
      <c r="E7" s="26" t="str">
        <f>IF(B7&lt;88, "Muy bajo", IF(B7&lt;126, "Bajo", IF(B7&lt;141, "Promedio bajo", IF(B7&lt;151, "Promedio",IF(B7&lt;161, "Promedio alto", IF(B7&lt;173, "Alto", "Muy alto"))))))</f>
        <v>Promedio</v>
      </c>
      <c r="H7" s="27" t="s">
        <v>105</v>
      </c>
      <c r="I7" s="28">
        <v>7.0</v>
      </c>
    </row>
    <row r="8" ht="7.5" customHeight="1">
      <c r="A8" s="29"/>
      <c r="B8" s="30"/>
      <c r="C8" s="31">
        <f>B7</f>
        <v>150</v>
      </c>
      <c r="D8" s="32" t="s">
        <v>104</v>
      </c>
      <c r="E8" s="33"/>
      <c r="F8" s="33"/>
      <c r="G8" s="33"/>
      <c r="H8" s="34" t="s">
        <v>106</v>
      </c>
      <c r="I8" s="28">
        <v>15.0</v>
      </c>
    </row>
    <row r="9">
      <c r="A9" s="15"/>
      <c r="B9" s="35" t="s">
        <v>107</v>
      </c>
      <c r="C9" s="36">
        <f t="array" ref="C9">IFERROR(VLOOKUP($C$4,DATOS!B:BA,48,FALSE),"-")</f>
        <v>38</v>
      </c>
      <c r="D9" s="19"/>
      <c r="E9" s="37" t="str">
        <f>IF(C9&lt;20, "Muy bajo", IF(C9&lt;32, "Bajo", IF(C9&lt;38, "Promedio bajo", IF(C9&lt;41, "Promedio",IF(C9&lt;44, "Promedio alto", IF(C9&lt;49, "Alto", "Muy alto"))))))</f>
        <v>Promedio</v>
      </c>
      <c r="F9" s="18"/>
      <c r="G9" s="19"/>
      <c r="H9" s="34" t="s">
        <v>108</v>
      </c>
      <c r="I9" s="28">
        <v>25.0</v>
      </c>
    </row>
    <row r="10">
      <c r="A10" s="15"/>
      <c r="B10" s="38" t="s">
        <v>109</v>
      </c>
      <c r="C10" s="36">
        <f t="array" ref="C10">IFERROR(VLOOKUP($C$4,DATOS!B:BA,49,FALSE),"-")</f>
        <v>36</v>
      </c>
      <c r="D10" s="19"/>
      <c r="E10" s="37" t="str">
        <f>IF(C10&lt;19, "Muy bajo", IF(C10&lt;24, "Bajo", IF(C10&lt;29, "Promedio bajo", IF(C10&lt;32, "Promedio",IF(C10&lt;35, "Promedio alto", IF(C10&lt;39, "Alto", "Muy alto"))))))</f>
        <v>Alto</v>
      </c>
      <c r="F10" s="18"/>
      <c r="G10" s="19"/>
      <c r="H10" s="34" t="s">
        <v>110</v>
      </c>
      <c r="I10" s="28">
        <v>63.0</v>
      </c>
    </row>
    <row r="11">
      <c r="A11" s="15"/>
      <c r="B11" s="39" t="s">
        <v>111</v>
      </c>
      <c r="C11" s="36">
        <f t="array" ref="C11">IFERROR(VLOOKUP($C$4,DATOS!B:BA,50,FALSE),"-")</f>
        <v>49</v>
      </c>
      <c r="D11" s="19"/>
      <c r="E11" s="37" t="str">
        <f>IF(C11&lt;21, "Muy bajo", IF(C11&lt;34, "Bajo", IF(C11&lt;41, "Promedio bajo", IF(C11&lt;46, "Promedio",IF(C11&lt;50, "Promedio alto", IF(C11&lt;54, "Alto", "Muy alto"))))))</f>
        <v>Promedio alto</v>
      </c>
      <c r="F11" s="18"/>
      <c r="G11" s="19"/>
      <c r="H11" s="15"/>
      <c r="I11" s="15"/>
    </row>
    <row r="12">
      <c r="A12" s="15"/>
      <c r="B12" s="39" t="s">
        <v>112</v>
      </c>
      <c r="C12" s="36">
        <f t="array" ref="C12">IFERROR(VLOOKUP($C$4,DATOS!B:BA,51,FALSE),"-")</f>
        <v>27</v>
      </c>
      <c r="D12" s="19"/>
      <c r="E12" s="37" t="str">
        <f>IF(C12&lt;16, "Muy bajo", IF(C12&lt;24, "Bajo", IF(C12&lt;29, "Promedio bajo", IF(C12&lt;33, "Promedio",IF(C12&lt;36, "Promedio alto", IF(C12&lt;40, "Alto", "Muy alto"))))))</f>
        <v>Promedio bajo</v>
      </c>
      <c r="F12" s="18"/>
      <c r="G12" s="19"/>
      <c r="H12" s="15"/>
      <c r="I12" s="15"/>
    </row>
    <row r="13">
      <c r="A13" s="15"/>
      <c r="B13" s="15"/>
      <c r="C13" s="15"/>
      <c r="D13" s="15"/>
      <c r="E13" s="15"/>
      <c r="F13" s="15"/>
      <c r="G13" s="15"/>
      <c r="H13" s="15"/>
      <c r="I13" s="15"/>
    </row>
    <row r="14">
      <c r="A14" s="15"/>
      <c r="B14" s="40" t="s">
        <v>113</v>
      </c>
      <c r="H14" s="15"/>
      <c r="I14" s="15"/>
    </row>
    <row r="15">
      <c r="A15" s="15"/>
      <c r="B15" s="15"/>
      <c r="C15" s="15"/>
      <c r="D15" s="15"/>
      <c r="E15" s="15"/>
      <c r="F15" s="15"/>
      <c r="G15" s="15"/>
      <c r="H15" s="15"/>
      <c r="I15" s="15"/>
    </row>
  </sheetData>
  <mergeCells count="16">
    <mergeCell ref="B2:G2"/>
    <mergeCell ref="C4:D4"/>
    <mergeCell ref="B6:D6"/>
    <mergeCell ref="E6:G6"/>
    <mergeCell ref="B7:D7"/>
    <mergeCell ref="E7:G7"/>
    <mergeCell ref="D8:G8"/>
    <mergeCell ref="E12:G12"/>
    <mergeCell ref="B14:G14"/>
    <mergeCell ref="C9:D9"/>
    <mergeCell ref="E9:G9"/>
    <mergeCell ref="C10:D10"/>
    <mergeCell ref="E10:G10"/>
    <mergeCell ref="C11:D11"/>
    <mergeCell ref="E11:G11"/>
    <mergeCell ref="C12:D12"/>
  </mergeCells>
  <conditionalFormatting sqref="E7:G7 E9:G12">
    <cfRule type="cellIs" dxfId="0" priority="1" operator="equal">
      <formula>"Muy bajo"</formula>
    </cfRule>
  </conditionalFormatting>
  <conditionalFormatting sqref="E7:G7 E9:G12">
    <cfRule type="cellIs" dxfId="1" priority="2" operator="equal">
      <formula>"Bajo"</formula>
    </cfRule>
  </conditionalFormatting>
  <conditionalFormatting sqref="E7:G7 E9:G12">
    <cfRule type="cellIs" dxfId="2" priority="3" operator="equal">
      <formula>"Promedio bajo"</formula>
    </cfRule>
  </conditionalFormatting>
  <conditionalFormatting sqref="E7:G7 E9:G12">
    <cfRule type="cellIs" dxfId="3" priority="4" operator="equal">
      <formula>"Promedio"</formula>
    </cfRule>
  </conditionalFormatting>
  <conditionalFormatting sqref="E7:G7 E9:G12">
    <cfRule type="cellIs" dxfId="4" priority="5" operator="equal">
      <formula>"Promedio alto"</formula>
    </cfRule>
  </conditionalFormatting>
  <conditionalFormatting sqref="E7:G7 E9:G12">
    <cfRule type="cellIs" dxfId="5" priority="6" operator="equal">
      <formula>"Alto"</formula>
    </cfRule>
  </conditionalFormatting>
  <conditionalFormatting sqref="E7:G7 E9:G12">
    <cfRule type="notContainsBlanks" dxfId="6" priority="7">
      <formula>LEN(TRIM(E7))&gt;0</formula>
    </cfRule>
  </conditionalFormatting>
  <dataValidations>
    <dataValidation type="list" allowBlank="1" showErrorMessage="1" sqref="C4">
      <formula1>DATOS!$B$2:$B15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