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IDARE" sheetId="2" r:id="rId6"/>
  </sheets>
  <definedNames/>
  <calcPr/>
</workbook>
</file>

<file path=xl/sharedStrings.xml><?xml version="1.0" encoding="utf-8"?>
<sst xmlns="http://schemas.openxmlformats.org/spreadsheetml/2006/main" count="434" uniqueCount="97">
  <si>
    <t>ID|hidden-1</t>
  </si>
  <si>
    <t>Nombre completo|name-1</t>
  </si>
  <si>
    <t>Sexo|select-1</t>
  </si>
  <si>
    <t>Edad|number-2</t>
  </si>
  <si>
    <t>Fecha de realización|date-1</t>
  </si>
  <si>
    <t>Hora de realización|time-1</t>
  </si>
  <si>
    <t>1. Me siento calmado/a|radio-1</t>
  </si>
  <si>
    <t>2. Me siento seguro/a|radio-2</t>
  </si>
  <si>
    <t>3. Estoy tenso/a|radio-3</t>
  </si>
  <si>
    <t>4. Estoy contrariado/a|radio-4</t>
  </si>
  <si>
    <t>5. Estoy a gusto|radio-5</t>
  </si>
  <si>
    <t>6. Me siento alterado/a|radio-6</t>
  </si>
  <si>
    <t>7. Estoy preocupado/a actualmente por algún posible contratiempo|radio-7</t>
  </si>
  <si>
    <t>8. Me siento descansado/a|radio-8</t>
  </si>
  <si>
    <t>9. Me siento ansioso/a|radio-9</t>
  </si>
  <si>
    <t>10. Me siento cómodo/a|radio-10</t>
  </si>
  <si>
    <t>11. Me siento con confianza en mí mismo/a|radio-11</t>
  </si>
  <si>
    <t>12. Me siento nervioso/a|radio-12</t>
  </si>
  <si>
    <t>13. Me siento agitado/a|radio-13</t>
  </si>
  <si>
    <t>14. Me siento "a punto de explotar"|radio-14</t>
  </si>
  <si>
    <t>15. Me siento reposado/a|radio-15</t>
  </si>
  <si>
    <t>16. Me siento satisfecho/a|radio-16</t>
  </si>
  <si>
    <t>17. Estoy preocupado/a|radio-17</t>
  </si>
  <si>
    <t>18. Me siento muy agitado/a y aturdido/a|radio-18</t>
  </si>
  <si>
    <t>19. Me siento alegre|radio-19</t>
  </si>
  <si>
    <t>20. Me siento bien|radio-20</t>
  </si>
  <si>
    <t>21. Me siento bien|radio-21</t>
  </si>
  <si>
    <t>22. Me canso rápidamente|radio-22</t>
  </si>
  <si>
    <t>23. Siento ganas de llorar|radio-23</t>
  </si>
  <si>
    <t>24. Quisiera ser tan feliz como otros parecen serlo|radio-24</t>
  </si>
  <si>
    <t>25. Pierdo oportunidades por no poder decidirme rápidamente|radio-25</t>
  </si>
  <si>
    <t>26. Me siento descansado/a|radio-26</t>
  </si>
  <si>
    <t>27. Soy una persona "tranquila, serena y sosegada"|radio-27</t>
  </si>
  <si>
    <t>28. Siento que las dificultades se me amontonan al punto de no poder superarlas|radio-28</t>
  </si>
  <si>
    <t>29. Me preocupo demasiado por cosas sin importancia|radio-29</t>
  </si>
  <si>
    <t>30. Soy feliz|radio-30</t>
  </si>
  <si>
    <t>31. Tomo las cosas muy a pecho|radio-31</t>
  </si>
  <si>
    <t>32. Me falta confianza en mí mismo/a|radio-32</t>
  </si>
  <si>
    <t>33. Me siento seguro/a|radio-33</t>
  </si>
  <si>
    <t>34. Procuro evitar enfrentarme a las crisis y dificultades|radio-34</t>
  </si>
  <si>
    <t>35. Me siento melancólico/a|radio-35</t>
  </si>
  <si>
    <t>36. Me siento satisfecho/a|radio-36</t>
  </si>
  <si>
    <t>37. Algunas ideas poco importantes pasan por mi mente y me molestan|radio-37</t>
  </si>
  <si>
    <t>38. Me afectan tanto los desengaños que no me los puedo quitar de la cabeza|radio-38</t>
  </si>
  <si>
    <t>39. Soy una persona estable|radio-39</t>
  </si>
  <si>
    <t>40. Cuando pienso en mis preocupaciones actuales me pongo tenso/a y alterado/a|radio-40</t>
  </si>
  <si>
    <t>Las pruebas concluyeron ¿Acepta nuestros términos de uso?|consent-1</t>
  </si>
  <si>
    <t>A - E|calculation-1</t>
  </si>
  <si>
    <t>B - E|calculation-4</t>
  </si>
  <si>
    <t>A - R|calculation-2</t>
  </si>
  <si>
    <t>B - R|calculation-5</t>
  </si>
  <si>
    <t>Ansiedad como estado|calculation-3</t>
  </si>
  <si>
    <t>Ansiedad como rasgo|calculation-6</t>
  </si>
  <si>
    <t>RAUL ALVARADO</t>
  </si>
  <si>
    <t>Masculino</t>
  </si>
  <si>
    <t>10-03-2025</t>
  </si>
  <si>
    <t>02:45 am</t>
  </si>
  <si>
    <t>Mucho</t>
  </si>
  <si>
    <t>No en lo absoluto</t>
  </si>
  <si>
    <t>Casi siempre</t>
  </si>
  <si>
    <t>Casi nunca</t>
  </si>
  <si>
    <t>marcada</t>
  </si>
  <si>
    <t/>
  </si>
  <si>
    <t>Luis Jesus Salazar Alvarez</t>
  </si>
  <si>
    <t>11-10-1999</t>
  </si>
  <si>
    <t>12:45 pm</t>
  </si>
  <si>
    <t>Un poco</t>
  </si>
  <si>
    <t>Bastante</t>
  </si>
  <si>
    <t>Algunas veces</t>
  </si>
  <si>
    <t>Frecuentemente</t>
  </si>
  <si>
    <t>07-04-2025</t>
  </si>
  <si>
    <t>07:15 am</t>
  </si>
  <si>
    <t>Emmanuel Rodríguez Núñez</t>
  </si>
  <si>
    <t>13-04-2026</t>
  </si>
  <si>
    <t>12:00 pm</t>
  </si>
  <si>
    <t>checked</t>
  </si>
  <si>
    <t>Valeria LOPEZ mata</t>
  </si>
  <si>
    <t>Femenino</t>
  </si>
  <si>
    <t>04-05-2026</t>
  </si>
  <si>
    <t>09:30 pm</t>
  </si>
  <si>
    <t>Anayansi Rincon Patiño</t>
  </si>
  <si>
    <t>09-05-2026</t>
  </si>
  <si>
    <t>11:30 am</t>
  </si>
  <si>
    <t>Rocio del Rosario Martínez Coronado</t>
  </si>
  <si>
    <t>26-05-2026</t>
  </si>
  <si>
    <t>08:15 pm</t>
  </si>
  <si>
    <t>Grettell Maite Coronado Cortes</t>
  </si>
  <si>
    <t>08-06-2026</t>
  </si>
  <si>
    <t>02:30 pm</t>
  </si>
  <si>
    <t>IDARE</t>
  </si>
  <si>
    <t>NOMBRE</t>
  </si>
  <si>
    <t>Ansiedad como estado</t>
  </si>
  <si>
    <t>Ansiedad como rasgo</t>
  </si>
  <si>
    <t>Nivel del paciente</t>
  </si>
  <si>
    <t>Ansiedad baja</t>
  </si>
  <si>
    <t>Ansiedad moderada</t>
  </si>
  <si>
    <t>Ansiedad 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</si>
</sst>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</font>
    <font>
      <color rgb="FFFFFFFF"/>
      <name val="Arial"/>
    </font>
    <font>
      <strike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4" fontId="3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2" fillId="6" fontId="3" numFmtId="0" xfId="0" applyAlignment="1" applyBorder="1" applyFill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Border="1" applyFont="1"/>
    <xf borderId="5" fillId="7" fontId="3" numFmtId="0" xfId="0" applyAlignment="1" applyBorder="1" applyFill="1" applyFont="1">
      <alignment horizontal="center" vertical="bottom"/>
    </xf>
    <xf borderId="5" fillId="7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DA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367057291666673"/>
          <c:y val="0.03964194373401535"/>
          <c:w val="0.8838294270833333"/>
          <c:h val="0.7774936061381074"/>
        </c:manualLayout>
      </c:layout>
      <c:barChart>
        <c:barDir val="col"/>
        <c:ser>
          <c:idx val="0"/>
          <c:order val="0"/>
          <c:tx>
            <c:v>Como estado</c:v>
          </c:tx>
          <c:spPr>
            <a:solidFill>
              <a:srgbClr val="4285F4"/>
            </a:solidFill>
            <a:ln cmpd="sng" w="38100">
              <a:noFill/>
              <a:prstDash val="sysDot"/>
            </a:ln>
          </c:spPr>
          <c:dPt>
            <c:idx val="0"/>
            <c:spPr>
              <a:solidFill>
                <a:srgbClr val="4285F4">
                  <a:alpha val="0"/>
                </a:srgbClr>
              </a:solidFill>
              <a:ln cmpd="sng" w="38100">
                <a:noFill/>
                <a:prstDash val="sysDot"/>
              </a:ln>
            </c:spPr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IDARE!$J$6</c:f>
              <c:numCache/>
            </c:numRef>
          </c:val>
        </c:ser>
        <c:ser>
          <c:idx val="1"/>
          <c:order val="1"/>
          <c:tx>
            <c:v>Como rasgo</c:v>
          </c:tx>
          <c:spPr>
            <a:solidFill>
              <a:srgbClr val="0000FF"/>
            </a:solidFill>
            <a:ln cmpd="sng" w="38100">
              <a:noFill/>
              <a:prstDash val="sysDot"/>
            </a:ln>
          </c:spPr>
          <c:dPt>
            <c:idx val="0"/>
            <c:spPr>
              <a:solidFill>
                <a:srgbClr val="0000FF">
                  <a:alpha val="0"/>
                </a:srgbClr>
              </a:solidFill>
              <a:ln cmpd="sng" w="38100">
                <a:noFill/>
                <a:prstDash val="sysDot"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IDARE!$J$7</c:f>
              <c:numCache/>
            </c:numRef>
          </c:val>
        </c:ser>
        <c:ser>
          <c:idx val="2"/>
          <c:order val="2"/>
          <c:tx>
            <c:v>Baja</c:v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  <c:spPr>
              <a:solidFill>
                <a:srgbClr val="00FF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IDARE!$J$8</c:f>
              <c:numCache/>
            </c:numRef>
          </c:val>
        </c:ser>
        <c:ser>
          <c:idx val="3"/>
          <c:order val="3"/>
          <c:tx>
            <c:v>Moderada</c:v>
          </c:tx>
          <c:spPr>
            <a:solidFill>
              <a:srgbClr val="FFFF00"/>
            </a:solidFill>
            <a:ln cmpd="sng">
              <a:noFill/>
            </a:ln>
          </c:spPr>
          <c:dPt>
            <c:idx val="0"/>
            <c:spPr>
              <a:solidFill>
                <a:srgbClr val="FF99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IDARE!$J$9</c:f>
              <c:numCache/>
            </c:numRef>
          </c:val>
        </c:ser>
        <c:ser>
          <c:idx val="4"/>
          <c:order val="4"/>
          <c:tx>
            <c:v>Alta</c:v>
          </c:tx>
          <c:spPr>
            <a:solidFill>
              <a:srgbClr val="FF0000"/>
            </a:solidFill>
            <a:ln cmpd="sng">
              <a:noFill/>
            </a:ln>
          </c:spPr>
          <c:dPt>
            <c:idx val="0"/>
            <c:spPr>
              <a:solidFill>
                <a:srgbClr val="FF00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IDARE!$J$10</c:f>
              <c:numCache/>
            </c:numRef>
          </c:val>
        </c:ser>
        <c:axId val="1559682079"/>
        <c:axId val="845331851"/>
      </c:barChart>
      <c:catAx>
        <c:axId val="1559682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Niveles de Ansiedad</a:t>
                </a:r>
              </a:p>
            </c:rich>
          </c:tx>
          <c:layout>
            <c:manualLayout>
              <c:xMode val="edge"/>
              <c:yMode val="edge"/>
              <c:x val="0.07519032975557251"/>
              <c:y val="0.9381583999295048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845331851"/>
      </c:catAx>
      <c:valAx>
        <c:axId val="845331851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559682079"/>
        <c:majorUnit val="10.0"/>
        <c:minorUnit val="5.0"/>
      </c:valAx>
    </c:plotArea>
    <c:legend>
      <c:legendPos val="b"/>
      <c:layout>
        <c:manualLayout>
          <c:xMode val="edge"/>
          <c:yMode val="edge"/>
          <c:x val="0.2132338235604526"/>
          <c:y val="0.863520212386396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11</xdr:row>
      <xdr:rowOff>171450</xdr:rowOff>
    </xdr:from>
    <xdr:ext cx="6000750" cy="3581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A994" displayName="Tabla_1" name="Tabla_1" id="1">
  <tableColumns count="53">
    <tableColumn name="ID|hidden-1" id="1"/>
    <tableColumn name="Nombre completo|name-1" id="2"/>
    <tableColumn name="Sexo|select-1" id="3"/>
    <tableColumn name="Edad|number-2" id="4"/>
    <tableColumn name="Fecha de realización|date-1" id="5"/>
    <tableColumn name="Hora de realización|time-1" id="6"/>
    <tableColumn name="1. Me siento calmado/a|radio-1" id="7"/>
    <tableColumn name="2. Me siento seguro/a|radio-2" id="8"/>
    <tableColumn name="3. Estoy tenso/a|radio-3" id="9"/>
    <tableColumn name="4. Estoy contrariado/a|radio-4" id="10"/>
    <tableColumn name="5. Estoy a gusto|radio-5" id="11"/>
    <tableColumn name="6. Me siento alterado/a|radio-6" id="12"/>
    <tableColumn name="7. Estoy preocupado/a actualmente por algún posible contratiempo|radio-7" id="13"/>
    <tableColumn name="8. Me siento descansado/a|radio-8" id="14"/>
    <tableColumn name="9. Me siento ansioso/a|radio-9" id="15"/>
    <tableColumn name="10. Me siento cómodo/a|radio-10" id="16"/>
    <tableColumn name="11. Me siento con confianza en mí mismo/a|radio-11" id="17"/>
    <tableColumn name="12. Me siento nervioso/a|radio-12" id="18"/>
    <tableColumn name="13. Me siento agitado/a|radio-13" id="19"/>
    <tableColumn name="14. Me siento &quot;a punto de explotar&quot;|radio-14" id="20"/>
    <tableColumn name="15. Me siento reposado/a|radio-15" id="21"/>
    <tableColumn name="16. Me siento satisfecho/a|radio-16" id="22"/>
    <tableColumn name="17. Estoy preocupado/a|radio-17" id="23"/>
    <tableColumn name="18. Me siento muy agitado/a y aturdido/a|radio-18" id="24"/>
    <tableColumn name="19. Me siento alegre|radio-19" id="25"/>
    <tableColumn name="20. Me siento bien|radio-20" id="26"/>
    <tableColumn name="21. Me siento bien|radio-21" id="27"/>
    <tableColumn name="22. Me canso rápidamente|radio-22" id="28"/>
    <tableColumn name="23. Siento ganas de llorar|radio-23" id="29"/>
    <tableColumn name="24. Quisiera ser tan feliz como otros parecen serlo|radio-24" id="30"/>
    <tableColumn name="25. Pierdo oportunidades por no poder decidirme rápidamente|radio-25" id="31"/>
    <tableColumn name="26. Me siento descansado/a|radio-26" id="32"/>
    <tableColumn name="27. Soy una persona &quot;tranquila, serena y sosegada&quot;|radio-27" id="33"/>
    <tableColumn name="28. Siento que las dificultades se me amontonan al punto de no poder superarlas|radio-28" id="34"/>
    <tableColumn name="29. Me preocupo demasiado por cosas sin importancia|radio-29" id="35"/>
    <tableColumn name="30. Soy feliz|radio-30" id="36"/>
    <tableColumn name="31. Tomo las cosas muy a pecho|radio-31" id="37"/>
    <tableColumn name="32. Me falta confianza en mí mismo/a|radio-32" id="38"/>
    <tableColumn name="33. Me siento seguro/a|radio-33" id="39"/>
    <tableColumn name="34. Procuro evitar enfrentarme a las crisis y dificultades|radio-34" id="40"/>
    <tableColumn name="35. Me siento melancólico/a|radio-35" id="41"/>
    <tableColumn name="36. Me siento satisfecho/a|radio-36" id="42"/>
    <tableColumn name="37. Algunas ideas poco importantes pasan por mi mente y me molestan|radio-37" id="43"/>
    <tableColumn name="38. Me afectan tanto los desengaños que no me los puedo quitar de la cabeza|radio-38" id="44"/>
    <tableColumn name="39. Soy una persona estable|radio-39" id="45"/>
    <tableColumn name="40. Cuando pienso en mis preocupaciones actuales me pongo tenso/a y alterado/a|radio-40" id="46"/>
    <tableColumn name="Las pruebas concluyeron ¿Acepta nuestros términos de uso?|consent-1" id="47"/>
    <tableColumn name="A - E|calculation-1" id="48"/>
    <tableColumn name="B - E|calculation-4" id="49"/>
    <tableColumn name="A - R|calculation-2" id="50"/>
    <tableColumn name="B - R|calculation-5" id="51"/>
    <tableColumn name="Ansiedad como estado|calculation-3" id="52"/>
    <tableColumn name="Ansiedad como rasgo|calculation-6" id="53"/>
  </tableColumns>
  <tableStyleInfo name="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3" width="2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ht="22.5" customHeight="1">
      <c r="A2" s="3">
        <v>3.0</v>
      </c>
      <c r="B2" s="3" t="s">
        <v>53</v>
      </c>
      <c r="C2" s="3" t="s">
        <v>54</v>
      </c>
      <c r="D2" s="3">
        <v>25.0</v>
      </c>
      <c r="E2" s="4" t="s">
        <v>55</v>
      </c>
      <c r="F2" s="3" t="s">
        <v>56</v>
      </c>
      <c r="G2" s="3" t="s">
        <v>57</v>
      </c>
      <c r="H2" s="3" t="s">
        <v>57</v>
      </c>
      <c r="I2" s="3" t="s">
        <v>58</v>
      </c>
      <c r="J2" s="3" t="s">
        <v>58</v>
      </c>
      <c r="K2" s="3" t="s">
        <v>57</v>
      </c>
      <c r="L2" s="3" t="s">
        <v>58</v>
      </c>
      <c r="M2" s="3" t="s">
        <v>58</v>
      </c>
      <c r="N2" s="3" t="s">
        <v>57</v>
      </c>
      <c r="O2" s="3" t="s">
        <v>58</v>
      </c>
      <c r="P2" s="3" t="s">
        <v>57</v>
      </c>
      <c r="Q2" s="3" t="s">
        <v>57</v>
      </c>
      <c r="R2" s="3" t="s">
        <v>58</v>
      </c>
      <c r="S2" s="3" t="s">
        <v>58</v>
      </c>
      <c r="T2" s="3" t="s">
        <v>58</v>
      </c>
      <c r="U2" s="3" t="s">
        <v>57</v>
      </c>
      <c r="V2" s="3" t="s">
        <v>57</v>
      </c>
      <c r="W2" s="3" t="s">
        <v>58</v>
      </c>
      <c r="X2" s="3" t="s">
        <v>58</v>
      </c>
      <c r="Y2" s="3" t="s">
        <v>57</v>
      </c>
      <c r="Z2" s="3" t="s">
        <v>57</v>
      </c>
      <c r="AA2" s="3" t="s">
        <v>59</v>
      </c>
      <c r="AB2" s="3" t="s">
        <v>60</v>
      </c>
      <c r="AC2" s="3" t="s">
        <v>60</v>
      </c>
      <c r="AD2" s="3" t="s">
        <v>60</v>
      </c>
      <c r="AE2" s="3" t="s">
        <v>60</v>
      </c>
      <c r="AF2" s="3" t="s">
        <v>59</v>
      </c>
      <c r="AG2" s="3" t="s">
        <v>59</v>
      </c>
      <c r="AH2" s="3" t="s">
        <v>60</v>
      </c>
      <c r="AI2" s="3" t="s">
        <v>60</v>
      </c>
      <c r="AJ2" s="3" t="s">
        <v>59</v>
      </c>
      <c r="AK2" s="3" t="s">
        <v>60</v>
      </c>
      <c r="AL2" s="3" t="s">
        <v>60</v>
      </c>
      <c r="AM2" s="3" t="s">
        <v>59</v>
      </c>
      <c r="AN2" s="3" t="s">
        <v>60</v>
      </c>
      <c r="AO2" s="3" t="s">
        <v>60</v>
      </c>
      <c r="AP2" s="3" t="s">
        <v>59</v>
      </c>
      <c r="AQ2" s="3" t="s">
        <v>60</v>
      </c>
      <c r="AR2" s="3" t="s">
        <v>60</v>
      </c>
      <c r="AS2" s="3" t="s">
        <v>59</v>
      </c>
      <c r="AT2" s="3" t="s">
        <v>60</v>
      </c>
      <c r="AU2" s="3" t="s">
        <v>61</v>
      </c>
      <c r="AV2" s="5">
        <v>10.0</v>
      </c>
      <c r="AW2" s="5">
        <v>40.0</v>
      </c>
      <c r="AX2" s="6">
        <v>13.0</v>
      </c>
      <c r="AY2" s="6">
        <v>27.0</v>
      </c>
      <c r="AZ2" s="7">
        <v>20.0</v>
      </c>
      <c r="BA2" s="6">
        <v>21.0</v>
      </c>
    </row>
    <row r="3" ht="22.5" customHeight="1">
      <c r="A3" s="3" t="s">
        <v>62</v>
      </c>
      <c r="B3" s="3" t="s">
        <v>63</v>
      </c>
      <c r="C3" s="3" t="s">
        <v>54</v>
      </c>
      <c r="D3" s="3">
        <v>25.0</v>
      </c>
      <c r="E3" s="4" t="s">
        <v>64</v>
      </c>
      <c r="F3" s="3" t="s">
        <v>65</v>
      </c>
      <c r="G3" s="3" t="s">
        <v>66</v>
      </c>
      <c r="H3" s="3" t="s">
        <v>66</v>
      </c>
      <c r="I3" s="3" t="s">
        <v>66</v>
      </c>
      <c r="J3" s="3" t="s">
        <v>57</v>
      </c>
      <c r="K3" s="3" t="s">
        <v>66</v>
      </c>
      <c r="L3" s="3" t="s">
        <v>67</v>
      </c>
      <c r="M3" s="3" t="s">
        <v>67</v>
      </c>
      <c r="N3" s="3" t="s">
        <v>58</v>
      </c>
      <c r="O3" s="3" t="s">
        <v>67</v>
      </c>
      <c r="P3" s="3" t="s">
        <v>66</v>
      </c>
      <c r="Q3" s="3" t="s">
        <v>66</v>
      </c>
      <c r="R3" s="3" t="s">
        <v>67</v>
      </c>
      <c r="S3" s="3" t="s">
        <v>67</v>
      </c>
      <c r="T3" s="3" t="s">
        <v>67</v>
      </c>
      <c r="U3" s="3" t="s">
        <v>66</v>
      </c>
      <c r="V3" s="3" t="s">
        <v>66</v>
      </c>
      <c r="W3" s="3" t="s">
        <v>67</v>
      </c>
      <c r="X3" s="3" t="s">
        <v>67</v>
      </c>
      <c r="Y3" s="3" t="s">
        <v>66</v>
      </c>
      <c r="Z3" s="3" t="s">
        <v>66</v>
      </c>
      <c r="AA3" s="3" t="s">
        <v>68</v>
      </c>
      <c r="AB3" s="3" t="s">
        <v>59</v>
      </c>
      <c r="AC3" s="3" t="s">
        <v>69</v>
      </c>
      <c r="AD3" s="3" t="s">
        <v>59</v>
      </c>
      <c r="AE3" s="3" t="s">
        <v>59</v>
      </c>
      <c r="AF3" s="3" t="s">
        <v>68</v>
      </c>
      <c r="AG3" s="3" t="s">
        <v>68</v>
      </c>
      <c r="AH3" s="3" t="s">
        <v>69</v>
      </c>
      <c r="AI3" s="3" t="s">
        <v>59</v>
      </c>
      <c r="AJ3" s="3" t="s">
        <v>60</v>
      </c>
      <c r="AK3" s="3" t="s">
        <v>59</v>
      </c>
      <c r="AL3" s="3" t="s">
        <v>69</v>
      </c>
      <c r="AM3" s="3" t="s">
        <v>68</v>
      </c>
      <c r="AN3" s="3" t="s">
        <v>69</v>
      </c>
      <c r="AO3" s="3" t="s">
        <v>69</v>
      </c>
      <c r="AP3" s="3" t="s">
        <v>68</v>
      </c>
      <c r="AQ3" s="3" t="s">
        <v>69</v>
      </c>
      <c r="AR3" s="3" t="s">
        <v>59</v>
      </c>
      <c r="AS3" s="3" t="s">
        <v>60</v>
      </c>
      <c r="AT3" s="3" t="s">
        <v>69</v>
      </c>
      <c r="AU3" s="3" t="s">
        <v>61</v>
      </c>
      <c r="AV3" s="5">
        <v>30.0</v>
      </c>
      <c r="AW3" s="5">
        <v>19.0</v>
      </c>
      <c r="AX3" s="6">
        <v>45.0</v>
      </c>
      <c r="AY3" s="6">
        <v>12.0</v>
      </c>
      <c r="AZ3" s="7">
        <v>61.0</v>
      </c>
      <c r="BA3" s="6">
        <v>68.0</v>
      </c>
    </row>
    <row r="4" ht="22.5" customHeight="1">
      <c r="A4" s="3" t="s">
        <v>62</v>
      </c>
      <c r="B4" s="3" t="s">
        <v>63</v>
      </c>
      <c r="C4" s="3" t="s">
        <v>54</v>
      </c>
      <c r="D4" s="3">
        <v>25.0</v>
      </c>
      <c r="E4" s="4" t="s">
        <v>70</v>
      </c>
      <c r="F4" s="3" t="s">
        <v>71</v>
      </c>
      <c r="G4" s="3" t="s">
        <v>66</v>
      </c>
      <c r="H4" s="3" t="s">
        <v>66</v>
      </c>
      <c r="I4" s="3" t="s">
        <v>67</v>
      </c>
      <c r="J4" s="3" t="s">
        <v>66</v>
      </c>
      <c r="K4" s="3" t="s">
        <v>66</v>
      </c>
      <c r="L4" s="3" t="s">
        <v>66</v>
      </c>
      <c r="M4" s="3" t="s">
        <v>67</v>
      </c>
      <c r="N4" s="3" t="s">
        <v>58</v>
      </c>
      <c r="O4" s="3" t="s">
        <v>67</v>
      </c>
      <c r="P4" s="3" t="s">
        <v>66</v>
      </c>
      <c r="Q4" s="3" t="s">
        <v>58</v>
      </c>
      <c r="R4" s="3" t="s">
        <v>66</v>
      </c>
      <c r="S4" s="3" t="s">
        <v>58</v>
      </c>
      <c r="T4" s="3" t="s">
        <v>57</v>
      </c>
      <c r="U4" s="3" t="s">
        <v>66</v>
      </c>
      <c r="V4" s="3" t="s">
        <v>66</v>
      </c>
      <c r="W4" s="3" t="s">
        <v>67</v>
      </c>
      <c r="X4" s="3" t="s">
        <v>58</v>
      </c>
      <c r="Y4" s="3" t="s">
        <v>66</v>
      </c>
      <c r="Z4" s="3" t="s">
        <v>58</v>
      </c>
      <c r="AA4" s="3" t="s">
        <v>68</v>
      </c>
      <c r="AB4" s="3" t="s">
        <v>69</v>
      </c>
      <c r="AC4" s="3" t="s">
        <v>69</v>
      </c>
      <c r="AD4" s="3" t="s">
        <v>59</v>
      </c>
      <c r="AE4" s="3" t="s">
        <v>68</v>
      </c>
      <c r="AF4" s="3" t="s">
        <v>60</v>
      </c>
      <c r="AG4" s="3" t="s">
        <v>69</v>
      </c>
      <c r="AH4" s="3" t="s">
        <v>59</v>
      </c>
      <c r="AI4" s="3" t="s">
        <v>69</v>
      </c>
      <c r="AJ4" s="3" t="s">
        <v>68</v>
      </c>
      <c r="AK4" s="3" t="s">
        <v>68</v>
      </c>
      <c r="AL4" s="3" t="s">
        <v>59</v>
      </c>
      <c r="AM4" s="3" t="s">
        <v>68</v>
      </c>
      <c r="AN4" s="3" t="s">
        <v>59</v>
      </c>
      <c r="AO4" s="3" t="s">
        <v>59</v>
      </c>
      <c r="AP4" s="3" t="s">
        <v>68</v>
      </c>
      <c r="AQ4" s="3" t="s">
        <v>59</v>
      </c>
      <c r="AR4" s="3" t="s">
        <v>69</v>
      </c>
      <c r="AS4" s="3" t="s">
        <v>60</v>
      </c>
      <c r="AT4" s="3" t="s">
        <v>59</v>
      </c>
      <c r="AU4" s="3" t="s">
        <v>61</v>
      </c>
      <c r="AV4" s="5">
        <v>24.0</v>
      </c>
      <c r="AW4" s="5">
        <v>17.0</v>
      </c>
      <c r="AX4" s="6">
        <v>44.0</v>
      </c>
      <c r="AY4" s="6">
        <v>13.0</v>
      </c>
      <c r="AZ4" s="7">
        <v>57.0</v>
      </c>
      <c r="BA4" s="6">
        <v>66.0</v>
      </c>
    </row>
    <row r="5" ht="22.5" customHeight="1">
      <c r="A5" s="3" t="s">
        <v>62</v>
      </c>
      <c r="B5" s="3" t="s">
        <v>72</v>
      </c>
      <c r="C5" s="3" t="s">
        <v>54</v>
      </c>
      <c r="D5" s="3">
        <v>29.0</v>
      </c>
      <c r="E5" s="4" t="s">
        <v>73</v>
      </c>
      <c r="F5" s="3" t="s">
        <v>74</v>
      </c>
      <c r="G5" s="3" t="s">
        <v>66</v>
      </c>
      <c r="H5" s="3" t="s">
        <v>67</v>
      </c>
      <c r="I5" s="3" t="s">
        <v>66</v>
      </c>
      <c r="J5" s="3" t="s">
        <v>66</v>
      </c>
      <c r="K5" s="3" t="s">
        <v>67</v>
      </c>
      <c r="L5" s="3" t="s">
        <v>58</v>
      </c>
      <c r="M5" s="3" t="s">
        <v>66</v>
      </c>
      <c r="N5" s="3" t="s">
        <v>57</v>
      </c>
      <c r="O5" s="3" t="s">
        <v>66</v>
      </c>
      <c r="P5" s="3" t="s">
        <v>67</v>
      </c>
      <c r="Q5" s="3" t="s">
        <v>66</v>
      </c>
      <c r="R5" s="3" t="s">
        <v>58</v>
      </c>
      <c r="S5" s="3" t="s">
        <v>58</v>
      </c>
      <c r="T5" s="3" t="s">
        <v>58</v>
      </c>
      <c r="U5" s="3" t="s">
        <v>67</v>
      </c>
      <c r="V5" s="3" t="s">
        <v>57</v>
      </c>
      <c r="W5" s="3" t="s">
        <v>58</v>
      </c>
      <c r="X5" s="3" t="s">
        <v>66</v>
      </c>
      <c r="Y5" s="3" t="s">
        <v>66</v>
      </c>
      <c r="Z5" s="3" t="s">
        <v>67</v>
      </c>
      <c r="AA5" s="3" t="s">
        <v>68</v>
      </c>
      <c r="AB5" s="3" t="s">
        <v>68</v>
      </c>
      <c r="AC5" s="3" t="s">
        <v>69</v>
      </c>
      <c r="AD5" s="3" t="s">
        <v>69</v>
      </c>
      <c r="AE5" s="3" t="s">
        <v>68</v>
      </c>
      <c r="AF5" s="3" t="s">
        <v>69</v>
      </c>
      <c r="AG5" s="3" t="s">
        <v>69</v>
      </c>
      <c r="AH5" s="3" t="s">
        <v>69</v>
      </c>
      <c r="AI5" s="3" t="s">
        <v>59</v>
      </c>
      <c r="AJ5" s="3" t="s">
        <v>68</v>
      </c>
      <c r="AK5" s="3" t="s">
        <v>59</v>
      </c>
      <c r="AL5" s="3" t="s">
        <v>69</v>
      </c>
      <c r="AM5" s="3" t="s">
        <v>68</v>
      </c>
      <c r="AN5" s="3" t="s">
        <v>69</v>
      </c>
      <c r="AO5" s="3" t="s">
        <v>69</v>
      </c>
      <c r="AP5" s="3" t="s">
        <v>68</v>
      </c>
      <c r="AQ5" s="3" t="s">
        <v>59</v>
      </c>
      <c r="AR5" s="3" t="s">
        <v>68</v>
      </c>
      <c r="AS5" s="3" t="s">
        <v>68</v>
      </c>
      <c r="AT5" s="3" t="s">
        <v>59</v>
      </c>
      <c r="AU5" s="3" t="s">
        <v>75</v>
      </c>
      <c r="AV5" s="5">
        <v>15.0</v>
      </c>
      <c r="AW5" s="5">
        <v>29.0</v>
      </c>
      <c r="AX5" s="6">
        <v>40.0</v>
      </c>
      <c r="AY5" s="6">
        <v>16.0</v>
      </c>
      <c r="AZ5" s="7">
        <v>36.0</v>
      </c>
      <c r="BA5" s="6">
        <v>59.0</v>
      </c>
    </row>
    <row r="6" ht="22.5" customHeight="1">
      <c r="A6" s="3" t="s">
        <v>62</v>
      </c>
      <c r="B6" s="3" t="s">
        <v>76</v>
      </c>
      <c r="C6" s="3" t="s">
        <v>77</v>
      </c>
      <c r="D6" s="3">
        <v>20.0</v>
      </c>
      <c r="E6" s="4" t="s">
        <v>78</v>
      </c>
      <c r="F6" s="3" t="s">
        <v>79</v>
      </c>
      <c r="G6" s="3" t="s">
        <v>66</v>
      </c>
      <c r="H6" s="3" t="s">
        <v>66</v>
      </c>
      <c r="I6" s="3" t="s">
        <v>67</v>
      </c>
      <c r="J6" s="3" t="s">
        <v>66</v>
      </c>
      <c r="K6" s="3" t="s">
        <v>66</v>
      </c>
      <c r="L6" s="3" t="s">
        <v>67</v>
      </c>
      <c r="M6" s="3" t="s">
        <v>66</v>
      </c>
      <c r="N6" s="3" t="s">
        <v>67</v>
      </c>
      <c r="O6" s="3" t="s">
        <v>66</v>
      </c>
      <c r="P6" s="3" t="s">
        <v>67</v>
      </c>
      <c r="Q6" s="3" t="s">
        <v>66</v>
      </c>
      <c r="R6" s="3" t="s">
        <v>66</v>
      </c>
      <c r="S6" s="3" t="s">
        <v>66</v>
      </c>
      <c r="T6" s="3" t="s">
        <v>66</v>
      </c>
      <c r="U6" s="3" t="s">
        <v>66</v>
      </c>
      <c r="V6" s="3" t="s">
        <v>66</v>
      </c>
      <c r="W6" s="3" t="s">
        <v>66</v>
      </c>
      <c r="X6" s="3" t="s">
        <v>57</v>
      </c>
      <c r="Y6" s="3" t="s">
        <v>67</v>
      </c>
      <c r="Z6" s="3" t="s">
        <v>67</v>
      </c>
      <c r="AA6" s="3" t="s">
        <v>68</v>
      </c>
      <c r="AB6" s="3" t="s">
        <v>69</v>
      </c>
      <c r="AC6" s="3" t="s">
        <v>69</v>
      </c>
      <c r="AD6" s="3" t="s">
        <v>69</v>
      </c>
      <c r="AE6" s="3" t="s">
        <v>69</v>
      </c>
      <c r="AF6" s="3" t="s">
        <v>69</v>
      </c>
      <c r="AG6" s="3" t="s">
        <v>68</v>
      </c>
      <c r="AH6" s="3" t="s">
        <v>60</v>
      </c>
      <c r="AI6" s="3" t="s">
        <v>69</v>
      </c>
      <c r="AJ6" s="3" t="s">
        <v>60</v>
      </c>
      <c r="AK6" s="3" t="s">
        <v>69</v>
      </c>
      <c r="AL6" s="3" t="s">
        <v>68</v>
      </c>
      <c r="AM6" s="3" t="s">
        <v>68</v>
      </c>
      <c r="AN6" s="3" t="s">
        <v>60</v>
      </c>
      <c r="AO6" s="3" t="s">
        <v>60</v>
      </c>
      <c r="AP6" s="3" t="s">
        <v>69</v>
      </c>
      <c r="AQ6" s="3" t="s">
        <v>69</v>
      </c>
      <c r="AR6" s="3" t="s">
        <v>69</v>
      </c>
      <c r="AS6" s="3" t="s">
        <v>69</v>
      </c>
      <c r="AT6" s="3" t="s">
        <v>60</v>
      </c>
      <c r="AU6" s="3" t="s">
        <v>75</v>
      </c>
      <c r="AV6" s="5">
        <v>24.0</v>
      </c>
      <c r="AW6" s="5">
        <v>24.0</v>
      </c>
      <c r="AX6" s="6">
        <v>30.0</v>
      </c>
      <c r="AY6" s="6">
        <v>16.0</v>
      </c>
      <c r="AZ6" s="7">
        <v>50.0</v>
      </c>
      <c r="BA6" s="6">
        <v>49.0</v>
      </c>
    </row>
    <row r="7" ht="22.5" customHeight="1">
      <c r="A7" s="3" t="s">
        <v>62</v>
      </c>
      <c r="B7" s="3" t="s">
        <v>80</v>
      </c>
      <c r="C7" s="3" t="s">
        <v>77</v>
      </c>
      <c r="D7" s="3">
        <v>22.0</v>
      </c>
      <c r="E7" s="4" t="s">
        <v>81</v>
      </c>
      <c r="F7" s="3" t="s">
        <v>82</v>
      </c>
      <c r="G7" s="3" t="s">
        <v>66</v>
      </c>
      <c r="H7" s="3" t="s">
        <v>67</v>
      </c>
      <c r="I7" s="3" t="s">
        <v>58</v>
      </c>
      <c r="J7" s="3" t="s">
        <v>66</v>
      </c>
      <c r="K7" s="3" t="s">
        <v>67</v>
      </c>
      <c r="L7" s="3" t="s">
        <v>58</v>
      </c>
      <c r="M7" s="3" t="s">
        <v>57</v>
      </c>
      <c r="N7" s="3" t="s">
        <v>66</v>
      </c>
      <c r="O7" s="3" t="s">
        <v>66</v>
      </c>
      <c r="P7" s="3" t="s">
        <v>66</v>
      </c>
      <c r="Q7" s="3" t="s">
        <v>67</v>
      </c>
      <c r="R7" s="3" t="s">
        <v>66</v>
      </c>
      <c r="S7" s="3" t="s">
        <v>58</v>
      </c>
      <c r="T7" s="3" t="s">
        <v>58</v>
      </c>
      <c r="U7" s="3" t="s">
        <v>58</v>
      </c>
      <c r="V7" s="3" t="s">
        <v>66</v>
      </c>
      <c r="W7" s="3" t="s">
        <v>66</v>
      </c>
      <c r="X7" s="3" t="s">
        <v>58</v>
      </c>
      <c r="Y7" s="3" t="s">
        <v>66</v>
      </c>
      <c r="Z7" s="3" t="s">
        <v>66</v>
      </c>
      <c r="AA7" s="3" t="s">
        <v>68</v>
      </c>
      <c r="AB7" s="3" t="s">
        <v>60</v>
      </c>
      <c r="AC7" s="3" t="s">
        <v>68</v>
      </c>
      <c r="AD7" s="3" t="s">
        <v>68</v>
      </c>
      <c r="AE7" s="3" t="s">
        <v>68</v>
      </c>
      <c r="AF7" s="3" t="s">
        <v>68</v>
      </c>
      <c r="AG7" s="3" t="s">
        <v>69</v>
      </c>
      <c r="AH7" s="3" t="s">
        <v>69</v>
      </c>
      <c r="AI7" s="3" t="s">
        <v>69</v>
      </c>
      <c r="AJ7" s="3" t="s">
        <v>69</v>
      </c>
      <c r="AK7" s="3" t="s">
        <v>69</v>
      </c>
      <c r="AL7" s="3" t="s">
        <v>68</v>
      </c>
      <c r="AM7" s="3" t="s">
        <v>69</v>
      </c>
      <c r="AN7" s="3" t="s">
        <v>59</v>
      </c>
      <c r="AO7" s="3" t="s">
        <v>69</v>
      </c>
      <c r="AP7" s="3" t="s">
        <v>68</v>
      </c>
      <c r="AQ7" s="3" t="s">
        <v>69</v>
      </c>
      <c r="AR7" s="3" t="s">
        <v>68</v>
      </c>
      <c r="AS7" s="3" t="s">
        <v>69</v>
      </c>
      <c r="AT7" s="3" t="s">
        <v>69</v>
      </c>
      <c r="AU7" s="3" t="s">
        <v>75</v>
      </c>
      <c r="AV7" s="5">
        <v>17.0</v>
      </c>
      <c r="AW7" s="5">
        <v>22.0</v>
      </c>
      <c r="AX7" s="6">
        <v>33.0</v>
      </c>
      <c r="AY7" s="6">
        <v>18.0</v>
      </c>
      <c r="AZ7" s="7">
        <v>45.0</v>
      </c>
      <c r="BA7" s="6">
        <v>50.0</v>
      </c>
    </row>
    <row r="8" ht="22.5" customHeight="1">
      <c r="A8" s="3" t="s">
        <v>62</v>
      </c>
      <c r="B8" s="3" t="s">
        <v>83</v>
      </c>
      <c r="C8" s="3" t="s">
        <v>77</v>
      </c>
      <c r="D8" s="3">
        <v>21.0</v>
      </c>
      <c r="E8" s="4" t="s">
        <v>84</v>
      </c>
      <c r="F8" s="3" t="s">
        <v>85</v>
      </c>
      <c r="G8" s="3" t="s">
        <v>66</v>
      </c>
      <c r="H8" s="3" t="s">
        <v>58</v>
      </c>
      <c r="I8" s="3" t="s">
        <v>66</v>
      </c>
      <c r="J8" s="3" t="s">
        <v>58</v>
      </c>
      <c r="K8" s="3" t="s">
        <v>66</v>
      </c>
      <c r="L8" s="3" t="s">
        <v>66</v>
      </c>
      <c r="M8" s="3" t="s">
        <v>67</v>
      </c>
      <c r="N8" s="3" t="s">
        <v>58</v>
      </c>
      <c r="O8" s="3" t="s">
        <v>67</v>
      </c>
      <c r="P8" s="3" t="s">
        <v>66</v>
      </c>
      <c r="Q8" s="3" t="s">
        <v>58</v>
      </c>
      <c r="R8" s="3" t="s">
        <v>58</v>
      </c>
      <c r="S8" s="3" t="s">
        <v>58</v>
      </c>
      <c r="T8" s="3" t="s">
        <v>67</v>
      </c>
      <c r="U8" s="3" t="s">
        <v>58</v>
      </c>
      <c r="V8" s="3" t="s">
        <v>58</v>
      </c>
      <c r="W8" s="3" t="s">
        <v>66</v>
      </c>
      <c r="X8" s="3" t="s">
        <v>67</v>
      </c>
      <c r="Y8" s="3" t="s">
        <v>58</v>
      </c>
      <c r="Z8" s="3" t="s">
        <v>66</v>
      </c>
      <c r="AA8" s="3" t="s">
        <v>68</v>
      </c>
      <c r="AB8" s="3" t="s">
        <v>69</v>
      </c>
      <c r="AC8" s="3" t="s">
        <v>68</v>
      </c>
      <c r="AD8" s="3" t="s">
        <v>69</v>
      </c>
      <c r="AE8" s="3" t="s">
        <v>69</v>
      </c>
      <c r="AF8" s="3" t="s">
        <v>60</v>
      </c>
      <c r="AG8" s="3" t="s">
        <v>60</v>
      </c>
      <c r="AH8" s="3" t="s">
        <v>60</v>
      </c>
      <c r="AI8" s="3" t="s">
        <v>59</v>
      </c>
      <c r="AJ8" s="3" t="s">
        <v>68</v>
      </c>
      <c r="AK8" s="3" t="s">
        <v>69</v>
      </c>
      <c r="AL8" s="3" t="s">
        <v>59</v>
      </c>
      <c r="AM8" s="3" t="s">
        <v>68</v>
      </c>
      <c r="AN8" s="3" t="s">
        <v>60</v>
      </c>
      <c r="AO8" s="3" t="s">
        <v>68</v>
      </c>
      <c r="AP8" s="3" t="s">
        <v>60</v>
      </c>
      <c r="AQ8" s="3" t="s">
        <v>59</v>
      </c>
      <c r="AR8" s="3" t="s">
        <v>59</v>
      </c>
      <c r="AS8" s="3" t="s">
        <v>68</v>
      </c>
      <c r="AT8" s="3" t="s">
        <v>68</v>
      </c>
      <c r="AU8" s="3" t="s">
        <v>75</v>
      </c>
      <c r="AV8" s="5">
        <v>21.0</v>
      </c>
      <c r="AW8" s="5">
        <v>14.0</v>
      </c>
      <c r="AX8" s="6">
        <v>36.0</v>
      </c>
      <c r="AY8" s="6">
        <v>11.0</v>
      </c>
      <c r="AZ8" s="7">
        <v>57.0</v>
      </c>
      <c r="BA8" s="6">
        <v>60.0</v>
      </c>
    </row>
    <row r="9" ht="22.5" customHeight="1">
      <c r="A9" s="3" t="s">
        <v>62</v>
      </c>
      <c r="B9" s="3" t="s">
        <v>86</v>
      </c>
      <c r="C9" s="3" t="s">
        <v>77</v>
      </c>
      <c r="D9" s="3">
        <v>14.0</v>
      </c>
      <c r="E9" s="4" t="s">
        <v>87</v>
      </c>
      <c r="F9" s="3" t="s">
        <v>88</v>
      </c>
      <c r="G9" s="3" t="s">
        <v>57</v>
      </c>
      <c r="H9" s="3" t="s">
        <v>57</v>
      </c>
      <c r="I9" s="3" t="s">
        <v>58</v>
      </c>
      <c r="J9" s="3" t="s">
        <v>58</v>
      </c>
      <c r="K9" s="3" t="s">
        <v>67</v>
      </c>
      <c r="L9" s="3" t="s">
        <v>58</v>
      </c>
      <c r="M9" s="3" t="s">
        <v>58</v>
      </c>
      <c r="N9" s="3" t="s">
        <v>67</v>
      </c>
      <c r="O9" s="3" t="s">
        <v>66</v>
      </c>
      <c r="P9" s="3" t="s">
        <v>57</v>
      </c>
      <c r="Q9" s="3" t="s">
        <v>57</v>
      </c>
      <c r="R9" s="3" t="s">
        <v>58</v>
      </c>
      <c r="S9" s="3" t="s">
        <v>58</v>
      </c>
      <c r="T9" s="3" t="s">
        <v>58</v>
      </c>
      <c r="U9" s="3" t="s">
        <v>67</v>
      </c>
      <c r="V9" s="3" t="s">
        <v>57</v>
      </c>
      <c r="W9" s="3" t="s">
        <v>58</v>
      </c>
      <c r="X9" s="3" t="s">
        <v>58</v>
      </c>
      <c r="Y9" s="3" t="s">
        <v>57</v>
      </c>
      <c r="Z9" s="3" t="s">
        <v>57</v>
      </c>
      <c r="AA9" s="3" t="s">
        <v>59</v>
      </c>
      <c r="AB9" s="3" t="s">
        <v>68</v>
      </c>
      <c r="AC9" s="3" t="s">
        <v>59</v>
      </c>
      <c r="AD9" s="3" t="s">
        <v>60</v>
      </c>
      <c r="AE9" s="3" t="s">
        <v>68</v>
      </c>
      <c r="AF9" s="3" t="s">
        <v>59</v>
      </c>
      <c r="AG9" s="3" t="s">
        <v>68</v>
      </c>
      <c r="AH9" s="3" t="s">
        <v>60</v>
      </c>
      <c r="AI9" s="3" t="s">
        <v>68</v>
      </c>
      <c r="AJ9" s="3" t="s">
        <v>59</v>
      </c>
      <c r="AK9" s="3" t="s">
        <v>60</v>
      </c>
      <c r="AL9" s="3" t="s">
        <v>68</v>
      </c>
      <c r="AM9" s="3" t="s">
        <v>59</v>
      </c>
      <c r="AN9" s="3" t="s">
        <v>60</v>
      </c>
      <c r="AO9" s="3" t="s">
        <v>60</v>
      </c>
      <c r="AP9" s="3" t="s">
        <v>59</v>
      </c>
      <c r="AQ9" s="3" t="s">
        <v>68</v>
      </c>
      <c r="AR9" s="3" t="s">
        <v>68</v>
      </c>
      <c r="AS9" s="3" t="s">
        <v>59</v>
      </c>
      <c r="AT9" s="3" t="s">
        <v>60</v>
      </c>
      <c r="AU9" s="3" t="s">
        <v>75</v>
      </c>
      <c r="AV9" s="5">
        <v>11.0</v>
      </c>
      <c r="AW9" s="5">
        <v>37.0</v>
      </c>
      <c r="AX9" s="6">
        <v>22.0</v>
      </c>
      <c r="AY9" s="6">
        <v>25.0</v>
      </c>
      <c r="AZ9" s="7">
        <v>24.0</v>
      </c>
      <c r="BA9" s="6">
        <v>32.0</v>
      </c>
    </row>
    <row r="10" ht="22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9"/>
      <c r="AX10" s="10"/>
      <c r="AY10" s="10"/>
      <c r="AZ10" s="7"/>
      <c r="BA10" s="6"/>
    </row>
    <row r="11" ht="22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9"/>
      <c r="AX11" s="10"/>
      <c r="AY11" s="10"/>
      <c r="AZ11" s="7"/>
      <c r="BA11" s="6"/>
    </row>
    <row r="12" ht="22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9"/>
      <c r="AX12" s="10"/>
      <c r="AY12" s="10"/>
      <c r="AZ12" s="7"/>
      <c r="BA12" s="6"/>
    </row>
    <row r="13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9"/>
      <c r="AX13" s="10"/>
      <c r="AY13" s="10"/>
      <c r="AZ13" s="7"/>
      <c r="BA13" s="6"/>
    </row>
    <row r="14" ht="22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9"/>
      <c r="AX14" s="10"/>
      <c r="AY14" s="10"/>
      <c r="AZ14" s="7"/>
      <c r="BA14" s="6"/>
    </row>
    <row r="15" ht="22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9"/>
      <c r="AX15" s="10"/>
      <c r="AY15" s="10"/>
      <c r="AZ15" s="7"/>
      <c r="BA15" s="6"/>
    </row>
    <row r="16" ht="22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9"/>
      <c r="AX16" s="10"/>
      <c r="AY16" s="10"/>
      <c r="AZ16" s="7"/>
      <c r="BA16" s="6"/>
    </row>
    <row r="17" ht="22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9"/>
      <c r="AX17" s="10"/>
      <c r="AY17" s="10"/>
      <c r="AZ17" s="7"/>
      <c r="BA17" s="6"/>
    </row>
    <row r="18" ht="22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9"/>
      <c r="AX18" s="10"/>
      <c r="AY18" s="10"/>
      <c r="AZ18" s="7"/>
      <c r="BA18" s="6"/>
    </row>
    <row r="19" ht="22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9"/>
      <c r="AX19" s="10"/>
      <c r="AY19" s="10"/>
      <c r="AZ19" s="7"/>
      <c r="BA19" s="6"/>
    </row>
    <row r="20" ht="22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9"/>
      <c r="AX20" s="10"/>
      <c r="AY20" s="10"/>
      <c r="AZ20" s="7"/>
      <c r="BA20" s="6"/>
    </row>
    <row r="21" ht="22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9"/>
      <c r="AX21" s="10"/>
      <c r="AY21" s="10"/>
      <c r="AZ21" s="7"/>
      <c r="BA21" s="6"/>
    </row>
    <row r="22" ht="22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9"/>
      <c r="AX22" s="10"/>
      <c r="AY22" s="10"/>
      <c r="AZ22" s="7"/>
      <c r="BA22" s="6"/>
    </row>
    <row r="23" ht="22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9"/>
      <c r="AX23" s="10"/>
      <c r="AY23" s="10"/>
      <c r="AZ23" s="7"/>
      <c r="BA23" s="6"/>
    </row>
    <row r="24" ht="22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9"/>
      <c r="AX24" s="10"/>
      <c r="AY24" s="10"/>
      <c r="AZ24" s="7"/>
      <c r="BA24" s="6"/>
    </row>
    <row r="25" ht="22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9"/>
      <c r="AX25" s="10"/>
      <c r="AY25" s="10"/>
      <c r="AZ25" s="7"/>
      <c r="BA25" s="6"/>
    </row>
    <row r="26" ht="22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9"/>
      <c r="AX26" s="10"/>
      <c r="AY26" s="10"/>
      <c r="AZ26" s="7"/>
      <c r="BA26" s="6"/>
    </row>
    <row r="27" ht="22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9"/>
      <c r="AX27" s="10"/>
      <c r="AY27" s="10"/>
      <c r="AZ27" s="7"/>
      <c r="BA27" s="6"/>
    </row>
    <row r="28" ht="22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9"/>
      <c r="AX28" s="10"/>
      <c r="AY28" s="10"/>
      <c r="AZ28" s="7"/>
      <c r="BA28" s="6"/>
    </row>
    <row r="29" ht="22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9"/>
      <c r="AX29" s="10"/>
      <c r="AY29" s="10"/>
      <c r="AZ29" s="7"/>
      <c r="BA29" s="6"/>
    </row>
    <row r="30" ht="22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9"/>
      <c r="AX30" s="10"/>
      <c r="AY30" s="10"/>
      <c r="AZ30" s="7"/>
      <c r="BA30" s="6"/>
    </row>
    <row r="31" ht="22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9"/>
      <c r="AX31" s="10"/>
      <c r="AY31" s="10"/>
      <c r="AZ31" s="7"/>
      <c r="BA31" s="6"/>
    </row>
    <row r="32" ht="22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9"/>
      <c r="AX32" s="10"/>
      <c r="AY32" s="10"/>
      <c r="AZ32" s="7"/>
      <c r="BA32" s="6"/>
    </row>
    <row r="33" ht="22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9"/>
      <c r="AX33" s="10"/>
      <c r="AY33" s="10"/>
      <c r="AZ33" s="7"/>
      <c r="BA33" s="6"/>
    </row>
    <row r="34" ht="22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9"/>
      <c r="AW34" s="9"/>
      <c r="AX34" s="10"/>
      <c r="AY34" s="10"/>
      <c r="AZ34" s="7"/>
      <c r="BA34" s="6"/>
    </row>
    <row r="35" ht="22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9"/>
      <c r="AW35" s="9"/>
      <c r="AX35" s="10"/>
      <c r="AY35" s="10"/>
      <c r="AZ35" s="7"/>
      <c r="BA35" s="6"/>
    </row>
    <row r="36" ht="22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9"/>
      <c r="AW36" s="9"/>
      <c r="AX36" s="10"/>
      <c r="AY36" s="10"/>
      <c r="AZ36" s="7"/>
      <c r="BA36" s="6"/>
    </row>
    <row r="37" ht="22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9"/>
      <c r="AW37" s="9"/>
      <c r="AX37" s="10"/>
      <c r="AY37" s="10"/>
      <c r="AZ37" s="7"/>
      <c r="BA37" s="6"/>
    </row>
    <row r="38" ht="22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9"/>
      <c r="AW38" s="9"/>
      <c r="AX38" s="10"/>
      <c r="AY38" s="10"/>
      <c r="AZ38" s="7"/>
      <c r="BA38" s="6"/>
    </row>
    <row r="39" ht="22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9"/>
      <c r="AW39" s="9"/>
      <c r="AX39" s="10"/>
      <c r="AY39" s="10"/>
      <c r="AZ39" s="7"/>
      <c r="BA39" s="6"/>
    </row>
    <row r="40" ht="22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9"/>
      <c r="AW40" s="9"/>
      <c r="AX40" s="10"/>
      <c r="AY40" s="10"/>
      <c r="AZ40" s="7"/>
      <c r="BA40" s="6"/>
    </row>
    <row r="41" ht="22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9"/>
      <c r="AW41" s="9"/>
      <c r="AX41" s="10"/>
      <c r="AY41" s="10"/>
      <c r="AZ41" s="7"/>
      <c r="BA41" s="6"/>
    </row>
    <row r="42" ht="22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9"/>
      <c r="AW42" s="9"/>
      <c r="AX42" s="10"/>
      <c r="AY42" s="10"/>
      <c r="AZ42" s="7"/>
      <c r="BA42" s="6"/>
    </row>
    <row r="43" ht="22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9"/>
      <c r="AW43" s="9"/>
      <c r="AX43" s="10"/>
      <c r="AY43" s="10"/>
      <c r="AZ43" s="7"/>
      <c r="BA43" s="6"/>
    </row>
    <row r="44" ht="22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9"/>
      <c r="AW44" s="9"/>
      <c r="AX44" s="10"/>
      <c r="AY44" s="10"/>
      <c r="AZ44" s="7"/>
      <c r="BA44" s="6"/>
    </row>
    <row r="45" ht="22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9"/>
      <c r="AW45" s="9"/>
      <c r="AX45" s="10"/>
      <c r="AY45" s="10"/>
      <c r="AZ45" s="7"/>
      <c r="BA45" s="6"/>
    </row>
    <row r="46" ht="22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9"/>
      <c r="AW46" s="9"/>
      <c r="AX46" s="10"/>
      <c r="AY46" s="10"/>
      <c r="AZ46" s="7"/>
      <c r="BA46" s="6"/>
    </row>
    <row r="47" ht="22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9"/>
      <c r="AW47" s="9"/>
      <c r="AX47" s="10"/>
      <c r="AY47" s="10"/>
      <c r="AZ47" s="7"/>
      <c r="BA47" s="6"/>
    </row>
    <row r="48" ht="22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9"/>
      <c r="AW48" s="9"/>
      <c r="AX48" s="10"/>
      <c r="AY48" s="10"/>
      <c r="AZ48" s="7"/>
      <c r="BA48" s="6"/>
    </row>
    <row r="49" ht="22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9"/>
      <c r="AW49" s="9"/>
      <c r="AX49" s="10"/>
      <c r="AY49" s="10"/>
      <c r="AZ49" s="7"/>
      <c r="BA49" s="6"/>
    </row>
    <row r="50" ht="22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9"/>
      <c r="AW50" s="9"/>
      <c r="AX50" s="10"/>
      <c r="AY50" s="10"/>
      <c r="AZ50" s="7"/>
      <c r="BA50" s="6"/>
    </row>
    <row r="51" ht="22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9"/>
      <c r="AW51" s="9"/>
      <c r="AX51" s="10"/>
      <c r="AY51" s="10"/>
      <c r="AZ51" s="7"/>
      <c r="BA51" s="6"/>
    </row>
    <row r="52" ht="22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9"/>
      <c r="AW52" s="9"/>
      <c r="AX52" s="10"/>
      <c r="AY52" s="10"/>
      <c r="AZ52" s="7"/>
      <c r="BA52" s="6"/>
    </row>
    <row r="53" ht="22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9"/>
      <c r="AW53" s="9"/>
      <c r="AX53" s="10"/>
      <c r="AY53" s="10"/>
      <c r="AZ53" s="7"/>
      <c r="BA53" s="6"/>
    </row>
    <row r="54" ht="22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9"/>
      <c r="AW54" s="9"/>
      <c r="AX54" s="10"/>
      <c r="AY54" s="10"/>
      <c r="AZ54" s="7"/>
      <c r="BA54" s="6"/>
    </row>
    <row r="55" ht="22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9"/>
      <c r="AW55" s="9"/>
      <c r="AX55" s="10"/>
      <c r="AY55" s="10"/>
      <c r="AZ55" s="7"/>
      <c r="BA55" s="6"/>
    </row>
    <row r="56" ht="22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9"/>
      <c r="AW56" s="9"/>
      <c r="AX56" s="10"/>
      <c r="AY56" s="10"/>
      <c r="AZ56" s="7"/>
      <c r="BA56" s="6"/>
    </row>
    <row r="57" ht="22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9"/>
      <c r="AW57" s="9"/>
      <c r="AX57" s="10"/>
      <c r="AY57" s="10"/>
      <c r="AZ57" s="7"/>
      <c r="BA57" s="6"/>
    </row>
    <row r="58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9"/>
      <c r="AW58" s="9"/>
      <c r="AX58" s="10"/>
      <c r="AY58" s="10"/>
      <c r="AZ58" s="7"/>
      <c r="BA58" s="6"/>
    </row>
    <row r="59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9"/>
      <c r="AW59" s="9"/>
      <c r="AX59" s="10"/>
      <c r="AY59" s="10"/>
      <c r="AZ59" s="7"/>
      <c r="BA59" s="6"/>
    </row>
    <row r="60" ht="22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9"/>
      <c r="AW60" s="9"/>
      <c r="AX60" s="10"/>
      <c r="AY60" s="10"/>
      <c r="AZ60" s="7"/>
      <c r="BA60" s="6"/>
    </row>
    <row r="61" ht="22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9"/>
      <c r="AW61" s="9"/>
      <c r="AX61" s="10"/>
      <c r="AY61" s="10"/>
      <c r="AZ61" s="7"/>
      <c r="BA61" s="6"/>
    </row>
    <row r="62" ht="22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9"/>
      <c r="AW62" s="9"/>
      <c r="AX62" s="10"/>
      <c r="AY62" s="10"/>
      <c r="AZ62" s="7"/>
      <c r="BA62" s="6"/>
    </row>
    <row r="63" ht="22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9"/>
      <c r="AW63" s="9"/>
      <c r="AX63" s="10"/>
      <c r="AY63" s="10"/>
      <c r="AZ63" s="7"/>
      <c r="BA63" s="6"/>
    </row>
    <row r="64" ht="22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9"/>
      <c r="AW64" s="9"/>
      <c r="AX64" s="10"/>
      <c r="AY64" s="10"/>
      <c r="AZ64" s="7"/>
      <c r="BA64" s="6"/>
    </row>
    <row r="65" ht="22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9"/>
      <c r="AW65" s="9"/>
      <c r="AX65" s="10"/>
      <c r="AY65" s="10"/>
      <c r="AZ65" s="7"/>
      <c r="BA65" s="6"/>
    </row>
    <row r="66" ht="22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9"/>
      <c r="AW66" s="9"/>
      <c r="AX66" s="10"/>
      <c r="AY66" s="10"/>
      <c r="AZ66" s="7"/>
      <c r="BA66" s="6"/>
    </row>
    <row r="67" ht="22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9"/>
      <c r="AW67" s="9"/>
      <c r="AX67" s="10"/>
      <c r="AY67" s="10"/>
      <c r="AZ67" s="7"/>
      <c r="BA67" s="6"/>
    </row>
    <row r="68" ht="22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9"/>
      <c r="AW68" s="9"/>
      <c r="AX68" s="10"/>
      <c r="AY68" s="10"/>
      <c r="AZ68" s="7"/>
      <c r="BA68" s="6"/>
    </row>
    <row r="69" ht="22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9"/>
      <c r="AW69" s="9"/>
      <c r="AX69" s="10"/>
      <c r="AY69" s="10"/>
      <c r="AZ69" s="7"/>
      <c r="BA69" s="6"/>
    </row>
    <row r="70" ht="22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9"/>
      <c r="AW70" s="9"/>
      <c r="AX70" s="10"/>
      <c r="AY70" s="10"/>
      <c r="AZ70" s="7"/>
      <c r="BA70" s="6"/>
    </row>
    <row r="71" ht="22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9"/>
      <c r="AW71" s="9"/>
      <c r="AX71" s="10"/>
      <c r="AY71" s="10"/>
      <c r="AZ71" s="7"/>
      <c r="BA71" s="6"/>
    </row>
    <row r="72" ht="22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9"/>
      <c r="AW72" s="9"/>
      <c r="AX72" s="10"/>
      <c r="AY72" s="10"/>
      <c r="AZ72" s="7"/>
      <c r="BA72" s="6"/>
    </row>
    <row r="73" ht="22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9"/>
      <c r="AW73" s="9"/>
      <c r="AX73" s="10"/>
      <c r="AY73" s="10"/>
      <c r="AZ73" s="7"/>
      <c r="BA73" s="6"/>
    </row>
    <row r="74" ht="22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9"/>
      <c r="AW74" s="9"/>
      <c r="AX74" s="10"/>
      <c r="AY74" s="10"/>
      <c r="AZ74" s="7"/>
      <c r="BA74" s="6"/>
    </row>
    <row r="75" ht="22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9"/>
      <c r="AW75" s="9"/>
      <c r="AX75" s="10"/>
      <c r="AY75" s="10"/>
      <c r="AZ75" s="7"/>
      <c r="BA75" s="6"/>
    </row>
    <row r="76" ht="22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9"/>
      <c r="AW76" s="9"/>
      <c r="AX76" s="10"/>
      <c r="AY76" s="10"/>
      <c r="AZ76" s="7"/>
      <c r="BA76" s="6"/>
    </row>
    <row r="77" ht="22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9"/>
      <c r="AW77" s="9"/>
      <c r="AX77" s="10"/>
      <c r="AY77" s="10"/>
      <c r="AZ77" s="7"/>
      <c r="BA77" s="6"/>
    </row>
    <row r="78" ht="22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9"/>
      <c r="AW78" s="9"/>
      <c r="AX78" s="10"/>
      <c r="AY78" s="10"/>
      <c r="AZ78" s="7"/>
      <c r="BA78" s="6"/>
    </row>
    <row r="79" ht="22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9"/>
      <c r="AW79" s="9"/>
      <c r="AX79" s="10"/>
      <c r="AY79" s="10"/>
      <c r="AZ79" s="7"/>
      <c r="BA79" s="6"/>
    </row>
    <row r="80" ht="22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9"/>
      <c r="AW80" s="9"/>
      <c r="AX80" s="10"/>
      <c r="AY80" s="10"/>
      <c r="AZ80" s="7"/>
      <c r="BA80" s="6"/>
    </row>
    <row r="81" ht="22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9"/>
      <c r="AW81" s="9"/>
      <c r="AX81" s="10"/>
      <c r="AY81" s="10"/>
      <c r="AZ81" s="7"/>
      <c r="BA81" s="6"/>
    </row>
    <row r="82" ht="22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9"/>
      <c r="AW82" s="9"/>
      <c r="AX82" s="10"/>
      <c r="AY82" s="10"/>
      <c r="AZ82" s="7"/>
      <c r="BA82" s="6"/>
    </row>
    <row r="83" ht="22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9"/>
      <c r="AW83" s="9"/>
      <c r="AX83" s="10"/>
      <c r="AY83" s="10"/>
      <c r="AZ83" s="7"/>
      <c r="BA83" s="6"/>
    </row>
    <row r="84" ht="22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9"/>
      <c r="AW84" s="9"/>
      <c r="AX84" s="10"/>
      <c r="AY84" s="10"/>
      <c r="AZ84" s="7"/>
      <c r="BA84" s="6"/>
    </row>
    <row r="85" ht="22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9"/>
      <c r="AW85" s="9"/>
      <c r="AX85" s="10"/>
      <c r="AY85" s="10"/>
      <c r="AZ85" s="7"/>
      <c r="BA85" s="6"/>
    </row>
    <row r="86" ht="22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9"/>
      <c r="AW86" s="9"/>
      <c r="AX86" s="10"/>
      <c r="AY86" s="10"/>
      <c r="AZ86" s="7"/>
      <c r="BA86" s="6"/>
    </row>
    <row r="87" ht="22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9"/>
      <c r="AW87" s="9"/>
      <c r="AX87" s="10"/>
      <c r="AY87" s="10"/>
      <c r="AZ87" s="7"/>
      <c r="BA87" s="6"/>
    </row>
    <row r="88" ht="22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9"/>
      <c r="AW88" s="9"/>
      <c r="AX88" s="10"/>
      <c r="AY88" s="10"/>
      <c r="AZ88" s="7"/>
      <c r="BA88" s="6"/>
    </row>
    <row r="89" ht="22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9"/>
      <c r="AW89" s="9"/>
      <c r="AX89" s="10"/>
      <c r="AY89" s="10"/>
      <c r="AZ89" s="7"/>
      <c r="BA89" s="6"/>
    </row>
    <row r="90" ht="22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9"/>
      <c r="AW90" s="9"/>
      <c r="AX90" s="10"/>
      <c r="AY90" s="10"/>
      <c r="AZ90" s="7"/>
      <c r="BA90" s="6"/>
    </row>
    <row r="91" ht="22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9"/>
      <c r="AW91" s="9"/>
      <c r="AX91" s="10"/>
      <c r="AY91" s="10"/>
      <c r="AZ91" s="7"/>
      <c r="BA91" s="6"/>
    </row>
    <row r="92" ht="22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9"/>
      <c r="AW92" s="9"/>
      <c r="AX92" s="10"/>
      <c r="AY92" s="10"/>
      <c r="AZ92" s="7"/>
      <c r="BA92" s="6"/>
    </row>
    <row r="93" ht="22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9"/>
      <c r="AW93" s="9"/>
      <c r="AX93" s="10"/>
      <c r="AY93" s="10"/>
      <c r="AZ93" s="7"/>
      <c r="BA93" s="6"/>
    </row>
    <row r="94" ht="22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9"/>
      <c r="AW94" s="9"/>
      <c r="AX94" s="10"/>
      <c r="AY94" s="10"/>
      <c r="AZ94" s="7"/>
      <c r="BA94" s="6"/>
    </row>
    <row r="95" ht="22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9"/>
      <c r="AW95" s="9"/>
      <c r="AX95" s="10"/>
      <c r="AY95" s="10"/>
      <c r="AZ95" s="7"/>
      <c r="BA95" s="6"/>
    </row>
    <row r="96" ht="22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9"/>
      <c r="AW96" s="9"/>
      <c r="AX96" s="10"/>
      <c r="AY96" s="10"/>
      <c r="AZ96" s="7"/>
      <c r="BA96" s="6"/>
    </row>
    <row r="97" ht="22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9"/>
      <c r="AW97" s="9"/>
      <c r="AX97" s="10"/>
      <c r="AY97" s="10"/>
      <c r="AZ97" s="7"/>
      <c r="BA97" s="6"/>
    </row>
    <row r="98" ht="22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9"/>
      <c r="AW98" s="9"/>
      <c r="AX98" s="10"/>
      <c r="AY98" s="10"/>
      <c r="AZ98" s="7"/>
      <c r="BA98" s="6"/>
    </row>
    <row r="99" ht="22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9"/>
      <c r="AW99" s="9"/>
      <c r="AX99" s="10"/>
      <c r="AY99" s="10"/>
      <c r="AZ99" s="7"/>
      <c r="BA99" s="6"/>
    </row>
    <row r="100" ht="22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9"/>
      <c r="AW100" s="9"/>
      <c r="AX100" s="10"/>
      <c r="AY100" s="10"/>
      <c r="AZ100" s="7"/>
      <c r="BA100" s="6"/>
    </row>
    <row r="101" ht="22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9"/>
      <c r="AW101" s="9"/>
      <c r="AX101" s="10"/>
      <c r="AY101" s="10"/>
      <c r="AZ101" s="7"/>
      <c r="BA101" s="6"/>
    </row>
    <row r="102" ht="22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9"/>
      <c r="AW102" s="9"/>
      <c r="AX102" s="10"/>
      <c r="AY102" s="10"/>
      <c r="AZ102" s="7"/>
      <c r="BA102" s="6"/>
    </row>
    <row r="103" ht="22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9"/>
      <c r="AW103" s="9"/>
      <c r="AX103" s="10"/>
      <c r="AY103" s="10"/>
      <c r="AZ103" s="7"/>
      <c r="BA103" s="6"/>
    </row>
    <row r="104" ht="22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9"/>
      <c r="AW104" s="9"/>
      <c r="AX104" s="10"/>
      <c r="AY104" s="10"/>
      <c r="AZ104" s="7"/>
      <c r="BA104" s="6"/>
    </row>
    <row r="105" ht="22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9"/>
      <c r="AW105" s="9"/>
      <c r="AX105" s="10"/>
      <c r="AY105" s="10"/>
      <c r="AZ105" s="7"/>
      <c r="BA105" s="6"/>
    </row>
    <row r="106" ht="22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9"/>
      <c r="AW106" s="9"/>
      <c r="AX106" s="10"/>
      <c r="AY106" s="10"/>
      <c r="AZ106" s="7"/>
      <c r="BA106" s="6"/>
    </row>
    <row r="107" ht="22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9"/>
      <c r="AW107" s="9"/>
      <c r="AX107" s="10"/>
      <c r="AY107" s="10"/>
      <c r="AZ107" s="7"/>
      <c r="BA107" s="6"/>
    </row>
    <row r="108" ht="22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9"/>
      <c r="AW108" s="9"/>
      <c r="AX108" s="10"/>
      <c r="AY108" s="10"/>
      <c r="AZ108" s="7"/>
      <c r="BA108" s="6"/>
    </row>
    <row r="109" ht="22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9"/>
      <c r="AW109" s="9"/>
      <c r="AX109" s="10"/>
      <c r="AY109" s="10"/>
      <c r="AZ109" s="7"/>
      <c r="BA109" s="6"/>
    </row>
    <row r="110" ht="22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9"/>
      <c r="AW110" s="9"/>
      <c r="AX110" s="10"/>
      <c r="AY110" s="10"/>
      <c r="AZ110" s="7"/>
      <c r="BA110" s="6"/>
    </row>
    <row r="111" ht="22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9"/>
      <c r="AW111" s="9"/>
      <c r="AX111" s="10"/>
      <c r="AY111" s="10"/>
      <c r="AZ111" s="7"/>
      <c r="BA111" s="6"/>
    </row>
    <row r="112" ht="22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9"/>
      <c r="AW112" s="9"/>
      <c r="AX112" s="10"/>
      <c r="AY112" s="10"/>
      <c r="AZ112" s="7"/>
      <c r="BA112" s="6"/>
    </row>
    <row r="113" ht="22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9"/>
      <c r="AW113" s="9"/>
      <c r="AX113" s="10"/>
      <c r="AY113" s="10"/>
      <c r="AZ113" s="7"/>
      <c r="BA113" s="6"/>
    </row>
    <row r="114" ht="22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9"/>
      <c r="AW114" s="9"/>
      <c r="AX114" s="10"/>
      <c r="AY114" s="10"/>
      <c r="AZ114" s="7"/>
      <c r="BA114" s="6"/>
    </row>
    <row r="115" ht="22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9"/>
      <c r="AW115" s="9"/>
      <c r="AX115" s="10"/>
      <c r="AY115" s="10"/>
      <c r="AZ115" s="7"/>
      <c r="BA115" s="6"/>
    </row>
    <row r="116" ht="22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9"/>
      <c r="AW116" s="9"/>
      <c r="AX116" s="10"/>
      <c r="AY116" s="10"/>
      <c r="AZ116" s="7"/>
      <c r="BA116" s="6"/>
    </row>
    <row r="117" ht="22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9"/>
      <c r="AW117" s="9"/>
      <c r="AX117" s="10"/>
      <c r="AY117" s="10"/>
      <c r="AZ117" s="7"/>
      <c r="BA117" s="6"/>
    </row>
    <row r="118" ht="22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9"/>
      <c r="AW118" s="9"/>
      <c r="AX118" s="10"/>
      <c r="AY118" s="10"/>
      <c r="AZ118" s="7"/>
      <c r="BA118" s="6"/>
    </row>
    <row r="119" ht="22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9"/>
      <c r="AW119" s="9"/>
      <c r="AX119" s="10"/>
      <c r="AY119" s="10"/>
      <c r="AZ119" s="7"/>
      <c r="BA119" s="6"/>
    </row>
    <row r="120" ht="22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9"/>
      <c r="AW120" s="9"/>
      <c r="AX120" s="10"/>
      <c r="AY120" s="10"/>
      <c r="AZ120" s="7"/>
      <c r="BA120" s="6"/>
    </row>
    <row r="121" ht="22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9"/>
      <c r="AW121" s="9"/>
      <c r="AX121" s="10"/>
      <c r="AY121" s="10"/>
      <c r="AZ121" s="7"/>
      <c r="BA121" s="6"/>
    </row>
    <row r="122" ht="22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9"/>
      <c r="AW122" s="9"/>
      <c r="AX122" s="10"/>
      <c r="AY122" s="10"/>
      <c r="AZ122" s="7"/>
      <c r="BA122" s="6"/>
    </row>
    <row r="123" ht="22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9"/>
      <c r="AW123" s="9"/>
      <c r="AX123" s="10"/>
      <c r="AY123" s="10"/>
      <c r="AZ123" s="7"/>
      <c r="BA123" s="6"/>
    </row>
    <row r="124" ht="22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9"/>
      <c r="AW124" s="9"/>
      <c r="AX124" s="10"/>
      <c r="AY124" s="10"/>
      <c r="AZ124" s="7"/>
      <c r="BA124" s="6"/>
    </row>
    <row r="125" ht="22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9"/>
      <c r="AW125" s="9"/>
      <c r="AX125" s="10"/>
      <c r="AY125" s="10"/>
      <c r="AZ125" s="7"/>
      <c r="BA125" s="6"/>
    </row>
    <row r="126" ht="22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9"/>
      <c r="AW126" s="9"/>
      <c r="AX126" s="10"/>
      <c r="AY126" s="10"/>
      <c r="AZ126" s="7"/>
      <c r="BA126" s="6"/>
    </row>
    <row r="127" ht="22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9"/>
      <c r="AW127" s="9"/>
      <c r="AX127" s="10"/>
      <c r="AY127" s="10"/>
      <c r="AZ127" s="7"/>
      <c r="BA127" s="6"/>
    </row>
    <row r="128" ht="22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9"/>
      <c r="AW128" s="9"/>
      <c r="AX128" s="10"/>
      <c r="AY128" s="10"/>
      <c r="AZ128" s="7"/>
      <c r="BA128" s="6"/>
    </row>
    <row r="129" ht="22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9"/>
      <c r="AW129" s="9"/>
      <c r="AX129" s="10"/>
      <c r="AY129" s="10"/>
      <c r="AZ129" s="7"/>
      <c r="BA129" s="6"/>
    </row>
    <row r="130" ht="22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9"/>
      <c r="AW130" s="9"/>
      <c r="AX130" s="10"/>
      <c r="AY130" s="10"/>
      <c r="AZ130" s="7"/>
      <c r="BA130" s="6"/>
    </row>
    <row r="131" ht="22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9"/>
      <c r="AW131" s="9"/>
      <c r="AX131" s="10"/>
      <c r="AY131" s="10"/>
      <c r="AZ131" s="7"/>
      <c r="BA131" s="6"/>
    </row>
    <row r="132" ht="22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9"/>
      <c r="AW132" s="9"/>
      <c r="AX132" s="10"/>
      <c r="AY132" s="10"/>
      <c r="AZ132" s="7"/>
      <c r="BA132" s="6"/>
    </row>
    <row r="133" ht="22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9"/>
      <c r="AW133" s="9"/>
      <c r="AX133" s="10"/>
      <c r="AY133" s="10"/>
      <c r="AZ133" s="7"/>
      <c r="BA133" s="6"/>
    </row>
    <row r="134" ht="22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9"/>
      <c r="AW134" s="9"/>
      <c r="AX134" s="10"/>
      <c r="AY134" s="10"/>
      <c r="AZ134" s="7"/>
      <c r="BA134" s="6"/>
    </row>
    <row r="135" ht="22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9"/>
      <c r="AW135" s="9"/>
      <c r="AX135" s="10"/>
      <c r="AY135" s="10"/>
      <c r="AZ135" s="7"/>
      <c r="BA135" s="6"/>
    </row>
    <row r="136" ht="22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9"/>
      <c r="AW136" s="9"/>
      <c r="AX136" s="10"/>
      <c r="AY136" s="10"/>
      <c r="AZ136" s="7"/>
      <c r="BA136" s="6"/>
    </row>
    <row r="137" ht="22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9"/>
      <c r="AW137" s="9"/>
      <c r="AX137" s="10"/>
      <c r="AY137" s="10"/>
      <c r="AZ137" s="7"/>
      <c r="BA137" s="6"/>
    </row>
    <row r="138" ht="22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9"/>
      <c r="AW138" s="9"/>
      <c r="AX138" s="10"/>
      <c r="AY138" s="10"/>
      <c r="AZ138" s="7"/>
      <c r="BA138" s="6"/>
    </row>
    <row r="139" ht="22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9"/>
      <c r="AW139" s="9"/>
      <c r="AX139" s="10"/>
      <c r="AY139" s="10"/>
      <c r="AZ139" s="7"/>
      <c r="BA139" s="6"/>
    </row>
    <row r="140" ht="22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9"/>
      <c r="AW140" s="9"/>
      <c r="AX140" s="10"/>
      <c r="AY140" s="10"/>
      <c r="AZ140" s="7"/>
      <c r="BA140" s="6"/>
    </row>
    <row r="141" ht="22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9"/>
      <c r="AW141" s="9"/>
      <c r="AX141" s="10"/>
      <c r="AY141" s="10"/>
      <c r="AZ141" s="7"/>
      <c r="BA141" s="6"/>
    </row>
    <row r="142" ht="22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9"/>
      <c r="AW142" s="9"/>
      <c r="AX142" s="10"/>
      <c r="AY142" s="10"/>
      <c r="AZ142" s="7"/>
      <c r="BA142" s="6"/>
    </row>
    <row r="143" ht="22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9"/>
      <c r="AW143" s="9"/>
      <c r="AX143" s="10"/>
      <c r="AY143" s="10"/>
      <c r="AZ143" s="7"/>
      <c r="BA143" s="6"/>
    </row>
    <row r="144" ht="22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9"/>
      <c r="AW144" s="9"/>
      <c r="AX144" s="10"/>
      <c r="AY144" s="10"/>
      <c r="AZ144" s="7"/>
      <c r="BA144" s="6"/>
    </row>
    <row r="145" ht="22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9"/>
      <c r="AW145" s="9"/>
      <c r="AX145" s="10"/>
      <c r="AY145" s="10"/>
      <c r="AZ145" s="7"/>
      <c r="BA145" s="6"/>
    </row>
    <row r="146" ht="22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9"/>
      <c r="AW146" s="9"/>
      <c r="AX146" s="10"/>
      <c r="AY146" s="10"/>
      <c r="AZ146" s="7"/>
      <c r="BA146" s="6"/>
    </row>
    <row r="147" ht="22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9"/>
      <c r="AW147" s="9"/>
      <c r="AX147" s="10"/>
      <c r="AY147" s="10"/>
      <c r="AZ147" s="7"/>
      <c r="BA147" s="6"/>
    </row>
    <row r="148" ht="22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9"/>
      <c r="AW148" s="9"/>
      <c r="AX148" s="10"/>
      <c r="AY148" s="10"/>
      <c r="AZ148" s="7"/>
      <c r="BA148" s="6"/>
    </row>
    <row r="149" ht="22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9"/>
      <c r="AW149" s="9"/>
      <c r="AX149" s="10"/>
      <c r="AY149" s="10"/>
      <c r="AZ149" s="7"/>
      <c r="BA149" s="6"/>
    </row>
    <row r="150" ht="22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9"/>
      <c r="AW150" s="9"/>
      <c r="AX150" s="10"/>
      <c r="AY150" s="10"/>
      <c r="AZ150" s="7"/>
      <c r="BA150" s="6"/>
    </row>
    <row r="151" ht="22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9"/>
      <c r="AW151" s="9"/>
      <c r="AX151" s="10"/>
      <c r="AY151" s="10"/>
      <c r="AZ151" s="7"/>
      <c r="BA151" s="6"/>
    </row>
    <row r="152" ht="22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9"/>
      <c r="AW152" s="9"/>
      <c r="AX152" s="10"/>
      <c r="AY152" s="10"/>
      <c r="AZ152" s="7"/>
      <c r="BA152" s="6"/>
    </row>
    <row r="153" ht="22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9"/>
      <c r="AW153" s="9"/>
      <c r="AX153" s="10"/>
      <c r="AY153" s="10"/>
      <c r="AZ153" s="7"/>
      <c r="BA153" s="6"/>
    </row>
    <row r="154" ht="22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9"/>
      <c r="AW154" s="9"/>
      <c r="AX154" s="10"/>
      <c r="AY154" s="10"/>
      <c r="AZ154" s="7"/>
      <c r="BA154" s="6"/>
    </row>
    <row r="155" ht="22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9"/>
      <c r="AW155" s="9"/>
      <c r="AX155" s="10"/>
      <c r="AY155" s="10"/>
      <c r="AZ155" s="7"/>
      <c r="BA155" s="6"/>
    </row>
    <row r="156" ht="22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9"/>
      <c r="AW156" s="9"/>
      <c r="AX156" s="10"/>
      <c r="AY156" s="10"/>
      <c r="AZ156" s="7"/>
      <c r="BA156" s="6"/>
    </row>
    <row r="157" ht="22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9"/>
      <c r="AW157" s="9"/>
      <c r="AX157" s="10"/>
      <c r="AY157" s="10"/>
      <c r="AZ157" s="7"/>
      <c r="BA157" s="6"/>
    </row>
    <row r="158" ht="22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9"/>
      <c r="AW158" s="9"/>
      <c r="AX158" s="10"/>
      <c r="AY158" s="10"/>
      <c r="AZ158" s="7"/>
      <c r="BA158" s="6"/>
    </row>
    <row r="159" ht="22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9"/>
      <c r="AW159" s="9"/>
      <c r="AX159" s="10"/>
      <c r="AY159" s="10"/>
      <c r="AZ159" s="7"/>
      <c r="BA159" s="6"/>
    </row>
    <row r="160" ht="22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9"/>
      <c r="AW160" s="9"/>
      <c r="AX160" s="10"/>
      <c r="AY160" s="10"/>
      <c r="AZ160" s="7"/>
      <c r="BA160" s="6"/>
    </row>
    <row r="161" ht="22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9"/>
      <c r="AW161" s="9"/>
      <c r="AX161" s="10"/>
      <c r="AY161" s="10"/>
      <c r="AZ161" s="7"/>
      <c r="BA161" s="6"/>
    </row>
    <row r="162" ht="22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9"/>
      <c r="AW162" s="9"/>
      <c r="AX162" s="10"/>
      <c r="AY162" s="10"/>
      <c r="AZ162" s="7"/>
      <c r="BA162" s="6"/>
    </row>
    <row r="163" ht="22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9"/>
      <c r="AW163" s="9"/>
      <c r="AX163" s="10"/>
      <c r="AY163" s="10"/>
      <c r="AZ163" s="7"/>
      <c r="BA163" s="6"/>
    </row>
    <row r="164" ht="22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9"/>
      <c r="AW164" s="9"/>
      <c r="AX164" s="10"/>
      <c r="AY164" s="10"/>
      <c r="AZ164" s="7"/>
      <c r="BA164" s="6"/>
    </row>
    <row r="165" ht="22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9"/>
      <c r="AW165" s="9"/>
      <c r="AX165" s="10"/>
      <c r="AY165" s="10"/>
      <c r="AZ165" s="7"/>
      <c r="BA165" s="6"/>
    </row>
    <row r="166" ht="22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9"/>
      <c r="AW166" s="9"/>
      <c r="AX166" s="10"/>
      <c r="AY166" s="10"/>
      <c r="AZ166" s="7"/>
      <c r="BA166" s="6"/>
    </row>
    <row r="167" ht="22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9"/>
      <c r="AW167" s="9"/>
      <c r="AX167" s="10"/>
      <c r="AY167" s="10"/>
      <c r="AZ167" s="7"/>
      <c r="BA167" s="6"/>
    </row>
    <row r="168" ht="22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9"/>
      <c r="AW168" s="9"/>
      <c r="AX168" s="10"/>
      <c r="AY168" s="10"/>
      <c r="AZ168" s="7"/>
      <c r="BA168" s="6"/>
    </row>
    <row r="169" ht="22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9"/>
      <c r="AW169" s="9"/>
      <c r="AX169" s="10"/>
      <c r="AY169" s="10"/>
      <c r="AZ169" s="7"/>
      <c r="BA169" s="6"/>
    </row>
    <row r="170" ht="22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9"/>
      <c r="AW170" s="9"/>
      <c r="AX170" s="10"/>
      <c r="AY170" s="10"/>
      <c r="AZ170" s="7"/>
      <c r="BA170" s="6"/>
    </row>
    <row r="171" ht="22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9"/>
      <c r="AW171" s="9"/>
      <c r="AX171" s="10"/>
      <c r="AY171" s="10"/>
      <c r="AZ171" s="7"/>
      <c r="BA171" s="6"/>
    </row>
    <row r="172" ht="22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9"/>
      <c r="AW172" s="9"/>
      <c r="AX172" s="10"/>
      <c r="AY172" s="10"/>
      <c r="AZ172" s="7"/>
      <c r="BA172" s="6"/>
    </row>
    <row r="173" ht="22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9"/>
      <c r="AW173" s="9"/>
      <c r="AX173" s="10"/>
      <c r="AY173" s="10"/>
      <c r="AZ173" s="7"/>
      <c r="BA173" s="6"/>
    </row>
    <row r="174" ht="22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9"/>
      <c r="AW174" s="9"/>
      <c r="AX174" s="10"/>
      <c r="AY174" s="10"/>
      <c r="AZ174" s="7"/>
      <c r="BA174" s="6"/>
    </row>
    <row r="175" ht="22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9"/>
      <c r="AW175" s="9"/>
      <c r="AX175" s="10"/>
      <c r="AY175" s="10"/>
      <c r="AZ175" s="7"/>
      <c r="BA175" s="6"/>
    </row>
    <row r="176" ht="22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9"/>
      <c r="AW176" s="9"/>
      <c r="AX176" s="10"/>
      <c r="AY176" s="10"/>
      <c r="AZ176" s="7"/>
      <c r="BA176" s="6"/>
    </row>
    <row r="177" ht="22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9"/>
      <c r="AW177" s="9"/>
      <c r="AX177" s="10"/>
      <c r="AY177" s="10"/>
      <c r="AZ177" s="7"/>
      <c r="BA177" s="6"/>
    </row>
    <row r="178" ht="22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9"/>
      <c r="AW178" s="9"/>
      <c r="AX178" s="10"/>
      <c r="AY178" s="10"/>
      <c r="AZ178" s="7"/>
      <c r="BA178" s="6"/>
    </row>
    <row r="179" ht="22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9"/>
      <c r="AW179" s="9"/>
      <c r="AX179" s="10"/>
      <c r="AY179" s="10"/>
      <c r="AZ179" s="7"/>
      <c r="BA179" s="6"/>
    </row>
    <row r="180" ht="22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9"/>
      <c r="AW180" s="9"/>
      <c r="AX180" s="10"/>
      <c r="AY180" s="10"/>
      <c r="AZ180" s="7"/>
      <c r="BA180" s="6"/>
    </row>
    <row r="181" ht="22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9"/>
      <c r="AW181" s="9"/>
      <c r="AX181" s="10"/>
      <c r="AY181" s="10"/>
      <c r="AZ181" s="7"/>
      <c r="BA181" s="6"/>
    </row>
    <row r="182" ht="22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9"/>
      <c r="AW182" s="9"/>
      <c r="AX182" s="10"/>
      <c r="AY182" s="10"/>
      <c r="AZ182" s="7"/>
      <c r="BA182" s="6"/>
    </row>
    <row r="183" ht="22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9"/>
      <c r="AW183" s="9"/>
      <c r="AX183" s="10"/>
      <c r="AY183" s="10"/>
      <c r="AZ183" s="7"/>
      <c r="BA183" s="6"/>
    </row>
    <row r="184" ht="22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9"/>
      <c r="AW184" s="9"/>
      <c r="AX184" s="10"/>
      <c r="AY184" s="10"/>
      <c r="AZ184" s="7"/>
      <c r="BA184" s="6"/>
    </row>
    <row r="185" ht="22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9"/>
      <c r="AW185" s="9"/>
      <c r="AX185" s="10"/>
      <c r="AY185" s="10"/>
      <c r="AZ185" s="7"/>
      <c r="BA185" s="6"/>
    </row>
    <row r="186" ht="22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9"/>
      <c r="AW186" s="9"/>
      <c r="AX186" s="10"/>
      <c r="AY186" s="10"/>
      <c r="AZ186" s="7"/>
      <c r="BA186" s="6"/>
    </row>
    <row r="187" ht="22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9"/>
      <c r="AW187" s="9"/>
      <c r="AX187" s="10"/>
      <c r="AY187" s="10"/>
      <c r="AZ187" s="7"/>
      <c r="BA187" s="6"/>
    </row>
    <row r="188" ht="22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9"/>
      <c r="AW188" s="9"/>
      <c r="AX188" s="10"/>
      <c r="AY188" s="10"/>
      <c r="AZ188" s="7"/>
      <c r="BA188" s="6"/>
    </row>
    <row r="189" ht="22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9"/>
      <c r="AW189" s="9"/>
      <c r="AX189" s="10"/>
      <c r="AY189" s="10"/>
      <c r="AZ189" s="7"/>
      <c r="BA189" s="6"/>
    </row>
    <row r="190" ht="22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9"/>
      <c r="AW190" s="9"/>
      <c r="AX190" s="10"/>
      <c r="AY190" s="10"/>
      <c r="AZ190" s="7"/>
      <c r="BA190" s="6"/>
    </row>
    <row r="191" ht="22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9"/>
      <c r="AW191" s="9"/>
      <c r="AX191" s="10"/>
      <c r="AY191" s="10"/>
      <c r="AZ191" s="7"/>
      <c r="BA191" s="6"/>
    </row>
    <row r="192" ht="22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9"/>
      <c r="AW192" s="9"/>
      <c r="AX192" s="10"/>
      <c r="AY192" s="10"/>
      <c r="AZ192" s="7"/>
      <c r="BA192" s="6"/>
    </row>
    <row r="193" ht="22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9"/>
      <c r="AW193" s="9"/>
      <c r="AX193" s="10"/>
      <c r="AY193" s="10"/>
      <c r="AZ193" s="7"/>
      <c r="BA193" s="6"/>
    </row>
    <row r="194" ht="22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9"/>
      <c r="AW194" s="9"/>
      <c r="AX194" s="10"/>
      <c r="AY194" s="10"/>
      <c r="AZ194" s="7"/>
      <c r="BA194" s="6"/>
    </row>
    <row r="195" ht="22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9"/>
      <c r="AW195" s="9"/>
      <c r="AX195" s="10"/>
      <c r="AY195" s="10"/>
      <c r="AZ195" s="7"/>
      <c r="BA195" s="6"/>
    </row>
    <row r="196" ht="22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9"/>
      <c r="AW196" s="9"/>
      <c r="AX196" s="10"/>
      <c r="AY196" s="10"/>
      <c r="AZ196" s="7"/>
      <c r="BA196" s="6"/>
    </row>
    <row r="197" ht="22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9"/>
      <c r="AW197" s="9"/>
      <c r="AX197" s="10"/>
      <c r="AY197" s="10"/>
      <c r="AZ197" s="7"/>
      <c r="BA197" s="6"/>
    </row>
    <row r="198" ht="22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9"/>
      <c r="AW198" s="9"/>
      <c r="AX198" s="10"/>
      <c r="AY198" s="10"/>
      <c r="AZ198" s="7"/>
      <c r="BA198" s="6"/>
    </row>
    <row r="199" ht="22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9"/>
      <c r="AW199" s="9"/>
      <c r="AX199" s="10"/>
      <c r="AY199" s="10"/>
      <c r="AZ199" s="7"/>
      <c r="BA199" s="6"/>
    </row>
    <row r="200" ht="22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9"/>
      <c r="AW200" s="9"/>
      <c r="AX200" s="10"/>
      <c r="AY200" s="10"/>
      <c r="AZ200" s="7"/>
      <c r="BA200" s="6"/>
    </row>
    <row r="201" ht="22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9"/>
      <c r="AW201" s="9"/>
      <c r="AX201" s="10"/>
      <c r="AY201" s="10"/>
      <c r="AZ201" s="7"/>
      <c r="BA201" s="6"/>
    </row>
    <row r="202" ht="22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9"/>
      <c r="AW202" s="9"/>
      <c r="AX202" s="10"/>
      <c r="AY202" s="10"/>
      <c r="AZ202" s="7"/>
      <c r="BA202" s="6"/>
    </row>
    <row r="203" ht="22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9"/>
      <c r="AW203" s="9"/>
      <c r="AX203" s="10"/>
      <c r="AY203" s="10"/>
      <c r="AZ203" s="7"/>
      <c r="BA203" s="6"/>
    </row>
    <row r="204" ht="22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9"/>
      <c r="AW204" s="9"/>
      <c r="AX204" s="10"/>
      <c r="AY204" s="10"/>
      <c r="AZ204" s="7"/>
      <c r="BA204" s="6"/>
    </row>
    <row r="205" ht="22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9"/>
      <c r="AW205" s="9"/>
      <c r="AX205" s="10"/>
      <c r="AY205" s="10"/>
      <c r="AZ205" s="7"/>
      <c r="BA205" s="6"/>
    </row>
    <row r="206" ht="22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9"/>
      <c r="AW206" s="9"/>
      <c r="AX206" s="10"/>
      <c r="AY206" s="10"/>
      <c r="AZ206" s="7"/>
      <c r="BA206" s="6"/>
    </row>
    <row r="207" ht="22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9"/>
      <c r="AW207" s="9"/>
      <c r="AX207" s="10"/>
      <c r="AY207" s="10"/>
      <c r="AZ207" s="7"/>
      <c r="BA207" s="6"/>
    </row>
    <row r="208" ht="22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9"/>
      <c r="AW208" s="9"/>
      <c r="AX208" s="10"/>
      <c r="AY208" s="10"/>
      <c r="AZ208" s="7"/>
      <c r="BA208" s="6"/>
    </row>
    <row r="209" ht="22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9"/>
      <c r="AW209" s="9"/>
      <c r="AX209" s="10"/>
      <c r="AY209" s="10"/>
      <c r="AZ209" s="7"/>
      <c r="BA209" s="6"/>
    </row>
    <row r="210" ht="22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9"/>
      <c r="AW210" s="9"/>
      <c r="AX210" s="10"/>
      <c r="AY210" s="10"/>
      <c r="AZ210" s="7"/>
      <c r="BA210" s="6"/>
    </row>
    <row r="211" ht="22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9"/>
      <c r="AW211" s="9"/>
      <c r="AX211" s="10"/>
      <c r="AY211" s="10"/>
      <c r="AZ211" s="7"/>
      <c r="BA211" s="6"/>
    </row>
    <row r="212" ht="22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9"/>
      <c r="AW212" s="9"/>
      <c r="AX212" s="10"/>
      <c r="AY212" s="10"/>
      <c r="AZ212" s="7"/>
      <c r="BA212" s="6"/>
    </row>
    <row r="213" ht="22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9"/>
      <c r="AW213" s="9"/>
      <c r="AX213" s="10"/>
      <c r="AY213" s="10"/>
      <c r="AZ213" s="7"/>
      <c r="BA213" s="6"/>
    </row>
    <row r="214" ht="22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9"/>
      <c r="AW214" s="9"/>
      <c r="AX214" s="10"/>
      <c r="AY214" s="10"/>
      <c r="AZ214" s="7"/>
      <c r="BA214" s="6"/>
    </row>
    <row r="215" ht="22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9"/>
      <c r="AW215" s="9"/>
      <c r="AX215" s="10"/>
      <c r="AY215" s="10"/>
      <c r="AZ215" s="7"/>
      <c r="BA215" s="6"/>
    </row>
    <row r="216" ht="22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9"/>
      <c r="AW216" s="9"/>
      <c r="AX216" s="10"/>
      <c r="AY216" s="10"/>
      <c r="AZ216" s="7"/>
      <c r="BA216" s="6"/>
    </row>
    <row r="217" ht="22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9"/>
      <c r="AW217" s="9"/>
      <c r="AX217" s="10"/>
      <c r="AY217" s="10"/>
      <c r="AZ217" s="7"/>
      <c r="BA217" s="6"/>
    </row>
    <row r="218" ht="22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9"/>
      <c r="AW218" s="9"/>
      <c r="AX218" s="10"/>
      <c r="AY218" s="10"/>
      <c r="AZ218" s="7"/>
      <c r="BA218" s="6"/>
    </row>
    <row r="219" ht="22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9"/>
      <c r="AW219" s="9"/>
      <c r="AX219" s="10"/>
      <c r="AY219" s="10"/>
      <c r="AZ219" s="7"/>
      <c r="BA219" s="6"/>
    </row>
    <row r="220" ht="22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9"/>
      <c r="AW220" s="9"/>
      <c r="AX220" s="10"/>
      <c r="AY220" s="10"/>
      <c r="AZ220" s="7"/>
      <c r="BA220" s="6"/>
    </row>
    <row r="221" ht="22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9"/>
      <c r="AW221" s="9"/>
      <c r="AX221" s="10"/>
      <c r="AY221" s="10"/>
      <c r="AZ221" s="7"/>
      <c r="BA221" s="6"/>
    </row>
    <row r="222" ht="22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9"/>
      <c r="AW222" s="9"/>
      <c r="AX222" s="10"/>
      <c r="AY222" s="10"/>
      <c r="AZ222" s="7"/>
      <c r="BA222" s="6"/>
    </row>
    <row r="223" ht="22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9"/>
      <c r="AW223" s="9"/>
      <c r="AX223" s="10"/>
      <c r="AY223" s="10"/>
      <c r="AZ223" s="7"/>
      <c r="BA223" s="6"/>
    </row>
    <row r="224" ht="22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9"/>
      <c r="AW224" s="9"/>
      <c r="AX224" s="10"/>
      <c r="AY224" s="10"/>
      <c r="AZ224" s="7"/>
      <c r="BA224" s="6"/>
    </row>
    <row r="225" ht="22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9"/>
      <c r="AW225" s="9"/>
      <c r="AX225" s="10"/>
      <c r="AY225" s="10"/>
      <c r="AZ225" s="7"/>
      <c r="BA225" s="6"/>
    </row>
    <row r="226" ht="22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9"/>
      <c r="AW226" s="9"/>
      <c r="AX226" s="10"/>
      <c r="AY226" s="10"/>
      <c r="AZ226" s="7"/>
      <c r="BA226" s="6"/>
    </row>
    <row r="227" ht="22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9"/>
      <c r="AW227" s="9"/>
      <c r="AX227" s="10"/>
      <c r="AY227" s="10"/>
      <c r="AZ227" s="7"/>
      <c r="BA227" s="6"/>
    </row>
    <row r="228" ht="22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9"/>
      <c r="AW228" s="9"/>
      <c r="AX228" s="10"/>
      <c r="AY228" s="10"/>
      <c r="AZ228" s="7"/>
      <c r="BA228" s="6"/>
    </row>
    <row r="229" ht="22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9"/>
      <c r="AW229" s="9"/>
      <c r="AX229" s="10"/>
      <c r="AY229" s="10"/>
      <c r="AZ229" s="7"/>
      <c r="BA229" s="6"/>
    </row>
    <row r="230" ht="22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9"/>
      <c r="AW230" s="9"/>
      <c r="AX230" s="10"/>
      <c r="AY230" s="10"/>
      <c r="AZ230" s="7"/>
      <c r="BA230" s="6"/>
    </row>
    <row r="231" ht="22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9"/>
      <c r="AW231" s="9"/>
      <c r="AX231" s="10"/>
      <c r="AY231" s="10"/>
      <c r="AZ231" s="7"/>
      <c r="BA231" s="6"/>
    </row>
    <row r="232" ht="22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9"/>
      <c r="AW232" s="9"/>
      <c r="AX232" s="10"/>
      <c r="AY232" s="10"/>
      <c r="AZ232" s="7"/>
      <c r="BA232" s="6"/>
    </row>
    <row r="233" ht="22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9"/>
      <c r="AW233" s="9"/>
      <c r="AX233" s="10"/>
      <c r="AY233" s="10"/>
      <c r="AZ233" s="7"/>
      <c r="BA233" s="6"/>
    </row>
    <row r="234" ht="22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9"/>
      <c r="AW234" s="9"/>
      <c r="AX234" s="10"/>
      <c r="AY234" s="10"/>
      <c r="AZ234" s="7"/>
      <c r="BA234" s="6"/>
    </row>
    <row r="235" ht="22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9"/>
      <c r="AW235" s="9"/>
      <c r="AX235" s="10"/>
      <c r="AY235" s="10"/>
      <c r="AZ235" s="7"/>
      <c r="BA235" s="6"/>
    </row>
    <row r="236" ht="22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9"/>
      <c r="AW236" s="9"/>
      <c r="AX236" s="10"/>
      <c r="AY236" s="10"/>
      <c r="AZ236" s="7"/>
      <c r="BA236" s="6"/>
    </row>
    <row r="237" ht="22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9"/>
      <c r="AW237" s="9"/>
      <c r="AX237" s="10"/>
      <c r="AY237" s="10"/>
      <c r="AZ237" s="7"/>
      <c r="BA237" s="6"/>
    </row>
    <row r="238" ht="22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9"/>
      <c r="AW238" s="9"/>
      <c r="AX238" s="10"/>
      <c r="AY238" s="10"/>
      <c r="AZ238" s="7"/>
      <c r="BA238" s="6"/>
    </row>
    <row r="239" ht="22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9"/>
      <c r="AW239" s="9"/>
      <c r="AX239" s="10"/>
      <c r="AY239" s="10"/>
      <c r="AZ239" s="7"/>
      <c r="BA239" s="6"/>
    </row>
    <row r="240" ht="22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9"/>
      <c r="AW240" s="9"/>
      <c r="AX240" s="10"/>
      <c r="AY240" s="10"/>
      <c r="AZ240" s="7"/>
      <c r="BA240" s="6"/>
    </row>
    <row r="241" ht="22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9"/>
      <c r="AW241" s="9"/>
      <c r="AX241" s="10"/>
      <c r="AY241" s="10"/>
      <c r="AZ241" s="7"/>
      <c r="BA241" s="6"/>
    </row>
    <row r="242" ht="22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9"/>
      <c r="AW242" s="9"/>
      <c r="AX242" s="10"/>
      <c r="AY242" s="10"/>
      <c r="AZ242" s="7"/>
      <c r="BA242" s="6"/>
    </row>
    <row r="243" ht="22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9"/>
      <c r="AW243" s="9"/>
      <c r="AX243" s="10"/>
      <c r="AY243" s="10"/>
      <c r="AZ243" s="7"/>
      <c r="BA243" s="6"/>
    </row>
    <row r="244" ht="22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9"/>
      <c r="AW244" s="9"/>
      <c r="AX244" s="10"/>
      <c r="AY244" s="10"/>
      <c r="AZ244" s="7"/>
      <c r="BA244" s="6"/>
    </row>
    <row r="245" ht="22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9"/>
      <c r="AW245" s="9"/>
      <c r="AX245" s="10"/>
      <c r="AY245" s="10"/>
      <c r="AZ245" s="7"/>
      <c r="BA245" s="6"/>
    </row>
    <row r="246" ht="22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9"/>
      <c r="AW246" s="9"/>
      <c r="AX246" s="10"/>
      <c r="AY246" s="10"/>
      <c r="AZ246" s="7"/>
      <c r="BA246" s="6"/>
    </row>
    <row r="247" ht="22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9"/>
      <c r="AW247" s="9"/>
      <c r="AX247" s="10"/>
      <c r="AY247" s="10"/>
      <c r="AZ247" s="7"/>
      <c r="BA247" s="6"/>
    </row>
    <row r="248" ht="22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9"/>
      <c r="AW248" s="9"/>
      <c r="AX248" s="10"/>
      <c r="AY248" s="10"/>
      <c r="AZ248" s="7"/>
      <c r="BA248" s="6"/>
    </row>
    <row r="249" ht="22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9"/>
      <c r="AW249" s="9"/>
      <c r="AX249" s="10"/>
      <c r="AY249" s="10"/>
      <c r="AZ249" s="7"/>
      <c r="BA249" s="6"/>
    </row>
    <row r="250" ht="22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9"/>
      <c r="AW250" s="9"/>
      <c r="AX250" s="10"/>
      <c r="AY250" s="10"/>
      <c r="AZ250" s="7"/>
      <c r="BA250" s="6"/>
    </row>
    <row r="251" ht="22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9"/>
      <c r="AW251" s="9"/>
      <c r="AX251" s="10"/>
      <c r="AY251" s="10"/>
      <c r="AZ251" s="7"/>
      <c r="BA251" s="6"/>
    </row>
    <row r="252" ht="22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9"/>
      <c r="AW252" s="9"/>
      <c r="AX252" s="10"/>
      <c r="AY252" s="10"/>
      <c r="AZ252" s="7"/>
      <c r="BA252" s="6"/>
    </row>
    <row r="253" ht="22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9"/>
      <c r="AW253" s="9"/>
      <c r="AX253" s="10"/>
      <c r="AY253" s="10"/>
      <c r="AZ253" s="7"/>
      <c r="BA253" s="6"/>
    </row>
    <row r="254" ht="22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9"/>
      <c r="AW254" s="9"/>
      <c r="AX254" s="10"/>
      <c r="AY254" s="10"/>
      <c r="AZ254" s="7"/>
      <c r="BA254" s="6"/>
    </row>
    <row r="255" ht="22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9"/>
      <c r="AW255" s="9"/>
      <c r="AX255" s="10"/>
      <c r="AY255" s="10"/>
      <c r="AZ255" s="7"/>
      <c r="BA255" s="6"/>
    </row>
    <row r="256" ht="22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9"/>
      <c r="AW256" s="9"/>
      <c r="AX256" s="10"/>
      <c r="AY256" s="10"/>
      <c r="AZ256" s="7"/>
      <c r="BA256" s="6"/>
    </row>
    <row r="257" ht="22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9"/>
      <c r="AW257" s="9"/>
      <c r="AX257" s="10"/>
      <c r="AY257" s="10"/>
      <c r="AZ257" s="7"/>
      <c r="BA257" s="6"/>
    </row>
    <row r="258" ht="22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9"/>
      <c r="AW258" s="9"/>
      <c r="AX258" s="10"/>
      <c r="AY258" s="10"/>
      <c r="AZ258" s="7"/>
      <c r="BA258" s="6"/>
    </row>
    <row r="259" ht="22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9"/>
      <c r="AW259" s="9"/>
      <c r="AX259" s="10"/>
      <c r="AY259" s="10"/>
      <c r="AZ259" s="7"/>
      <c r="BA259" s="6"/>
    </row>
    <row r="260" ht="22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9"/>
      <c r="AW260" s="9"/>
      <c r="AX260" s="10"/>
      <c r="AY260" s="10"/>
      <c r="AZ260" s="7"/>
      <c r="BA260" s="6"/>
    </row>
    <row r="261" ht="22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9"/>
      <c r="AW261" s="9"/>
      <c r="AX261" s="10"/>
      <c r="AY261" s="10"/>
      <c r="AZ261" s="7"/>
      <c r="BA261" s="6"/>
    </row>
    <row r="262" ht="22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9"/>
      <c r="AW262" s="9"/>
      <c r="AX262" s="10"/>
      <c r="AY262" s="10"/>
      <c r="AZ262" s="7"/>
      <c r="BA262" s="6"/>
    </row>
    <row r="263" ht="22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9"/>
      <c r="AW263" s="9"/>
      <c r="AX263" s="10"/>
      <c r="AY263" s="10"/>
      <c r="AZ263" s="7"/>
      <c r="BA263" s="6"/>
    </row>
    <row r="264" ht="22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9"/>
      <c r="AW264" s="9"/>
      <c r="AX264" s="10"/>
      <c r="AY264" s="10"/>
      <c r="AZ264" s="7"/>
      <c r="BA264" s="6"/>
    </row>
    <row r="265" ht="22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9"/>
      <c r="AW265" s="9"/>
      <c r="AX265" s="10"/>
      <c r="AY265" s="10"/>
      <c r="AZ265" s="7"/>
      <c r="BA265" s="6"/>
    </row>
    <row r="266" ht="22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9"/>
      <c r="AW266" s="9"/>
      <c r="AX266" s="10"/>
      <c r="AY266" s="10"/>
      <c r="AZ266" s="7"/>
      <c r="BA266" s="6"/>
    </row>
    <row r="267" ht="22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9"/>
      <c r="AW267" s="9"/>
      <c r="AX267" s="10"/>
      <c r="AY267" s="10"/>
      <c r="AZ267" s="7"/>
      <c r="BA267" s="6"/>
    </row>
    <row r="268" ht="22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9"/>
      <c r="AW268" s="9"/>
      <c r="AX268" s="10"/>
      <c r="AY268" s="10"/>
      <c r="AZ268" s="7"/>
      <c r="BA268" s="6"/>
    </row>
    <row r="269" ht="22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9"/>
      <c r="AW269" s="9"/>
      <c r="AX269" s="10"/>
      <c r="AY269" s="10"/>
      <c r="AZ269" s="7"/>
      <c r="BA269" s="6"/>
    </row>
    <row r="270" ht="22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9"/>
      <c r="AW270" s="9"/>
      <c r="AX270" s="10"/>
      <c r="AY270" s="10"/>
      <c r="AZ270" s="7"/>
      <c r="BA270" s="6"/>
    </row>
    <row r="271" ht="22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9"/>
      <c r="AW271" s="9"/>
      <c r="AX271" s="10"/>
      <c r="AY271" s="10"/>
      <c r="AZ271" s="7"/>
      <c r="BA271" s="6"/>
    </row>
    <row r="272" ht="22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9"/>
      <c r="AW272" s="9"/>
      <c r="AX272" s="10"/>
      <c r="AY272" s="10"/>
      <c r="AZ272" s="7"/>
      <c r="BA272" s="6"/>
    </row>
    <row r="273" ht="22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9"/>
      <c r="AW273" s="9"/>
      <c r="AX273" s="10"/>
      <c r="AY273" s="10"/>
      <c r="AZ273" s="7"/>
      <c r="BA273" s="6"/>
    </row>
    <row r="274" ht="22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9"/>
      <c r="AW274" s="9"/>
      <c r="AX274" s="10"/>
      <c r="AY274" s="10"/>
      <c r="AZ274" s="7"/>
      <c r="BA274" s="6"/>
    </row>
    <row r="275" ht="22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9"/>
      <c r="AW275" s="9"/>
      <c r="AX275" s="10"/>
      <c r="AY275" s="10"/>
      <c r="AZ275" s="7"/>
      <c r="BA275" s="6"/>
    </row>
    <row r="276" ht="22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9"/>
      <c r="AW276" s="9"/>
      <c r="AX276" s="10"/>
      <c r="AY276" s="10"/>
      <c r="AZ276" s="7"/>
      <c r="BA276" s="6"/>
    </row>
    <row r="277" ht="22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9"/>
      <c r="AW277" s="9"/>
      <c r="AX277" s="10"/>
      <c r="AY277" s="10"/>
      <c r="AZ277" s="7"/>
      <c r="BA277" s="6"/>
    </row>
    <row r="278" ht="22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9"/>
      <c r="AW278" s="9"/>
      <c r="AX278" s="10"/>
      <c r="AY278" s="10"/>
      <c r="AZ278" s="7"/>
      <c r="BA278" s="6"/>
    </row>
    <row r="279" ht="22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9"/>
      <c r="AW279" s="9"/>
      <c r="AX279" s="10"/>
      <c r="AY279" s="10"/>
      <c r="AZ279" s="7"/>
      <c r="BA279" s="6"/>
    </row>
    <row r="280" ht="22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9"/>
      <c r="AW280" s="9"/>
      <c r="AX280" s="10"/>
      <c r="AY280" s="10"/>
      <c r="AZ280" s="7"/>
      <c r="BA280" s="6"/>
    </row>
    <row r="281" ht="22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9"/>
      <c r="AW281" s="9"/>
      <c r="AX281" s="10"/>
      <c r="AY281" s="10"/>
      <c r="AZ281" s="7"/>
      <c r="BA281" s="6"/>
    </row>
    <row r="282" ht="22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9"/>
      <c r="AW282" s="9"/>
      <c r="AX282" s="10"/>
      <c r="AY282" s="10"/>
      <c r="AZ282" s="7"/>
      <c r="BA282" s="6"/>
    </row>
    <row r="283" ht="22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9"/>
      <c r="AW283" s="9"/>
      <c r="AX283" s="10"/>
      <c r="AY283" s="10"/>
      <c r="AZ283" s="7"/>
      <c r="BA283" s="6"/>
    </row>
    <row r="284" ht="22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9"/>
      <c r="AW284" s="9"/>
      <c r="AX284" s="10"/>
      <c r="AY284" s="10"/>
      <c r="AZ284" s="7"/>
      <c r="BA284" s="6"/>
    </row>
    <row r="285" ht="22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9"/>
      <c r="AW285" s="9"/>
      <c r="AX285" s="10"/>
      <c r="AY285" s="10"/>
      <c r="AZ285" s="7"/>
      <c r="BA285" s="6"/>
    </row>
    <row r="286" ht="22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9"/>
      <c r="AW286" s="9"/>
      <c r="AX286" s="10"/>
      <c r="AY286" s="10"/>
      <c r="AZ286" s="7"/>
      <c r="BA286" s="6"/>
    </row>
    <row r="287" ht="22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9"/>
      <c r="AW287" s="9"/>
      <c r="AX287" s="10"/>
      <c r="AY287" s="10"/>
      <c r="AZ287" s="7"/>
      <c r="BA287" s="6"/>
    </row>
    <row r="288" ht="22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9"/>
      <c r="AW288" s="9"/>
      <c r="AX288" s="10"/>
      <c r="AY288" s="10"/>
      <c r="AZ288" s="7"/>
      <c r="BA288" s="6"/>
    </row>
    <row r="289" ht="22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9"/>
      <c r="AW289" s="9"/>
      <c r="AX289" s="10"/>
      <c r="AY289" s="10"/>
      <c r="AZ289" s="7"/>
      <c r="BA289" s="6"/>
    </row>
    <row r="290" ht="22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9"/>
      <c r="AW290" s="9"/>
      <c r="AX290" s="10"/>
      <c r="AY290" s="10"/>
      <c r="AZ290" s="7"/>
      <c r="BA290" s="6"/>
    </row>
    <row r="291" ht="22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9"/>
      <c r="AW291" s="9"/>
      <c r="AX291" s="10"/>
      <c r="AY291" s="10"/>
      <c r="AZ291" s="7"/>
      <c r="BA291" s="6"/>
    </row>
    <row r="292" ht="22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9"/>
      <c r="AW292" s="9"/>
      <c r="AX292" s="10"/>
      <c r="AY292" s="10"/>
      <c r="AZ292" s="7"/>
      <c r="BA292" s="6"/>
    </row>
    <row r="293" ht="22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9"/>
      <c r="AW293" s="9"/>
      <c r="AX293" s="10"/>
      <c r="AY293" s="10"/>
      <c r="AZ293" s="7"/>
      <c r="BA293" s="6"/>
    </row>
    <row r="294" ht="22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9"/>
      <c r="AW294" s="9"/>
      <c r="AX294" s="10"/>
      <c r="AY294" s="10"/>
      <c r="AZ294" s="7"/>
      <c r="BA294" s="6"/>
    </row>
    <row r="295" ht="22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9"/>
      <c r="AW295" s="9"/>
      <c r="AX295" s="10"/>
      <c r="AY295" s="10"/>
      <c r="AZ295" s="7"/>
      <c r="BA295" s="6"/>
    </row>
    <row r="296" ht="22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9"/>
      <c r="AW296" s="9"/>
      <c r="AX296" s="10"/>
      <c r="AY296" s="10"/>
      <c r="AZ296" s="7"/>
      <c r="BA296" s="6"/>
    </row>
    <row r="297" ht="22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9"/>
      <c r="AW297" s="9"/>
      <c r="AX297" s="10"/>
      <c r="AY297" s="10"/>
      <c r="AZ297" s="7"/>
      <c r="BA297" s="6"/>
    </row>
    <row r="298" ht="22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9"/>
      <c r="AW298" s="9"/>
      <c r="AX298" s="10"/>
      <c r="AY298" s="10"/>
      <c r="AZ298" s="7"/>
      <c r="BA298" s="6"/>
    </row>
    <row r="299" ht="22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9"/>
      <c r="AW299" s="9"/>
      <c r="AX299" s="10"/>
      <c r="AY299" s="10"/>
      <c r="AZ299" s="7"/>
      <c r="BA299" s="6"/>
    </row>
    <row r="300" ht="22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9"/>
      <c r="AW300" s="9"/>
      <c r="AX300" s="10"/>
      <c r="AY300" s="10"/>
      <c r="AZ300" s="7"/>
      <c r="BA300" s="6"/>
    </row>
    <row r="301" ht="22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9"/>
      <c r="AW301" s="9"/>
      <c r="AX301" s="10"/>
      <c r="AY301" s="10"/>
      <c r="AZ301" s="7"/>
      <c r="BA301" s="6"/>
    </row>
    <row r="302" ht="22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9"/>
      <c r="AW302" s="9"/>
      <c r="AX302" s="10"/>
      <c r="AY302" s="10"/>
      <c r="AZ302" s="7"/>
      <c r="BA302" s="6"/>
    </row>
    <row r="303" ht="22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9"/>
      <c r="AW303" s="9"/>
      <c r="AX303" s="10"/>
      <c r="AY303" s="10"/>
      <c r="AZ303" s="7"/>
      <c r="BA303" s="6"/>
    </row>
    <row r="304" ht="22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9"/>
      <c r="AW304" s="9"/>
      <c r="AX304" s="10"/>
      <c r="AY304" s="10"/>
      <c r="AZ304" s="7"/>
      <c r="BA304" s="6"/>
    </row>
    <row r="305" ht="22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9"/>
      <c r="AW305" s="9"/>
      <c r="AX305" s="10"/>
      <c r="AY305" s="10"/>
      <c r="AZ305" s="7"/>
      <c r="BA305" s="6"/>
    </row>
    <row r="306" ht="22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9"/>
      <c r="AW306" s="9"/>
      <c r="AX306" s="10"/>
      <c r="AY306" s="10"/>
      <c r="AZ306" s="7"/>
      <c r="BA306" s="6"/>
    </row>
    <row r="307" ht="22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9"/>
      <c r="AW307" s="9"/>
      <c r="AX307" s="10"/>
      <c r="AY307" s="10"/>
      <c r="AZ307" s="7"/>
      <c r="BA307" s="6"/>
    </row>
    <row r="308" ht="22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9"/>
      <c r="AW308" s="9"/>
      <c r="AX308" s="10"/>
      <c r="AY308" s="10"/>
      <c r="AZ308" s="7"/>
      <c r="BA308" s="6"/>
    </row>
    <row r="309" ht="22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9"/>
      <c r="AW309" s="9"/>
      <c r="AX309" s="10"/>
      <c r="AY309" s="10"/>
      <c r="AZ309" s="7"/>
      <c r="BA309" s="6"/>
    </row>
    <row r="310" ht="22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9"/>
      <c r="AW310" s="9"/>
      <c r="AX310" s="10"/>
      <c r="AY310" s="10"/>
      <c r="AZ310" s="7"/>
      <c r="BA310" s="6"/>
    </row>
    <row r="311" ht="22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9"/>
      <c r="AW311" s="9"/>
      <c r="AX311" s="10"/>
      <c r="AY311" s="10"/>
      <c r="AZ311" s="7"/>
      <c r="BA311" s="6"/>
    </row>
    <row r="312" ht="22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9"/>
      <c r="AW312" s="9"/>
      <c r="AX312" s="10"/>
      <c r="AY312" s="10"/>
      <c r="AZ312" s="7"/>
      <c r="BA312" s="6"/>
    </row>
    <row r="313" ht="22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9"/>
      <c r="AW313" s="9"/>
      <c r="AX313" s="10"/>
      <c r="AY313" s="10"/>
      <c r="AZ313" s="7"/>
      <c r="BA313" s="6"/>
    </row>
    <row r="314" ht="22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9"/>
      <c r="AW314" s="9"/>
      <c r="AX314" s="10"/>
      <c r="AY314" s="10"/>
      <c r="AZ314" s="7"/>
      <c r="BA314" s="6"/>
    </row>
    <row r="315" ht="22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9"/>
      <c r="AW315" s="9"/>
      <c r="AX315" s="10"/>
      <c r="AY315" s="10"/>
      <c r="AZ315" s="7"/>
      <c r="BA315" s="6"/>
    </row>
    <row r="316" ht="22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9"/>
      <c r="AW316" s="9"/>
      <c r="AX316" s="10"/>
      <c r="AY316" s="10"/>
      <c r="AZ316" s="7"/>
      <c r="BA316" s="6"/>
    </row>
    <row r="317" ht="22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9"/>
      <c r="AW317" s="9"/>
      <c r="AX317" s="10"/>
      <c r="AY317" s="10"/>
      <c r="AZ317" s="7"/>
      <c r="BA317" s="6"/>
    </row>
    <row r="318" ht="22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9"/>
      <c r="AW318" s="9"/>
      <c r="AX318" s="10"/>
      <c r="AY318" s="10"/>
      <c r="AZ318" s="7"/>
      <c r="BA318" s="6"/>
    </row>
    <row r="319" ht="22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9"/>
      <c r="AW319" s="9"/>
      <c r="AX319" s="10"/>
      <c r="AY319" s="10"/>
      <c r="AZ319" s="7"/>
      <c r="BA319" s="6"/>
    </row>
    <row r="320" ht="22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9"/>
      <c r="AW320" s="9"/>
      <c r="AX320" s="10"/>
      <c r="AY320" s="10"/>
      <c r="AZ320" s="7"/>
      <c r="BA320" s="6"/>
    </row>
    <row r="321" ht="22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9"/>
      <c r="AW321" s="9"/>
      <c r="AX321" s="10"/>
      <c r="AY321" s="10"/>
      <c r="AZ321" s="7"/>
      <c r="BA321" s="6"/>
    </row>
    <row r="322" ht="22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9"/>
      <c r="AW322" s="9"/>
      <c r="AX322" s="10"/>
      <c r="AY322" s="10"/>
      <c r="AZ322" s="7"/>
      <c r="BA322" s="6"/>
    </row>
    <row r="323" ht="22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9"/>
      <c r="AW323" s="9"/>
      <c r="AX323" s="10"/>
      <c r="AY323" s="10"/>
      <c r="AZ323" s="7"/>
      <c r="BA323" s="6"/>
    </row>
    <row r="324" ht="22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9"/>
      <c r="AW324" s="9"/>
      <c r="AX324" s="10"/>
      <c r="AY324" s="10"/>
      <c r="AZ324" s="7"/>
      <c r="BA324" s="6"/>
    </row>
    <row r="325" ht="22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9"/>
      <c r="AW325" s="9"/>
      <c r="AX325" s="10"/>
      <c r="AY325" s="10"/>
      <c r="AZ325" s="7"/>
      <c r="BA325" s="6"/>
    </row>
    <row r="326" ht="22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9"/>
      <c r="AW326" s="9"/>
      <c r="AX326" s="10"/>
      <c r="AY326" s="10"/>
      <c r="AZ326" s="7"/>
      <c r="BA326" s="6"/>
    </row>
    <row r="327" ht="22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9"/>
      <c r="AW327" s="9"/>
      <c r="AX327" s="10"/>
      <c r="AY327" s="10"/>
      <c r="AZ327" s="7"/>
      <c r="BA327" s="6"/>
    </row>
    <row r="328" ht="22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9"/>
      <c r="AW328" s="9"/>
      <c r="AX328" s="10"/>
      <c r="AY328" s="10"/>
      <c r="AZ328" s="7"/>
      <c r="BA328" s="6"/>
    </row>
    <row r="329" ht="22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9"/>
      <c r="AW329" s="9"/>
      <c r="AX329" s="10"/>
      <c r="AY329" s="10"/>
      <c r="AZ329" s="7"/>
      <c r="BA329" s="6"/>
    </row>
    <row r="330" ht="22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9"/>
      <c r="AW330" s="9"/>
      <c r="AX330" s="10"/>
      <c r="AY330" s="10"/>
      <c r="AZ330" s="7"/>
      <c r="BA330" s="6"/>
    </row>
    <row r="331" ht="22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9"/>
      <c r="AW331" s="9"/>
      <c r="AX331" s="10"/>
      <c r="AY331" s="10"/>
      <c r="AZ331" s="7"/>
      <c r="BA331" s="6"/>
    </row>
    <row r="332" ht="22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9"/>
      <c r="AW332" s="9"/>
      <c r="AX332" s="10"/>
      <c r="AY332" s="10"/>
      <c r="AZ332" s="7"/>
      <c r="BA332" s="6"/>
    </row>
    <row r="333" ht="22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9"/>
      <c r="AW333" s="9"/>
      <c r="AX333" s="10"/>
      <c r="AY333" s="10"/>
      <c r="AZ333" s="7"/>
      <c r="BA333" s="6"/>
    </row>
    <row r="334" ht="22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9"/>
      <c r="AW334" s="9"/>
      <c r="AX334" s="10"/>
      <c r="AY334" s="10"/>
      <c r="AZ334" s="7"/>
      <c r="BA334" s="6"/>
    </row>
    <row r="335" ht="22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9"/>
      <c r="AW335" s="9"/>
      <c r="AX335" s="10"/>
      <c r="AY335" s="10"/>
      <c r="AZ335" s="7"/>
      <c r="BA335" s="6"/>
    </row>
    <row r="336" ht="22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9"/>
      <c r="AW336" s="9"/>
      <c r="AX336" s="10"/>
      <c r="AY336" s="10"/>
      <c r="AZ336" s="7"/>
      <c r="BA336" s="6"/>
    </row>
    <row r="337" ht="22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9"/>
      <c r="AW337" s="9"/>
      <c r="AX337" s="10"/>
      <c r="AY337" s="10"/>
      <c r="AZ337" s="7"/>
      <c r="BA337" s="6"/>
    </row>
    <row r="338" ht="22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9"/>
      <c r="AW338" s="9"/>
      <c r="AX338" s="10"/>
      <c r="AY338" s="10"/>
      <c r="AZ338" s="7"/>
      <c r="BA338" s="6"/>
    </row>
    <row r="339" ht="22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9"/>
      <c r="AW339" s="9"/>
      <c r="AX339" s="10"/>
      <c r="AY339" s="10"/>
      <c r="AZ339" s="7"/>
      <c r="BA339" s="6"/>
    </row>
    <row r="340" ht="22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9"/>
      <c r="AW340" s="9"/>
      <c r="AX340" s="10"/>
      <c r="AY340" s="10"/>
      <c r="AZ340" s="7"/>
      <c r="BA340" s="6"/>
    </row>
    <row r="341" ht="22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9"/>
      <c r="AW341" s="9"/>
      <c r="AX341" s="10"/>
      <c r="AY341" s="10"/>
      <c r="AZ341" s="7"/>
      <c r="BA341" s="6"/>
    </row>
    <row r="342" ht="22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9"/>
      <c r="AW342" s="9"/>
      <c r="AX342" s="10"/>
      <c r="AY342" s="10"/>
      <c r="AZ342" s="7"/>
      <c r="BA342" s="6"/>
    </row>
    <row r="343" ht="22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9"/>
      <c r="AW343" s="9"/>
      <c r="AX343" s="10"/>
      <c r="AY343" s="10"/>
      <c r="AZ343" s="7"/>
      <c r="BA343" s="6"/>
    </row>
    <row r="344" ht="22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9"/>
      <c r="AW344" s="9"/>
      <c r="AX344" s="10"/>
      <c r="AY344" s="10"/>
      <c r="AZ344" s="7"/>
      <c r="BA344" s="6"/>
    </row>
    <row r="345" ht="22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9"/>
      <c r="AW345" s="9"/>
      <c r="AX345" s="10"/>
      <c r="AY345" s="10"/>
      <c r="AZ345" s="7"/>
      <c r="BA345" s="6"/>
    </row>
    <row r="346" ht="22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9"/>
      <c r="AW346" s="9"/>
      <c r="AX346" s="10"/>
      <c r="AY346" s="10"/>
      <c r="AZ346" s="7"/>
      <c r="BA346" s="6"/>
    </row>
    <row r="347" ht="22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9"/>
      <c r="AW347" s="9"/>
      <c r="AX347" s="10"/>
      <c r="AY347" s="10"/>
      <c r="AZ347" s="7"/>
      <c r="BA347" s="6"/>
    </row>
    <row r="348" ht="22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9"/>
      <c r="AW348" s="9"/>
      <c r="AX348" s="10"/>
      <c r="AY348" s="10"/>
      <c r="AZ348" s="7"/>
      <c r="BA348" s="6"/>
    </row>
    <row r="349" ht="22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9"/>
      <c r="AW349" s="9"/>
      <c r="AX349" s="10"/>
      <c r="AY349" s="10"/>
      <c r="AZ349" s="7"/>
      <c r="BA349" s="6"/>
    </row>
    <row r="350" ht="22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9"/>
      <c r="AW350" s="9"/>
      <c r="AX350" s="10"/>
      <c r="AY350" s="10"/>
      <c r="AZ350" s="7"/>
      <c r="BA350" s="6"/>
    </row>
    <row r="351" ht="22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9"/>
      <c r="AW351" s="9"/>
      <c r="AX351" s="10"/>
      <c r="AY351" s="10"/>
      <c r="AZ351" s="7"/>
      <c r="BA351" s="6"/>
    </row>
    <row r="352" ht="22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9"/>
      <c r="AW352" s="9"/>
      <c r="AX352" s="10"/>
      <c r="AY352" s="10"/>
      <c r="AZ352" s="7"/>
      <c r="BA352" s="6"/>
    </row>
    <row r="353" ht="22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9"/>
      <c r="AW353" s="9"/>
      <c r="AX353" s="10"/>
      <c r="AY353" s="10"/>
      <c r="AZ353" s="7"/>
      <c r="BA353" s="6"/>
    </row>
    <row r="354" ht="22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9"/>
      <c r="AW354" s="9"/>
      <c r="AX354" s="10"/>
      <c r="AY354" s="10"/>
      <c r="AZ354" s="7"/>
      <c r="BA354" s="6"/>
    </row>
    <row r="355" ht="22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9"/>
      <c r="AW355" s="9"/>
      <c r="AX355" s="10"/>
      <c r="AY355" s="10"/>
      <c r="AZ355" s="7"/>
      <c r="BA355" s="6"/>
    </row>
    <row r="356" ht="22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9"/>
      <c r="AW356" s="9"/>
      <c r="AX356" s="10"/>
      <c r="AY356" s="10"/>
      <c r="AZ356" s="7"/>
      <c r="BA356" s="6"/>
    </row>
    <row r="357" ht="22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9"/>
      <c r="AW357" s="9"/>
      <c r="AX357" s="10"/>
      <c r="AY357" s="10"/>
      <c r="AZ357" s="7"/>
      <c r="BA357" s="6"/>
    </row>
    <row r="358" ht="22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9"/>
      <c r="AW358" s="9"/>
      <c r="AX358" s="10"/>
      <c r="AY358" s="10"/>
      <c r="AZ358" s="7"/>
      <c r="BA358" s="6"/>
    </row>
    <row r="359" ht="22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9"/>
      <c r="AW359" s="9"/>
      <c r="AX359" s="10"/>
      <c r="AY359" s="10"/>
      <c r="AZ359" s="7"/>
      <c r="BA359" s="6"/>
    </row>
    <row r="360" ht="22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9"/>
      <c r="AW360" s="9"/>
      <c r="AX360" s="10"/>
      <c r="AY360" s="10"/>
      <c r="AZ360" s="7"/>
      <c r="BA360" s="6"/>
    </row>
    <row r="361" ht="22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9"/>
      <c r="AW361" s="9"/>
      <c r="AX361" s="10"/>
      <c r="AY361" s="10"/>
      <c r="AZ361" s="7"/>
      <c r="BA361" s="6"/>
    </row>
    <row r="362" ht="22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9"/>
      <c r="AW362" s="9"/>
      <c r="AX362" s="10"/>
      <c r="AY362" s="10"/>
      <c r="AZ362" s="7"/>
      <c r="BA362" s="6"/>
    </row>
    <row r="363" ht="22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9"/>
      <c r="AW363" s="9"/>
      <c r="AX363" s="10"/>
      <c r="AY363" s="10"/>
      <c r="AZ363" s="7"/>
      <c r="BA363" s="6"/>
    </row>
    <row r="364" ht="22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9"/>
      <c r="AW364" s="9"/>
      <c r="AX364" s="10"/>
      <c r="AY364" s="10"/>
      <c r="AZ364" s="7"/>
      <c r="BA364" s="6"/>
    </row>
    <row r="365" ht="22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9"/>
      <c r="AW365" s="9"/>
      <c r="AX365" s="10"/>
      <c r="AY365" s="10"/>
      <c r="AZ365" s="7"/>
      <c r="BA365" s="6"/>
    </row>
    <row r="366" ht="22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9"/>
      <c r="AW366" s="9"/>
      <c r="AX366" s="10"/>
      <c r="AY366" s="10"/>
      <c r="AZ366" s="7"/>
      <c r="BA366" s="6"/>
    </row>
    <row r="367" ht="22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9"/>
      <c r="AW367" s="9"/>
      <c r="AX367" s="10"/>
      <c r="AY367" s="10"/>
      <c r="AZ367" s="7"/>
      <c r="BA367" s="6"/>
    </row>
    <row r="368" ht="22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9"/>
      <c r="AW368" s="9"/>
      <c r="AX368" s="10"/>
      <c r="AY368" s="10"/>
      <c r="AZ368" s="7"/>
      <c r="BA368" s="6"/>
    </row>
    <row r="369" ht="22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9"/>
      <c r="AW369" s="9"/>
      <c r="AX369" s="10"/>
      <c r="AY369" s="10"/>
      <c r="AZ369" s="7"/>
      <c r="BA369" s="6"/>
    </row>
    <row r="370" ht="22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9"/>
      <c r="AW370" s="9"/>
      <c r="AX370" s="10"/>
      <c r="AY370" s="10"/>
      <c r="AZ370" s="7"/>
      <c r="BA370" s="6"/>
    </row>
    <row r="371" ht="22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9"/>
      <c r="AW371" s="9"/>
      <c r="AX371" s="10"/>
      <c r="AY371" s="10"/>
      <c r="AZ371" s="7"/>
      <c r="BA371" s="6"/>
    </row>
    <row r="372" ht="22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9"/>
      <c r="AW372" s="9"/>
      <c r="AX372" s="10"/>
      <c r="AY372" s="10"/>
      <c r="AZ372" s="7"/>
      <c r="BA372" s="6"/>
    </row>
    <row r="373" ht="22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9"/>
      <c r="AW373" s="9"/>
      <c r="AX373" s="10"/>
      <c r="AY373" s="10"/>
      <c r="AZ373" s="7"/>
      <c r="BA373" s="6"/>
    </row>
    <row r="374" ht="22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9"/>
      <c r="AW374" s="9"/>
      <c r="AX374" s="10"/>
      <c r="AY374" s="10"/>
      <c r="AZ374" s="7"/>
      <c r="BA374" s="6"/>
    </row>
    <row r="375" ht="22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9"/>
      <c r="AW375" s="9"/>
      <c r="AX375" s="10"/>
      <c r="AY375" s="10"/>
      <c r="AZ375" s="7"/>
      <c r="BA375" s="6"/>
    </row>
    <row r="376" ht="22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9"/>
      <c r="AW376" s="9"/>
      <c r="AX376" s="10"/>
      <c r="AY376" s="10"/>
      <c r="AZ376" s="7"/>
      <c r="BA376" s="6"/>
    </row>
    <row r="377" ht="22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9"/>
      <c r="AW377" s="9"/>
      <c r="AX377" s="10"/>
      <c r="AY377" s="10"/>
      <c r="AZ377" s="7"/>
      <c r="BA377" s="6"/>
    </row>
    <row r="378" ht="22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9"/>
      <c r="AW378" s="9"/>
      <c r="AX378" s="10"/>
      <c r="AY378" s="10"/>
      <c r="AZ378" s="7"/>
      <c r="BA378" s="6"/>
    </row>
    <row r="379" ht="22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9"/>
      <c r="AW379" s="9"/>
      <c r="AX379" s="10"/>
      <c r="AY379" s="10"/>
      <c r="AZ379" s="7"/>
      <c r="BA379" s="6"/>
    </row>
    <row r="380" ht="22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9"/>
      <c r="AW380" s="9"/>
      <c r="AX380" s="10"/>
      <c r="AY380" s="10"/>
      <c r="AZ380" s="7"/>
      <c r="BA380" s="6"/>
    </row>
    <row r="381" ht="22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9"/>
      <c r="AW381" s="9"/>
      <c r="AX381" s="10"/>
      <c r="AY381" s="10"/>
      <c r="AZ381" s="7"/>
      <c r="BA381" s="6"/>
    </row>
    <row r="382" ht="22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9"/>
      <c r="AW382" s="9"/>
      <c r="AX382" s="10"/>
      <c r="AY382" s="10"/>
      <c r="AZ382" s="7"/>
      <c r="BA382" s="6"/>
    </row>
    <row r="383" ht="22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9"/>
      <c r="AW383" s="9"/>
      <c r="AX383" s="10"/>
      <c r="AY383" s="10"/>
      <c r="AZ383" s="7"/>
      <c r="BA383" s="6"/>
    </row>
    <row r="384" ht="22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9"/>
      <c r="AW384" s="9"/>
      <c r="AX384" s="10"/>
      <c r="AY384" s="10"/>
      <c r="AZ384" s="7"/>
      <c r="BA384" s="6"/>
    </row>
    <row r="385" ht="22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9"/>
      <c r="AW385" s="9"/>
      <c r="AX385" s="10"/>
      <c r="AY385" s="10"/>
      <c r="AZ385" s="7"/>
      <c r="BA385" s="6"/>
    </row>
    <row r="386" ht="22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9"/>
      <c r="AW386" s="9"/>
      <c r="AX386" s="10"/>
      <c r="AY386" s="10"/>
      <c r="AZ386" s="7"/>
      <c r="BA386" s="6"/>
    </row>
    <row r="387" ht="22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9"/>
      <c r="AW387" s="9"/>
      <c r="AX387" s="10"/>
      <c r="AY387" s="10"/>
      <c r="AZ387" s="7"/>
      <c r="BA387" s="6"/>
    </row>
    <row r="388" ht="22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9"/>
      <c r="AW388" s="9"/>
      <c r="AX388" s="10"/>
      <c r="AY388" s="10"/>
      <c r="AZ388" s="7"/>
      <c r="BA388" s="6"/>
    </row>
    <row r="389" ht="22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9"/>
      <c r="AW389" s="9"/>
      <c r="AX389" s="10"/>
      <c r="AY389" s="10"/>
      <c r="AZ389" s="7"/>
      <c r="BA389" s="6"/>
    </row>
    <row r="390" ht="22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9"/>
      <c r="AW390" s="9"/>
      <c r="AX390" s="10"/>
      <c r="AY390" s="10"/>
      <c r="AZ390" s="7"/>
      <c r="BA390" s="6"/>
    </row>
    <row r="391" ht="22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9"/>
      <c r="AW391" s="9"/>
      <c r="AX391" s="10"/>
      <c r="AY391" s="10"/>
      <c r="AZ391" s="7"/>
      <c r="BA391" s="6"/>
    </row>
    <row r="392" ht="22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9"/>
      <c r="AW392" s="9"/>
      <c r="AX392" s="10"/>
      <c r="AY392" s="10"/>
      <c r="AZ392" s="7"/>
      <c r="BA392" s="6"/>
    </row>
    <row r="393" ht="22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9"/>
      <c r="AW393" s="9"/>
      <c r="AX393" s="10"/>
      <c r="AY393" s="10"/>
      <c r="AZ393" s="7"/>
      <c r="BA393" s="6"/>
    </row>
    <row r="394" ht="22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9"/>
      <c r="AW394" s="9"/>
      <c r="AX394" s="10"/>
      <c r="AY394" s="10"/>
      <c r="AZ394" s="7"/>
      <c r="BA394" s="6"/>
    </row>
    <row r="395" ht="22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9"/>
      <c r="AW395" s="9"/>
      <c r="AX395" s="10"/>
      <c r="AY395" s="10"/>
      <c r="AZ395" s="7"/>
      <c r="BA395" s="6"/>
    </row>
    <row r="396" ht="22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9"/>
      <c r="AW396" s="9"/>
      <c r="AX396" s="10"/>
      <c r="AY396" s="10"/>
      <c r="AZ396" s="7"/>
      <c r="BA396" s="6"/>
    </row>
    <row r="397" ht="22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9"/>
      <c r="AW397" s="9"/>
      <c r="AX397" s="10"/>
      <c r="AY397" s="10"/>
      <c r="AZ397" s="7"/>
      <c r="BA397" s="6"/>
    </row>
    <row r="398" ht="22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9"/>
      <c r="AW398" s="9"/>
      <c r="AX398" s="10"/>
      <c r="AY398" s="10"/>
      <c r="AZ398" s="7"/>
      <c r="BA398" s="6"/>
    </row>
    <row r="399" ht="22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9"/>
      <c r="AW399" s="9"/>
      <c r="AX399" s="10"/>
      <c r="AY399" s="10"/>
      <c r="AZ399" s="7"/>
      <c r="BA399" s="6"/>
    </row>
    <row r="400" ht="22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9"/>
      <c r="AW400" s="9"/>
      <c r="AX400" s="10"/>
      <c r="AY400" s="10"/>
      <c r="AZ400" s="7"/>
      <c r="BA400" s="6"/>
    </row>
    <row r="401" ht="22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9"/>
      <c r="AW401" s="9"/>
      <c r="AX401" s="10"/>
      <c r="AY401" s="10"/>
      <c r="AZ401" s="7"/>
      <c r="BA401" s="6"/>
    </row>
    <row r="402" ht="22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9"/>
      <c r="AW402" s="9"/>
      <c r="AX402" s="10"/>
      <c r="AY402" s="10"/>
      <c r="AZ402" s="7"/>
      <c r="BA402" s="6"/>
    </row>
    <row r="403" ht="22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9"/>
      <c r="AW403" s="9"/>
      <c r="AX403" s="10"/>
      <c r="AY403" s="10"/>
      <c r="AZ403" s="7"/>
      <c r="BA403" s="6"/>
    </row>
    <row r="404" ht="22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9"/>
      <c r="AW404" s="9"/>
      <c r="AX404" s="10"/>
      <c r="AY404" s="10"/>
      <c r="AZ404" s="7"/>
      <c r="BA404" s="6"/>
    </row>
    <row r="405" ht="22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9"/>
      <c r="AW405" s="9"/>
      <c r="AX405" s="10"/>
      <c r="AY405" s="10"/>
      <c r="AZ405" s="7"/>
      <c r="BA405" s="6"/>
    </row>
    <row r="406" ht="22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9"/>
      <c r="AW406" s="9"/>
      <c r="AX406" s="10"/>
      <c r="AY406" s="10"/>
      <c r="AZ406" s="7"/>
      <c r="BA406" s="6"/>
    </row>
    <row r="407" ht="22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9"/>
      <c r="AW407" s="9"/>
      <c r="AX407" s="10"/>
      <c r="AY407" s="10"/>
      <c r="AZ407" s="7"/>
      <c r="BA407" s="6"/>
    </row>
    <row r="408" ht="22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9"/>
      <c r="AW408" s="9"/>
      <c r="AX408" s="10"/>
      <c r="AY408" s="10"/>
      <c r="AZ408" s="7"/>
      <c r="BA408" s="6"/>
    </row>
    <row r="409" ht="22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9"/>
      <c r="AW409" s="9"/>
      <c r="AX409" s="10"/>
      <c r="AY409" s="10"/>
      <c r="AZ409" s="7"/>
      <c r="BA409" s="6"/>
    </row>
    <row r="410" ht="22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9"/>
      <c r="AW410" s="9"/>
      <c r="AX410" s="10"/>
      <c r="AY410" s="10"/>
      <c r="AZ410" s="7"/>
      <c r="BA410" s="6"/>
    </row>
    <row r="411" ht="22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9"/>
      <c r="AW411" s="9"/>
      <c r="AX411" s="10"/>
      <c r="AY411" s="10"/>
      <c r="AZ411" s="7"/>
      <c r="BA411" s="6"/>
    </row>
    <row r="412" ht="22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9"/>
      <c r="AW412" s="9"/>
      <c r="AX412" s="10"/>
      <c r="AY412" s="10"/>
      <c r="AZ412" s="7"/>
      <c r="BA412" s="6"/>
    </row>
    <row r="413" ht="22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9"/>
      <c r="AW413" s="9"/>
      <c r="AX413" s="10"/>
      <c r="AY413" s="10"/>
      <c r="AZ413" s="7"/>
      <c r="BA413" s="6"/>
    </row>
    <row r="414" ht="22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9"/>
      <c r="AW414" s="9"/>
      <c r="AX414" s="10"/>
      <c r="AY414" s="10"/>
      <c r="AZ414" s="7"/>
      <c r="BA414" s="6"/>
    </row>
    <row r="415" ht="22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9"/>
      <c r="AW415" s="9"/>
      <c r="AX415" s="10"/>
      <c r="AY415" s="10"/>
      <c r="AZ415" s="7"/>
      <c r="BA415" s="6"/>
    </row>
    <row r="416" ht="22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9"/>
      <c r="AW416" s="9"/>
      <c r="AX416" s="10"/>
      <c r="AY416" s="10"/>
      <c r="AZ416" s="7"/>
      <c r="BA416" s="6"/>
    </row>
    <row r="417" ht="22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9"/>
      <c r="AW417" s="9"/>
      <c r="AX417" s="10"/>
      <c r="AY417" s="10"/>
      <c r="AZ417" s="7"/>
      <c r="BA417" s="6"/>
    </row>
    <row r="418" ht="22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9"/>
      <c r="AW418" s="9"/>
      <c r="AX418" s="10"/>
      <c r="AY418" s="10"/>
      <c r="AZ418" s="7"/>
      <c r="BA418" s="6"/>
    </row>
    <row r="419" ht="22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9"/>
      <c r="AW419" s="9"/>
      <c r="AX419" s="10"/>
      <c r="AY419" s="10"/>
      <c r="AZ419" s="7"/>
      <c r="BA419" s="6"/>
    </row>
    <row r="420" ht="22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9"/>
      <c r="AW420" s="9"/>
      <c r="AX420" s="10"/>
      <c r="AY420" s="10"/>
      <c r="AZ420" s="7"/>
      <c r="BA420" s="6"/>
    </row>
    <row r="421" ht="22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9"/>
      <c r="AW421" s="9"/>
      <c r="AX421" s="10"/>
      <c r="AY421" s="10"/>
      <c r="AZ421" s="7"/>
      <c r="BA421" s="6"/>
    </row>
    <row r="422" ht="22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9"/>
      <c r="AW422" s="9"/>
      <c r="AX422" s="10"/>
      <c r="AY422" s="10"/>
      <c r="AZ422" s="7"/>
      <c r="BA422" s="6"/>
    </row>
    <row r="423" ht="22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9"/>
      <c r="AW423" s="9"/>
      <c r="AX423" s="10"/>
      <c r="AY423" s="10"/>
      <c r="AZ423" s="7"/>
      <c r="BA423" s="6"/>
    </row>
    <row r="424" ht="22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9"/>
      <c r="AW424" s="9"/>
      <c r="AX424" s="10"/>
      <c r="AY424" s="10"/>
      <c r="AZ424" s="7"/>
      <c r="BA424" s="6"/>
    </row>
    <row r="425" ht="22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9"/>
      <c r="AW425" s="9"/>
      <c r="AX425" s="10"/>
      <c r="AY425" s="10"/>
      <c r="AZ425" s="7"/>
      <c r="BA425" s="6"/>
    </row>
    <row r="426" ht="22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9"/>
      <c r="AW426" s="9"/>
      <c r="AX426" s="10"/>
      <c r="AY426" s="10"/>
      <c r="AZ426" s="7"/>
      <c r="BA426" s="6"/>
    </row>
    <row r="427" ht="22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9"/>
      <c r="AW427" s="9"/>
      <c r="AX427" s="10"/>
      <c r="AY427" s="10"/>
      <c r="AZ427" s="7"/>
      <c r="BA427" s="6"/>
    </row>
    <row r="428" ht="22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9"/>
      <c r="AW428" s="9"/>
      <c r="AX428" s="10"/>
      <c r="AY428" s="10"/>
      <c r="AZ428" s="7"/>
      <c r="BA428" s="6"/>
    </row>
    <row r="429" ht="22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9"/>
      <c r="AW429" s="9"/>
      <c r="AX429" s="10"/>
      <c r="AY429" s="10"/>
      <c r="AZ429" s="7"/>
      <c r="BA429" s="6"/>
    </row>
    <row r="430" ht="22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9"/>
      <c r="AW430" s="9"/>
      <c r="AX430" s="10"/>
      <c r="AY430" s="10"/>
      <c r="AZ430" s="7"/>
      <c r="BA430" s="6"/>
    </row>
    <row r="431" ht="22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9"/>
      <c r="AW431" s="9"/>
      <c r="AX431" s="10"/>
      <c r="AY431" s="10"/>
      <c r="AZ431" s="7"/>
      <c r="BA431" s="6"/>
    </row>
    <row r="432" ht="22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9"/>
      <c r="AW432" s="9"/>
      <c r="AX432" s="10"/>
      <c r="AY432" s="10"/>
      <c r="AZ432" s="7"/>
      <c r="BA432" s="6"/>
    </row>
    <row r="433" ht="22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9"/>
      <c r="AW433" s="9"/>
      <c r="AX433" s="10"/>
      <c r="AY433" s="10"/>
      <c r="AZ433" s="7"/>
      <c r="BA433" s="6"/>
    </row>
    <row r="434" ht="22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9"/>
      <c r="AW434" s="9"/>
      <c r="AX434" s="10"/>
      <c r="AY434" s="10"/>
      <c r="AZ434" s="7"/>
      <c r="BA434" s="6"/>
    </row>
    <row r="435" ht="22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9"/>
      <c r="AW435" s="9"/>
      <c r="AX435" s="10"/>
      <c r="AY435" s="10"/>
      <c r="AZ435" s="7"/>
      <c r="BA435" s="6"/>
    </row>
    <row r="436" ht="22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9"/>
      <c r="AW436" s="9"/>
      <c r="AX436" s="10"/>
      <c r="AY436" s="10"/>
      <c r="AZ436" s="7"/>
      <c r="BA436" s="6"/>
    </row>
    <row r="437" ht="22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9"/>
      <c r="AW437" s="9"/>
      <c r="AX437" s="10"/>
      <c r="AY437" s="10"/>
      <c r="AZ437" s="7"/>
      <c r="BA437" s="6"/>
    </row>
    <row r="438" ht="22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9"/>
      <c r="AW438" s="9"/>
      <c r="AX438" s="10"/>
      <c r="AY438" s="10"/>
      <c r="AZ438" s="7"/>
      <c r="BA438" s="6"/>
    </row>
    <row r="439" ht="22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9"/>
      <c r="AW439" s="9"/>
      <c r="AX439" s="10"/>
      <c r="AY439" s="10"/>
      <c r="AZ439" s="7"/>
      <c r="BA439" s="6"/>
    </row>
    <row r="440" ht="22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9"/>
      <c r="AW440" s="9"/>
      <c r="AX440" s="10"/>
      <c r="AY440" s="10"/>
      <c r="AZ440" s="7"/>
      <c r="BA440" s="6"/>
    </row>
    <row r="441" ht="22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9"/>
      <c r="AW441" s="9"/>
      <c r="AX441" s="10"/>
      <c r="AY441" s="10"/>
      <c r="AZ441" s="7"/>
      <c r="BA441" s="6"/>
    </row>
    <row r="442" ht="22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9"/>
      <c r="AW442" s="9"/>
      <c r="AX442" s="10"/>
      <c r="AY442" s="10"/>
      <c r="AZ442" s="7"/>
      <c r="BA442" s="6"/>
    </row>
    <row r="443" ht="22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9"/>
      <c r="AW443" s="9"/>
      <c r="AX443" s="10"/>
      <c r="AY443" s="10"/>
      <c r="AZ443" s="7"/>
      <c r="BA443" s="6"/>
    </row>
    <row r="444" ht="22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9"/>
      <c r="AW444" s="9"/>
      <c r="AX444" s="10"/>
      <c r="AY444" s="10"/>
      <c r="AZ444" s="7"/>
      <c r="BA444" s="6"/>
    </row>
    <row r="445" ht="22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9"/>
      <c r="AW445" s="9"/>
      <c r="AX445" s="10"/>
      <c r="AY445" s="10"/>
      <c r="AZ445" s="7"/>
      <c r="BA445" s="6"/>
    </row>
    <row r="446" ht="22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9"/>
      <c r="AW446" s="9"/>
      <c r="AX446" s="10"/>
      <c r="AY446" s="10"/>
      <c r="AZ446" s="7"/>
      <c r="BA446" s="6"/>
    </row>
    <row r="447" ht="22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9"/>
      <c r="AW447" s="9"/>
      <c r="AX447" s="10"/>
      <c r="AY447" s="10"/>
      <c r="AZ447" s="7"/>
      <c r="BA447" s="6"/>
    </row>
    <row r="448" ht="22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9"/>
      <c r="AW448" s="9"/>
      <c r="AX448" s="10"/>
      <c r="AY448" s="10"/>
      <c r="AZ448" s="7"/>
      <c r="BA448" s="6"/>
    </row>
    <row r="449" ht="22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9"/>
      <c r="AW449" s="9"/>
      <c r="AX449" s="10"/>
      <c r="AY449" s="10"/>
      <c r="AZ449" s="7"/>
      <c r="BA449" s="6"/>
    </row>
    <row r="450" ht="22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9"/>
      <c r="AW450" s="9"/>
      <c r="AX450" s="10"/>
      <c r="AY450" s="10"/>
      <c r="AZ450" s="7"/>
      <c r="BA450" s="6"/>
    </row>
    <row r="451" ht="22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9"/>
      <c r="AW451" s="9"/>
      <c r="AX451" s="10"/>
      <c r="AY451" s="10"/>
      <c r="AZ451" s="7"/>
      <c r="BA451" s="6"/>
    </row>
    <row r="452" ht="22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9"/>
      <c r="AW452" s="9"/>
      <c r="AX452" s="10"/>
      <c r="AY452" s="10"/>
      <c r="AZ452" s="7"/>
      <c r="BA452" s="6"/>
    </row>
    <row r="453" ht="22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9"/>
      <c r="AW453" s="9"/>
      <c r="AX453" s="10"/>
      <c r="AY453" s="10"/>
      <c r="AZ453" s="7"/>
      <c r="BA453" s="6"/>
    </row>
    <row r="454" ht="22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9"/>
      <c r="AW454" s="9"/>
      <c r="AX454" s="10"/>
      <c r="AY454" s="10"/>
      <c r="AZ454" s="7"/>
      <c r="BA454" s="6"/>
    </row>
    <row r="455" ht="22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9"/>
      <c r="AW455" s="9"/>
      <c r="AX455" s="10"/>
      <c r="AY455" s="10"/>
      <c r="AZ455" s="7"/>
      <c r="BA455" s="6"/>
    </row>
    <row r="456" ht="22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9"/>
      <c r="AW456" s="9"/>
      <c r="AX456" s="10"/>
      <c r="AY456" s="10"/>
      <c r="AZ456" s="7"/>
      <c r="BA456" s="6"/>
    </row>
    <row r="457" ht="22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9"/>
      <c r="AW457" s="9"/>
      <c r="AX457" s="10"/>
      <c r="AY457" s="10"/>
      <c r="AZ457" s="7"/>
      <c r="BA457" s="6"/>
    </row>
    <row r="458" ht="22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9"/>
      <c r="AW458" s="9"/>
      <c r="AX458" s="10"/>
      <c r="AY458" s="10"/>
      <c r="AZ458" s="7"/>
      <c r="BA458" s="6"/>
    </row>
    <row r="459" ht="22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9"/>
      <c r="AW459" s="9"/>
      <c r="AX459" s="10"/>
      <c r="AY459" s="10"/>
      <c r="AZ459" s="7"/>
      <c r="BA459" s="6"/>
    </row>
    <row r="460" ht="22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9"/>
      <c r="AW460" s="9"/>
      <c r="AX460" s="10"/>
      <c r="AY460" s="10"/>
      <c r="AZ460" s="7"/>
      <c r="BA460" s="6"/>
    </row>
    <row r="461" ht="22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9"/>
      <c r="AW461" s="9"/>
      <c r="AX461" s="10"/>
      <c r="AY461" s="10"/>
      <c r="AZ461" s="7"/>
      <c r="BA461" s="6"/>
    </row>
    <row r="462" ht="22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9"/>
      <c r="AW462" s="9"/>
      <c r="AX462" s="10"/>
      <c r="AY462" s="10"/>
      <c r="AZ462" s="7"/>
      <c r="BA462" s="6"/>
    </row>
    <row r="463" ht="22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9"/>
      <c r="AW463" s="9"/>
      <c r="AX463" s="10"/>
      <c r="AY463" s="10"/>
      <c r="AZ463" s="7"/>
      <c r="BA463" s="6"/>
    </row>
    <row r="464" ht="22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9"/>
      <c r="AW464" s="9"/>
      <c r="AX464" s="10"/>
      <c r="AY464" s="10"/>
      <c r="AZ464" s="7"/>
      <c r="BA464" s="6"/>
    </row>
    <row r="465" ht="22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9"/>
      <c r="AW465" s="9"/>
      <c r="AX465" s="10"/>
      <c r="AY465" s="10"/>
      <c r="AZ465" s="7"/>
      <c r="BA465" s="6"/>
    </row>
    <row r="466" ht="22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9"/>
      <c r="AW466" s="9"/>
      <c r="AX466" s="10"/>
      <c r="AY466" s="10"/>
      <c r="AZ466" s="7"/>
      <c r="BA466" s="6"/>
    </row>
    <row r="467" ht="22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9"/>
      <c r="AW467" s="9"/>
      <c r="AX467" s="10"/>
      <c r="AY467" s="10"/>
      <c r="AZ467" s="7"/>
      <c r="BA467" s="6"/>
    </row>
    <row r="468" ht="22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9"/>
      <c r="AW468" s="9"/>
      <c r="AX468" s="10"/>
      <c r="AY468" s="10"/>
      <c r="AZ468" s="7"/>
      <c r="BA468" s="6"/>
    </row>
    <row r="469" ht="22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9"/>
      <c r="AW469" s="9"/>
      <c r="AX469" s="10"/>
      <c r="AY469" s="10"/>
      <c r="AZ469" s="7"/>
      <c r="BA469" s="6"/>
    </row>
    <row r="470" ht="22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9"/>
      <c r="AW470" s="9"/>
      <c r="AX470" s="10"/>
      <c r="AY470" s="10"/>
      <c r="AZ470" s="7"/>
      <c r="BA470" s="6"/>
    </row>
    <row r="471" ht="22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9"/>
      <c r="AW471" s="9"/>
      <c r="AX471" s="10"/>
      <c r="AY471" s="10"/>
      <c r="AZ471" s="7"/>
      <c r="BA471" s="6"/>
    </row>
    <row r="472" ht="22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9"/>
      <c r="AW472" s="9"/>
      <c r="AX472" s="10"/>
      <c r="AY472" s="10"/>
      <c r="AZ472" s="7"/>
      <c r="BA472" s="6"/>
    </row>
    <row r="473" ht="22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9"/>
      <c r="AW473" s="9"/>
      <c r="AX473" s="10"/>
      <c r="AY473" s="10"/>
      <c r="AZ473" s="7"/>
      <c r="BA473" s="6"/>
    </row>
    <row r="474" ht="22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9"/>
      <c r="AW474" s="9"/>
      <c r="AX474" s="10"/>
      <c r="AY474" s="10"/>
      <c r="AZ474" s="7"/>
      <c r="BA474" s="6"/>
    </row>
    <row r="475" ht="22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9"/>
      <c r="AW475" s="9"/>
      <c r="AX475" s="10"/>
      <c r="AY475" s="10"/>
      <c r="AZ475" s="7"/>
      <c r="BA475" s="6"/>
    </row>
    <row r="476" ht="22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9"/>
      <c r="AW476" s="9"/>
      <c r="AX476" s="10"/>
      <c r="AY476" s="10"/>
      <c r="AZ476" s="7"/>
      <c r="BA476" s="6"/>
    </row>
    <row r="477" ht="22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9"/>
      <c r="AW477" s="9"/>
      <c r="AX477" s="10"/>
      <c r="AY477" s="10"/>
      <c r="AZ477" s="7"/>
      <c r="BA477" s="6"/>
    </row>
    <row r="478" ht="22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9"/>
      <c r="AW478" s="9"/>
      <c r="AX478" s="10"/>
      <c r="AY478" s="10"/>
      <c r="AZ478" s="7"/>
      <c r="BA478" s="6"/>
    </row>
    <row r="479" ht="22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9"/>
      <c r="AW479" s="9"/>
      <c r="AX479" s="10"/>
      <c r="AY479" s="10"/>
      <c r="AZ479" s="7"/>
      <c r="BA479" s="6"/>
    </row>
    <row r="480" ht="22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9"/>
      <c r="AW480" s="9"/>
      <c r="AX480" s="10"/>
      <c r="AY480" s="10"/>
      <c r="AZ480" s="7"/>
      <c r="BA480" s="6"/>
    </row>
    <row r="481" ht="22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9"/>
      <c r="AW481" s="9"/>
      <c r="AX481" s="10"/>
      <c r="AY481" s="10"/>
      <c r="AZ481" s="7"/>
      <c r="BA481" s="6"/>
    </row>
    <row r="482" ht="22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9"/>
      <c r="AW482" s="9"/>
      <c r="AX482" s="10"/>
      <c r="AY482" s="10"/>
      <c r="AZ482" s="7"/>
      <c r="BA482" s="6"/>
    </row>
    <row r="483" ht="22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9"/>
      <c r="AW483" s="9"/>
      <c r="AX483" s="10"/>
      <c r="AY483" s="10"/>
      <c r="AZ483" s="7"/>
      <c r="BA483" s="6"/>
    </row>
    <row r="484" ht="22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9"/>
      <c r="AW484" s="9"/>
      <c r="AX484" s="10"/>
      <c r="AY484" s="10"/>
      <c r="AZ484" s="7"/>
      <c r="BA484" s="6"/>
    </row>
    <row r="485" ht="22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9"/>
      <c r="AW485" s="9"/>
      <c r="AX485" s="10"/>
      <c r="AY485" s="10"/>
      <c r="AZ485" s="7"/>
      <c r="BA485" s="6"/>
    </row>
    <row r="486" ht="22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9"/>
      <c r="AW486" s="9"/>
      <c r="AX486" s="10"/>
      <c r="AY486" s="10"/>
      <c r="AZ486" s="7"/>
      <c r="BA486" s="6"/>
    </row>
    <row r="487" ht="22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9"/>
      <c r="AW487" s="9"/>
      <c r="AX487" s="10"/>
      <c r="AY487" s="10"/>
      <c r="AZ487" s="7"/>
      <c r="BA487" s="6"/>
    </row>
    <row r="488" ht="22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9"/>
      <c r="AW488" s="9"/>
      <c r="AX488" s="10"/>
      <c r="AY488" s="10"/>
      <c r="AZ488" s="7"/>
      <c r="BA488" s="6"/>
    </row>
    <row r="489" ht="22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9"/>
      <c r="AW489" s="9"/>
      <c r="AX489" s="10"/>
      <c r="AY489" s="10"/>
      <c r="AZ489" s="7"/>
      <c r="BA489" s="6"/>
    </row>
    <row r="490" ht="22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9"/>
      <c r="AW490" s="9"/>
      <c r="AX490" s="10"/>
      <c r="AY490" s="10"/>
      <c r="AZ490" s="7"/>
      <c r="BA490" s="6"/>
    </row>
    <row r="491" ht="22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9"/>
      <c r="AW491" s="9"/>
      <c r="AX491" s="10"/>
      <c r="AY491" s="10"/>
      <c r="AZ491" s="7"/>
      <c r="BA491" s="6"/>
    </row>
    <row r="492" ht="22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9"/>
      <c r="AW492" s="9"/>
      <c r="AX492" s="10"/>
      <c r="AY492" s="10"/>
      <c r="AZ492" s="7"/>
      <c r="BA492" s="6"/>
    </row>
    <row r="493" ht="22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9"/>
      <c r="AW493" s="9"/>
      <c r="AX493" s="10"/>
      <c r="AY493" s="10"/>
      <c r="AZ493" s="7"/>
      <c r="BA493" s="6"/>
    </row>
    <row r="494" ht="22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9"/>
      <c r="AW494" s="9"/>
      <c r="AX494" s="10"/>
      <c r="AY494" s="10"/>
      <c r="AZ494" s="7"/>
      <c r="BA494" s="6"/>
    </row>
    <row r="495" ht="22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9"/>
      <c r="AW495" s="9"/>
      <c r="AX495" s="10"/>
      <c r="AY495" s="10"/>
      <c r="AZ495" s="7"/>
      <c r="BA495" s="6"/>
    </row>
    <row r="496" ht="22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9"/>
      <c r="AW496" s="9"/>
      <c r="AX496" s="10"/>
      <c r="AY496" s="10"/>
      <c r="AZ496" s="7"/>
      <c r="BA496" s="6"/>
    </row>
    <row r="497" ht="22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9"/>
      <c r="AW497" s="9"/>
      <c r="AX497" s="10"/>
      <c r="AY497" s="10"/>
      <c r="AZ497" s="7"/>
      <c r="BA497" s="6"/>
    </row>
    <row r="498" ht="22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9"/>
      <c r="AW498" s="9"/>
      <c r="AX498" s="10"/>
      <c r="AY498" s="10"/>
      <c r="AZ498" s="7"/>
      <c r="BA498" s="6"/>
    </row>
    <row r="499" ht="22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9"/>
      <c r="AW499" s="9"/>
      <c r="AX499" s="10"/>
      <c r="AY499" s="10"/>
      <c r="AZ499" s="7"/>
      <c r="BA499" s="6"/>
    </row>
    <row r="500" ht="22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9"/>
      <c r="AW500" s="9"/>
      <c r="AX500" s="10"/>
      <c r="AY500" s="10"/>
      <c r="AZ500" s="7"/>
      <c r="BA500" s="6"/>
    </row>
    <row r="501" ht="22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9"/>
      <c r="AW501" s="9"/>
      <c r="AX501" s="10"/>
      <c r="AY501" s="10"/>
      <c r="AZ501" s="7"/>
      <c r="BA501" s="6"/>
    </row>
    <row r="502" ht="22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9"/>
      <c r="AW502" s="9"/>
      <c r="AX502" s="10"/>
      <c r="AY502" s="10"/>
      <c r="AZ502" s="7"/>
      <c r="BA502" s="6"/>
    </row>
    <row r="503" ht="22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9"/>
      <c r="AW503" s="9"/>
      <c r="AX503" s="10"/>
      <c r="AY503" s="10"/>
      <c r="AZ503" s="7"/>
      <c r="BA503" s="6"/>
    </row>
    <row r="504" ht="22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9"/>
      <c r="AW504" s="9"/>
      <c r="AX504" s="10"/>
      <c r="AY504" s="10"/>
      <c r="AZ504" s="7"/>
      <c r="BA504" s="6"/>
    </row>
    <row r="505" ht="22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9"/>
      <c r="AW505" s="9"/>
      <c r="AX505" s="10"/>
      <c r="AY505" s="10"/>
      <c r="AZ505" s="7"/>
      <c r="BA505" s="6"/>
    </row>
    <row r="506" ht="22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9"/>
      <c r="AW506" s="9"/>
      <c r="AX506" s="10"/>
      <c r="AY506" s="10"/>
      <c r="AZ506" s="7"/>
      <c r="BA506" s="6"/>
    </row>
    <row r="507" ht="22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9"/>
      <c r="AW507" s="9"/>
      <c r="AX507" s="10"/>
      <c r="AY507" s="10"/>
      <c r="AZ507" s="7"/>
      <c r="BA507" s="6"/>
    </row>
    <row r="508" ht="22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9"/>
      <c r="AW508" s="9"/>
      <c r="AX508" s="10"/>
      <c r="AY508" s="10"/>
      <c r="AZ508" s="7"/>
      <c r="BA508" s="6"/>
    </row>
    <row r="509" ht="22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9"/>
      <c r="AW509" s="9"/>
      <c r="AX509" s="10"/>
      <c r="AY509" s="10"/>
      <c r="AZ509" s="7"/>
      <c r="BA509" s="6"/>
    </row>
    <row r="510" ht="22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9"/>
      <c r="AW510" s="9"/>
      <c r="AX510" s="10"/>
      <c r="AY510" s="10"/>
      <c r="AZ510" s="7"/>
      <c r="BA510" s="6"/>
    </row>
    <row r="511" ht="22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9"/>
      <c r="AW511" s="9"/>
      <c r="AX511" s="10"/>
      <c r="AY511" s="10"/>
      <c r="AZ511" s="7"/>
      <c r="BA511" s="6"/>
    </row>
    <row r="512" ht="22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9"/>
      <c r="AW512" s="9"/>
      <c r="AX512" s="10"/>
      <c r="AY512" s="10"/>
      <c r="AZ512" s="7"/>
      <c r="BA512" s="6"/>
    </row>
    <row r="513" ht="22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9"/>
      <c r="AW513" s="9"/>
      <c r="AX513" s="10"/>
      <c r="AY513" s="10"/>
      <c r="AZ513" s="7"/>
      <c r="BA513" s="6"/>
    </row>
    <row r="514" ht="22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9"/>
      <c r="AW514" s="9"/>
      <c r="AX514" s="10"/>
      <c r="AY514" s="10"/>
      <c r="AZ514" s="7"/>
      <c r="BA514" s="6"/>
    </row>
    <row r="515" ht="22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9"/>
      <c r="AW515" s="9"/>
      <c r="AX515" s="10"/>
      <c r="AY515" s="10"/>
      <c r="AZ515" s="7"/>
      <c r="BA515" s="6"/>
    </row>
    <row r="516" ht="22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9"/>
      <c r="AW516" s="9"/>
      <c r="AX516" s="10"/>
      <c r="AY516" s="10"/>
      <c r="AZ516" s="7"/>
      <c r="BA516" s="6"/>
    </row>
    <row r="517" ht="22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9"/>
      <c r="AW517" s="9"/>
      <c r="AX517" s="10"/>
      <c r="AY517" s="10"/>
      <c r="AZ517" s="7"/>
      <c r="BA517" s="6"/>
    </row>
    <row r="518" ht="22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9"/>
      <c r="AW518" s="9"/>
      <c r="AX518" s="10"/>
      <c r="AY518" s="10"/>
      <c r="AZ518" s="7"/>
      <c r="BA518" s="6"/>
    </row>
    <row r="519" ht="22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9"/>
      <c r="AW519" s="9"/>
      <c r="AX519" s="10"/>
      <c r="AY519" s="10"/>
      <c r="AZ519" s="7"/>
      <c r="BA519" s="6"/>
    </row>
    <row r="520" ht="22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9"/>
      <c r="AW520" s="9"/>
      <c r="AX520" s="10"/>
      <c r="AY520" s="10"/>
      <c r="AZ520" s="7"/>
      <c r="BA520" s="6"/>
    </row>
    <row r="521" ht="22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9"/>
      <c r="AW521" s="9"/>
      <c r="AX521" s="10"/>
      <c r="AY521" s="10"/>
      <c r="AZ521" s="7"/>
      <c r="BA521" s="6"/>
    </row>
    <row r="522" ht="22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9"/>
      <c r="AW522" s="9"/>
      <c r="AX522" s="10"/>
      <c r="AY522" s="10"/>
      <c r="AZ522" s="7"/>
      <c r="BA522" s="6"/>
    </row>
    <row r="523" ht="22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9"/>
      <c r="AW523" s="9"/>
      <c r="AX523" s="10"/>
      <c r="AY523" s="10"/>
      <c r="AZ523" s="7"/>
      <c r="BA523" s="6"/>
    </row>
    <row r="524" ht="22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9"/>
      <c r="AW524" s="9"/>
      <c r="AX524" s="10"/>
      <c r="AY524" s="10"/>
      <c r="AZ524" s="7"/>
      <c r="BA524" s="6"/>
    </row>
    <row r="525" ht="22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9"/>
      <c r="AW525" s="9"/>
      <c r="AX525" s="10"/>
      <c r="AY525" s="10"/>
      <c r="AZ525" s="7"/>
      <c r="BA525" s="6"/>
    </row>
    <row r="526" ht="22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9"/>
      <c r="AW526" s="9"/>
      <c r="AX526" s="10"/>
      <c r="AY526" s="10"/>
      <c r="AZ526" s="7"/>
      <c r="BA526" s="6"/>
    </row>
    <row r="527" ht="22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9"/>
      <c r="AW527" s="9"/>
      <c r="AX527" s="10"/>
      <c r="AY527" s="10"/>
      <c r="AZ527" s="7"/>
      <c r="BA527" s="6"/>
    </row>
    <row r="528" ht="22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9"/>
      <c r="AW528" s="9"/>
      <c r="AX528" s="10"/>
      <c r="AY528" s="10"/>
      <c r="AZ528" s="7"/>
      <c r="BA528" s="6"/>
    </row>
    <row r="529" ht="22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9"/>
      <c r="AW529" s="9"/>
      <c r="AX529" s="10"/>
      <c r="AY529" s="10"/>
      <c r="AZ529" s="7"/>
      <c r="BA529" s="6"/>
    </row>
    <row r="530" ht="22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9"/>
      <c r="AW530" s="9"/>
      <c r="AX530" s="10"/>
      <c r="AY530" s="10"/>
      <c r="AZ530" s="7"/>
      <c r="BA530" s="6"/>
    </row>
    <row r="531" ht="22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9"/>
      <c r="AW531" s="9"/>
      <c r="AX531" s="10"/>
      <c r="AY531" s="10"/>
      <c r="AZ531" s="7"/>
      <c r="BA531" s="6"/>
    </row>
    <row r="532" ht="22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9"/>
      <c r="AW532" s="9"/>
      <c r="AX532" s="10"/>
      <c r="AY532" s="10"/>
      <c r="AZ532" s="7"/>
      <c r="BA532" s="6"/>
    </row>
    <row r="533" ht="22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9"/>
      <c r="AW533" s="9"/>
      <c r="AX533" s="10"/>
      <c r="AY533" s="10"/>
      <c r="AZ533" s="7"/>
      <c r="BA533" s="6"/>
    </row>
    <row r="534" ht="22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9"/>
      <c r="AW534" s="9"/>
      <c r="AX534" s="10"/>
      <c r="AY534" s="10"/>
      <c r="AZ534" s="7"/>
      <c r="BA534" s="6"/>
    </row>
    <row r="535" ht="22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9"/>
      <c r="AW535" s="9"/>
      <c r="AX535" s="10"/>
      <c r="AY535" s="10"/>
      <c r="AZ535" s="7"/>
      <c r="BA535" s="6"/>
    </row>
    <row r="536" ht="22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9"/>
      <c r="AW536" s="9"/>
      <c r="AX536" s="10"/>
      <c r="AY536" s="10"/>
      <c r="AZ536" s="7"/>
      <c r="BA536" s="6"/>
    </row>
    <row r="537" ht="22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9"/>
      <c r="AW537" s="9"/>
      <c r="AX537" s="10"/>
      <c r="AY537" s="10"/>
      <c r="AZ537" s="7"/>
      <c r="BA537" s="6"/>
    </row>
    <row r="538" ht="22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9"/>
      <c r="AW538" s="9"/>
      <c r="AX538" s="10"/>
      <c r="AY538" s="10"/>
      <c r="AZ538" s="7"/>
      <c r="BA538" s="6"/>
    </row>
    <row r="539" ht="22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9"/>
      <c r="AW539" s="9"/>
      <c r="AX539" s="10"/>
      <c r="AY539" s="10"/>
      <c r="AZ539" s="7"/>
      <c r="BA539" s="6"/>
    </row>
    <row r="540" ht="22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9"/>
      <c r="AW540" s="9"/>
      <c r="AX540" s="10"/>
      <c r="AY540" s="10"/>
      <c r="AZ540" s="7"/>
      <c r="BA540" s="6"/>
    </row>
    <row r="541" ht="22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9"/>
      <c r="AW541" s="9"/>
      <c r="AX541" s="10"/>
      <c r="AY541" s="10"/>
      <c r="AZ541" s="7"/>
      <c r="BA541" s="6"/>
    </row>
    <row r="542" ht="22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9"/>
      <c r="AW542" s="9"/>
      <c r="AX542" s="10"/>
      <c r="AY542" s="10"/>
      <c r="AZ542" s="7"/>
      <c r="BA542" s="6"/>
    </row>
    <row r="543" ht="22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9"/>
      <c r="AW543" s="9"/>
      <c r="AX543" s="10"/>
      <c r="AY543" s="10"/>
      <c r="AZ543" s="7"/>
      <c r="BA543" s="6"/>
    </row>
    <row r="544" ht="22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9"/>
      <c r="AW544" s="9"/>
      <c r="AX544" s="10"/>
      <c r="AY544" s="10"/>
      <c r="AZ544" s="7"/>
      <c r="BA544" s="6"/>
    </row>
    <row r="545" ht="22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9"/>
      <c r="AW545" s="9"/>
      <c r="AX545" s="10"/>
      <c r="AY545" s="10"/>
      <c r="AZ545" s="7"/>
      <c r="BA545" s="6"/>
    </row>
    <row r="546" ht="22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9"/>
      <c r="AW546" s="9"/>
      <c r="AX546" s="10"/>
      <c r="AY546" s="10"/>
      <c r="AZ546" s="7"/>
      <c r="BA546" s="6"/>
    </row>
    <row r="547" ht="22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9"/>
      <c r="AW547" s="9"/>
      <c r="AX547" s="10"/>
      <c r="AY547" s="10"/>
      <c r="AZ547" s="7"/>
      <c r="BA547" s="6"/>
    </row>
    <row r="548" ht="22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9"/>
      <c r="AW548" s="9"/>
      <c r="AX548" s="10"/>
      <c r="AY548" s="10"/>
      <c r="AZ548" s="7"/>
      <c r="BA548" s="6"/>
    </row>
    <row r="549" ht="22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9"/>
      <c r="AW549" s="9"/>
      <c r="AX549" s="10"/>
      <c r="AY549" s="10"/>
      <c r="AZ549" s="7"/>
      <c r="BA549" s="6"/>
    </row>
    <row r="550" ht="22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9"/>
      <c r="AW550" s="9"/>
      <c r="AX550" s="10"/>
      <c r="AY550" s="10"/>
      <c r="AZ550" s="7"/>
      <c r="BA550" s="6"/>
    </row>
    <row r="551" ht="22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9"/>
      <c r="AW551" s="9"/>
      <c r="AX551" s="10"/>
      <c r="AY551" s="10"/>
      <c r="AZ551" s="7"/>
      <c r="BA551" s="6"/>
    </row>
    <row r="552" ht="22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9"/>
      <c r="AW552" s="9"/>
      <c r="AX552" s="10"/>
      <c r="AY552" s="10"/>
      <c r="AZ552" s="7"/>
      <c r="BA552" s="6"/>
    </row>
    <row r="553" ht="22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9"/>
      <c r="AW553" s="9"/>
      <c r="AX553" s="10"/>
      <c r="AY553" s="10"/>
      <c r="AZ553" s="7"/>
      <c r="BA553" s="6"/>
    </row>
    <row r="554" ht="22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9"/>
      <c r="AW554" s="9"/>
      <c r="AX554" s="10"/>
      <c r="AY554" s="10"/>
      <c r="AZ554" s="7"/>
      <c r="BA554" s="6"/>
    </row>
    <row r="555" ht="22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9"/>
      <c r="AW555" s="9"/>
      <c r="AX555" s="10"/>
      <c r="AY555" s="10"/>
      <c r="AZ555" s="7"/>
      <c r="BA555" s="6"/>
    </row>
    <row r="556" ht="22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9"/>
      <c r="AW556" s="9"/>
      <c r="AX556" s="10"/>
      <c r="AY556" s="10"/>
      <c r="AZ556" s="7"/>
      <c r="BA556" s="6"/>
    </row>
    <row r="557" ht="22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9"/>
      <c r="AW557" s="9"/>
      <c r="AX557" s="10"/>
      <c r="AY557" s="10"/>
      <c r="AZ557" s="7"/>
      <c r="BA557" s="6"/>
    </row>
    <row r="558" ht="22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9"/>
      <c r="AW558" s="9"/>
      <c r="AX558" s="10"/>
      <c r="AY558" s="10"/>
      <c r="AZ558" s="7"/>
      <c r="BA558" s="6"/>
    </row>
    <row r="559" ht="22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9"/>
      <c r="AW559" s="9"/>
      <c r="AX559" s="10"/>
      <c r="AY559" s="10"/>
      <c r="AZ559" s="7"/>
      <c r="BA559" s="6"/>
    </row>
    <row r="560" ht="22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9"/>
      <c r="AW560" s="9"/>
      <c r="AX560" s="10"/>
      <c r="AY560" s="10"/>
      <c r="AZ560" s="7"/>
      <c r="BA560" s="6"/>
    </row>
    <row r="561" ht="22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9"/>
      <c r="AW561" s="9"/>
      <c r="AX561" s="10"/>
      <c r="AY561" s="10"/>
      <c r="AZ561" s="7"/>
      <c r="BA561" s="6"/>
    </row>
    <row r="562" ht="22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9"/>
      <c r="AW562" s="9"/>
      <c r="AX562" s="10"/>
      <c r="AY562" s="10"/>
      <c r="AZ562" s="7"/>
      <c r="BA562" s="6"/>
    </row>
    <row r="563" ht="22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9"/>
      <c r="AW563" s="9"/>
      <c r="AX563" s="10"/>
      <c r="AY563" s="10"/>
      <c r="AZ563" s="7"/>
      <c r="BA563" s="6"/>
    </row>
    <row r="564" ht="22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9"/>
      <c r="AW564" s="9"/>
      <c r="AX564" s="10"/>
      <c r="AY564" s="10"/>
      <c r="AZ564" s="7"/>
      <c r="BA564" s="6"/>
    </row>
    <row r="565" ht="22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9"/>
      <c r="AW565" s="9"/>
      <c r="AX565" s="10"/>
      <c r="AY565" s="10"/>
      <c r="AZ565" s="7"/>
      <c r="BA565" s="6"/>
    </row>
    <row r="566" ht="22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9"/>
      <c r="AW566" s="9"/>
      <c r="AX566" s="10"/>
      <c r="AY566" s="10"/>
      <c r="AZ566" s="7"/>
      <c r="BA566" s="6"/>
    </row>
    <row r="567" ht="22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9"/>
      <c r="AW567" s="9"/>
      <c r="AX567" s="10"/>
      <c r="AY567" s="10"/>
      <c r="AZ567" s="7"/>
      <c r="BA567" s="6"/>
    </row>
    <row r="568" ht="22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9"/>
      <c r="AW568" s="9"/>
      <c r="AX568" s="10"/>
      <c r="AY568" s="10"/>
      <c r="AZ568" s="7"/>
      <c r="BA568" s="6"/>
    </row>
    <row r="569" ht="22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9"/>
      <c r="AW569" s="9"/>
      <c r="AX569" s="10"/>
      <c r="AY569" s="10"/>
      <c r="AZ569" s="7"/>
      <c r="BA569" s="6"/>
    </row>
    <row r="570" ht="22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9"/>
      <c r="AW570" s="9"/>
      <c r="AX570" s="10"/>
      <c r="AY570" s="10"/>
      <c r="AZ570" s="7"/>
      <c r="BA570" s="6"/>
    </row>
    <row r="571" ht="22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9"/>
      <c r="AW571" s="9"/>
      <c r="AX571" s="10"/>
      <c r="AY571" s="10"/>
      <c r="AZ571" s="7"/>
      <c r="BA571" s="6"/>
    </row>
    <row r="572" ht="22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9"/>
      <c r="AW572" s="9"/>
      <c r="AX572" s="10"/>
      <c r="AY572" s="10"/>
      <c r="AZ572" s="7"/>
      <c r="BA572" s="6"/>
    </row>
    <row r="573" ht="22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9"/>
      <c r="AW573" s="9"/>
      <c r="AX573" s="10"/>
      <c r="AY573" s="10"/>
      <c r="AZ573" s="7"/>
      <c r="BA573" s="6"/>
    </row>
    <row r="574" ht="22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9"/>
      <c r="AW574" s="9"/>
      <c r="AX574" s="10"/>
      <c r="AY574" s="10"/>
      <c r="AZ574" s="7"/>
      <c r="BA574" s="6"/>
    </row>
    <row r="575" ht="22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9"/>
      <c r="AW575" s="9"/>
      <c r="AX575" s="10"/>
      <c r="AY575" s="10"/>
      <c r="AZ575" s="7"/>
      <c r="BA575" s="6"/>
    </row>
    <row r="576" ht="22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9"/>
      <c r="AW576" s="9"/>
      <c r="AX576" s="10"/>
      <c r="AY576" s="10"/>
      <c r="AZ576" s="7"/>
      <c r="BA576" s="6"/>
    </row>
    <row r="577" ht="22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9"/>
      <c r="AW577" s="9"/>
      <c r="AX577" s="10"/>
      <c r="AY577" s="10"/>
      <c r="AZ577" s="7"/>
      <c r="BA577" s="6"/>
    </row>
    <row r="578" ht="22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9"/>
      <c r="AW578" s="9"/>
      <c r="AX578" s="10"/>
      <c r="AY578" s="10"/>
      <c r="AZ578" s="7"/>
      <c r="BA578" s="6"/>
    </row>
    <row r="579" ht="22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9"/>
      <c r="AW579" s="9"/>
      <c r="AX579" s="10"/>
      <c r="AY579" s="10"/>
      <c r="AZ579" s="7"/>
      <c r="BA579" s="6"/>
    </row>
    <row r="580" ht="22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9"/>
      <c r="AW580" s="9"/>
      <c r="AX580" s="10"/>
      <c r="AY580" s="10"/>
      <c r="AZ580" s="7"/>
      <c r="BA580" s="6"/>
    </row>
    <row r="581" ht="22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9"/>
      <c r="AW581" s="9"/>
      <c r="AX581" s="10"/>
      <c r="AY581" s="10"/>
      <c r="AZ581" s="7"/>
      <c r="BA581" s="6"/>
    </row>
    <row r="582" ht="22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9"/>
      <c r="AW582" s="9"/>
      <c r="AX582" s="10"/>
      <c r="AY582" s="10"/>
      <c r="AZ582" s="7"/>
      <c r="BA582" s="6"/>
    </row>
    <row r="583" ht="22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9"/>
      <c r="AW583" s="9"/>
      <c r="AX583" s="10"/>
      <c r="AY583" s="10"/>
      <c r="AZ583" s="7"/>
      <c r="BA583" s="6"/>
    </row>
    <row r="584" ht="22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9"/>
      <c r="AW584" s="9"/>
      <c r="AX584" s="10"/>
      <c r="AY584" s="10"/>
      <c r="AZ584" s="7"/>
      <c r="BA584" s="6"/>
    </row>
    <row r="585" ht="22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9"/>
      <c r="AW585" s="9"/>
      <c r="AX585" s="10"/>
      <c r="AY585" s="10"/>
      <c r="AZ585" s="7"/>
      <c r="BA585" s="6"/>
    </row>
    <row r="586" ht="22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9"/>
      <c r="AW586" s="9"/>
      <c r="AX586" s="10"/>
      <c r="AY586" s="10"/>
      <c r="AZ586" s="7"/>
      <c r="BA586" s="6"/>
    </row>
    <row r="587" ht="22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9"/>
      <c r="AW587" s="9"/>
      <c r="AX587" s="10"/>
      <c r="AY587" s="10"/>
      <c r="AZ587" s="7"/>
      <c r="BA587" s="6"/>
    </row>
    <row r="588" ht="22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9"/>
      <c r="AW588" s="9"/>
      <c r="AX588" s="10"/>
      <c r="AY588" s="10"/>
      <c r="AZ588" s="7"/>
      <c r="BA588" s="6"/>
    </row>
    <row r="589" ht="22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9"/>
      <c r="AW589" s="9"/>
      <c r="AX589" s="10"/>
      <c r="AY589" s="10"/>
      <c r="AZ589" s="7"/>
      <c r="BA589" s="6"/>
    </row>
    <row r="590" ht="22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9"/>
      <c r="AW590" s="9"/>
      <c r="AX590" s="10"/>
      <c r="AY590" s="10"/>
      <c r="AZ590" s="7"/>
      <c r="BA590" s="6"/>
    </row>
    <row r="591" ht="22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9"/>
      <c r="AW591" s="9"/>
      <c r="AX591" s="10"/>
      <c r="AY591" s="10"/>
      <c r="AZ591" s="7"/>
      <c r="BA591" s="6"/>
    </row>
    <row r="592" ht="22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9"/>
      <c r="AW592" s="9"/>
      <c r="AX592" s="10"/>
      <c r="AY592" s="10"/>
      <c r="AZ592" s="7"/>
      <c r="BA592" s="6"/>
    </row>
    <row r="593" ht="22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9"/>
      <c r="AW593" s="9"/>
      <c r="AX593" s="10"/>
      <c r="AY593" s="10"/>
      <c r="AZ593" s="7"/>
      <c r="BA593" s="6"/>
    </row>
    <row r="594" ht="22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9"/>
      <c r="AW594" s="9"/>
      <c r="AX594" s="10"/>
      <c r="AY594" s="10"/>
      <c r="AZ594" s="7"/>
      <c r="BA594" s="6"/>
    </row>
    <row r="595" ht="22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9"/>
      <c r="AW595" s="9"/>
      <c r="AX595" s="10"/>
      <c r="AY595" s="10"/>
      <c r="AZ595" s="7"/>
      <c r="BA595" s="6"/>
    </row>
    <row r="596" ht="22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9"/>
      <c r="AW596" s="9"/>
      <c r="AX596" s="10"/>
      <c r="AY596" s="10"/>
      <c r="AZ596" s="7"/>
      <c r="BA596" s="6"/>
    </row>
    <row r="597" ht="22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9"/>
      <c r="AW597" s="9"/>
      <c r="AX597" s="10"/>
      <c r="AY597" s="10"/>
      <c r="AZ597" s="7"/>
      <c r="BA597" s="6"/>
    </row>
    <row r="598" ht="22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9"/>
      <c r="AW598" s="9"/>
      <c r="AX598" s="10"/>
      <c r="AY598" s="10"/>
      <c r="AZ598" s="7"/>
      <c r="BA598" s="6"/>
    </row>
    <row r="599" ht="22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9"/>
      <c r="AW599" s="9"/>
      <c r="AX599" s="10"/>
      <c r="AY599" s="10"/>
      <c r="AZ599" s="7"/>
      <c r="BA599" s="6"/>
    </row>
    <row r="600" ht="22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9"/>
      <c r="AW600" s="9"/>
      <c r="AX600" s="10"/>
      <c r="AY600" s="10"/>
      <c r="AZ600" s="7"/>
      <c r="BA600" s="6"/>
    </row>
    <row r="601" ht="22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9"/>
      <c r="AW601" s="9"/>
      <c r="AX601" s="10"/>
      <c r="AY601" s="10"/>
      <c r="AZ601" s="7"/>
      <c r="BA601" s="6"/>
    </row>
    <row r="602" ht="22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9"/>
      <c r="AW602" s="9"/>
      <c r="AX602" s="10"/>
      <c r="AY602" s="10"/>
      <c r="AZ602" s="7"/>
      <c r="BA602" s="6"/>
    </row>
    <row r="603" ht="22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9"/>
      <c r="AW603" s="9"/>
      <c r="AX603" s="10"/>
      <c r="AY603" s="10"/>
      <c r="AZ603" s="7"/>
      <c r="BA603" s="6"/>
    </row>
    <row r="604" ht="22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9"/>
      <c r="AW604" s="9"/>
      <c r="AX604" s="10"/>
      <c r="AY604" s="10"/>
      <c r="AZ604" s="7"/>
      <c r="BA604" s="6"/>
    </row>
    <row r="605" ht="22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9"/>
      <c r="AW605" s="9"/>
      <c r="AX605" s="10"/>
      <c r="AY605" s="10"/>
      <c r="AZ605" s="7"/>
      <c r="BA605" s="6"/>
    </row>
    <row r="606" ht="22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9"/>
      <c r="AW606" s="9"/>
      <c r="AX606" s="10"/>
      <c r="AY606" s="10"/>
      <c r="AZ606" s="7"/>
      <c r="BA606" s="6"/>
    </row>
    <row r="607" ht="22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9"/>
      <c r="AW607" s="9"/>
      <c r="AX607" s="10"/>
      <c r="AY607" s="10"/>
      <c r="AZ607" s="7"/>
      <c r="BA607" s="6"/>
    </row>
    <row r="608" ht="22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9"/>
      <c r="AW608" s="9"/>
      <c r="AX608" s="10"/>
      <c r="AY608" s="10"/>
      <c r="AZ608" s="7"/>
      <c r="BA608" s="6"/>
    </row>
    <row r="609" ht="22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9"/>
      <c r="AW609" s="9"/>
      <c r="AX609" s="10"/>
      <c r="AY609" s="10"/>
      <c r="AZ609" s="7"/>
      <c r="BA609" s="6"/>
    </row>
    <row r="610" ht="22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9"/>
      <c r="AW610" s="9"/>
      <c r="AX610" s="10"/>
      <c r="AY610" s="10"/>
      <c r="AZ610" s="7"/>
      <c r="BA610" s="6"/>
    </row>
    <row r="611" ht="22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9"/>
      <c r="AW611" s="9"/>
      <c r="AX611" s="10"/>
      <c r="AY611" s="10"/>
      <c r="AZ611" s="7"/>
      <c r="BA611" s="6"/>
    </row>
    <row r="612" ht="22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9"/>
      <c r="AW612" s="9"/>
      <c r="AX612" s="10"/>
      <c r="AY612" s="10"/>
      <c r="AZ612" s="7"/>
      <c r="BA612" s="6"/>
    </row>
    <row r="613" ht="22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9"/>
      <c r="AW613" s="9"/>
      <c r="AX613" s="10"/>
      <c r="AY613" s="10"/>
      <c r="AZ613" s="7"/>
      <c r="BA613" s="6"/>
    </row>
    <row r="614" ht="22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9"/>
      <c r="AW614" s="9"/>
      <c r="AX614" s="10"/>
      <c r="AY614" s="10"/>
      <c r="AZ614" s="7"/>
      <c r="BA614" s="6"/>
    </row>
    <row r="615" ht="22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9"/>
      <c r="AW615" s="9"/>
      <c r="AX615" s="10"/>
      <c r="AY615" s="10"/>
      <c r="AZ615" s="7"/>
      <c r="BA615" s="6"/>
    </row>
    <row r="616" ht="22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9"/>
      <c r="AW616" s="9"/>
      <c r="AX616" s="10"/>
      <c r="AY616" s="10"/>
      <c r="AZ616" s="7"/>
      <c r="BA616" s="6"/>
    </row>
    <row r="617" ht="22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9"/>
      <c r="AW617" s="9"/>
      <c r="AX617" s="10"/>
      <c r="AY617" s="10"/>
      <c r="AZ617" s="7"/>
      <c r="BA617" s="6"/>
    </row>
    <row r="618" ht="22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9"/>
      <c r="AW618" s="9"/>
      <c r="AX618" s="10"/>
      <c r="AY618" s="10"/>
      <c r="AZ618" s="7"/>
      <c r="BA618" s="6"/>
    </row>
    <row r="619" ht="22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9"/>
      <c r="AW619" s="9"/>
      <c r="AX619" s="10"/>
      <c r="AY619" s="10"/>
      <c r="AZ619" s="7"/>
      <c r="BA619" s="6"/>
    </row>
    <row r="620" ht="22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9"/>
      <c r="AW620" s="9"/>
      <c r="AX620" s="10"/>
      <c r="AY620" s="10"/>
      <c r="AZ620" s="7"/>
      <c r="BA620" s="6"/>
    </row>
    <row r="621" ht="22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9"/>
      <c r="AW621" s="9"/>
      <c r="AX621" s="10"/>
      <c r="AY621" s="10"/>
      <c r="AZ621" s="7"/>
      <c r="BA621" s="6"/>
    </row>
    <row r="622" ht="22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9"/>
      <c r="AW622" s="9"/>
      <c r="AX622" s="10"/>
      <c r="AY622" s="10"/>
      <c r="AZ622" s="7"/>
      <c r="BA622" s="6"/>
    </row>
    <row r="623" ht="22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9"/>
      <c r="AW623" s="9"/>
      <c r="AX623" s="10"/>
      <c r="AY623" s="10"/>
      <c r="AZ623" s="7"/>
      <c r="BA623" s="6"/>
    </row>
    <row r="624" ht="22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9"/>
      <c r="AW624" s="9"/>
      <c r="AX624" s="10"/>
      <c r="AY624" s="10"/>
      <c r="AZ624" s="7"/>
      <c r="BA624" s="6"/>
    </row>
    <row r="625" ht="22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9"/>
      <c r="AW625" s="9"/>
      <c r="AX625" s="10"/>
      <c r="AY625" s="10"/>
      <c r="AZ625" s="7"/>
      <c r="BA625" s="6"/>
    </row>
    <row r="626" ht="22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9"/>
      <c r="AW626" s="9"/>
      <c r="AX626" s="10"/>
      <c r="AY626" s="10"/>
      <c r="AZ626" s="7"/>
      <c r="BA626" s="6"/>
    </row>
    <row r="627" ht="22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9"/>
      <c r="AW627" s="9"/>
      <c r="AX627" s="10"/>
      <c r="AY627" s="10"/>
      <c r="AZ627" s="7"/>
      <c r="BA627" s="6"/>
    </row>
    <row r="628" ht="22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9"/>
      <c r="AW628" s="9"/>
      <c r="AX628" s="10"/>
      <c r="AY628" s="10"/>
      <c r="AZ628" s="7"/>
      <c r="BA628" s="6"/>
    </row>
    <row r="629" ht="22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9"/>
      <c r="AW629" s="9"/>
      <c r="AX629" s="10"/>
      <c r="AY629" s="10"/>
      <c r="AZ629" s="7"/>
      <c r="BA629" s="6"/>
    </row>
    <row r="630" ht="22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9"/>
      <c r="AW630" s="9"/>
      <c r="AX630" s="10"/>
      <c r="AY630" s="10"/>
      <c r="AZ630" s="7"/>
      <c r="BA630" s="6"/>
    </row>
    <row r="631" ht="22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9"/>
      <c r="AW631" s="9"/>
      <c r="AX631" s="10"/>
      <c r="AY631" s="10"/>
      <c r="AZ631" s="7"/>
      <c r="BA631" s="6"/>
    </row>
    <row r="632" ht="22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9"/>
      <c r="AW632" s="9"/>
      <c r="AX632" s="10"/>
      <c r="AY632" s="10"/>
      <c r="AZ632" s="7"/>
      <c r="BA632" s="6"/>
    </row>
    <row r="633" ht="22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9"/>
      <c r="AW633" s="9"/>
      <c r="AX633" s="10"/>
      <c r="AY633" s="10"/>
      <c r="AZ633" s="7"/>
      <c r="BA633" s="6"/>
    </row>
    <row r="634" ht="22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9"/>
      <c r="AW634" s="9"/>
      <c r="AX634" s="10"/>
      <c r="AY634" s="10"/>
      <c r="AZ634" s="7"/>
      <c r="BA634" s="6"/>
    </row>
    <row r="635" ht="22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9"/>
      <c r="AW635" s="9"/>
      <c r="AX635" s="10"/>
      <c r="AY635" s="10"/>
      <c r="AZ635" s="7"/>
      <c r="BA635" s="6"/>
    </row>
    <row r="636" ht="22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9"/>
      <c r="AW636" s="9"/>
      <c r="AX636" s="10"/>
      <c r="AY636" s="10"/>
      <c r="AZ636" s="7"/>
      <c r="BA636" s="6"/>
    </row>
    <row r="637" ht="22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9"/>
      <c r="AW637" s="9"/>
      <c r="AX637" s="10"/>
      <c r="AY637" s="10"/>
      <c r="AZ637" s="7"/>
      <c r="BA637" s="6"/>
    </row>
    <row r="638" ht="22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9"/>
      <c r="AW638" s="9"/>
      <c r="AX638" s="10"/>
      <c r="AY638" s="10"/>
      <c r="AZ638" s="7"/>
      <c r="BA638" s="6"/>
    </row>
    <row r="639" ht="22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9"/>
      <c r="AW639" s="9"/>
      <c r="AX639" s="10"/>
      <c r="AY639" s="10"/>
      <c r="AZ639" s="7"/>
      <c r="BA639" s="6"/>
    </row>
    <row r="640" ht="22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9"/>
      <c r="AW640" s="9"/>
      <c r="AX640" s="10"/>
      <c r="AY640" s="10"/>
      <c r="AZ640" s="7"/>
      <c r="BA640" s="6"/>
    </row>
    <row r="641" ht="22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9"/>
      <c r="AW641" s="9"/>
      <c r="AX641" s="10"/>
      <c r="AY641" s="10"/>
      <c r="AZ641" s="7"/>
      <c r="BA641" s="6"/>
    </row>
    <row r="642" ht="22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9"/>
      <c r="AW642" s="9"/>
      <c r="AX642" s="10"/>
      <c r="AY642" s="10"/>
      <c r="AZ642" s="7"/>
      <c r="BA642" s="6"/>
    </row>
    <row r="643" ht="22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9"/>
      <c r="AW643" s="9"/>
      <c r="AX643" s="10"/>
      <c r="AY643" s="10"/>
      <c r="AZ643" s="7"/>
      <c r="BA643" s="6"/>
    </row>
    <row r="644" ht="22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9"/>
      <c r="AW644" s="9"/>
      <c r="AX644" s="10"/>
      <c r="AY644" s="10"/>
      <c r="AZ644" s="7"/>
      <c r="BA644" s="6"/>
    </row>
    <row r="645" ht="22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9"/>
      <c r="AW645" s="9"/>
      <c r="AX645" s="10"/>
      <c r="AY645" s="10"/>
      <c r="AZ645" s="7"/>
      <c r="BA645" s="6"/>
    </row>
    <row r="646" ht="22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9"/>
      <c r="AW646" s="9"/>
      <c r="AX646" s="10"/>
      <c r="AY646" s="10"/>
      <c r="AZ646" s="7"/>
      <c r="BA646" s="6"/>
    </row>
    <row r="647" ht="22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9"/>
      <c r="AW647" s="9"/>
      <c r="AX647" s="10"/>
      <c r="AY647" s="10"/>
      <c r="AZ647" s="7"/>
      <c r="BA647" s="6"/>
    </row>
    <row r="648" ht="22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9"/>
      <c r="AW648" s="9"/>
      <c r="AX648" s="10"/>
      <c r="AY648" s="10"/>
      <c r="AZ648" s="7"/>
      <c r="BA648" s="6"/>
    </row>
    <row r="649" ht="22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9"/>
      <c r="AW649" s="9"/>
      <c r="AX649" s="10"/>
      <c r="AY649" s="10"/>
      <c r="AZ649" s="7"/>
      <c r="BA649" s="6"/>
    </row>
    <row r="650" ht="22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9"/>
      <c r="AW650" s="9"/>
      <c r="AX650" s="10"/>
      <c r="AY650" s="10"/>
      <c r="AZ650" s="7"/>
      <c r="BA650" s="6"/>
    </row>
    <row r="651" ht="22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9"/>
      <c r="AW651" s="9"/>
      <c r="AX651" s="10"/>
      <c r="AY651" s="10"/>
      <c r="AZ651" s="7"/>
      <c r="BA651" s="6"/>
    </row>
    <row r="652" ht="22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9"/>
      <c r="AW652" s="9"/>
      <c r="AX652" s="10"/>
      <c r="AY652" s="10"/>
      <c r="AZ652" s="7"/>
      <c r="BA652" s="6"/>
    </row>
    <row r="653" ht="22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9"/>
      <c r="AW653" s="9"/>
      <c r="AX653" s="10"/>
      <c r="AY653" s="10"/>
      <c r="AZ653" s="7"/>
      <c r="BA653" s="6"/>
    </row>
    <row r="654" ht="22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9"/>
      <c r="AW654" s="9"/>
      <c r="AX654" s="10"/>
      <c r="AY654" s="10"/>
      <c r="AZ654" s="7"/>
      <c r="BA654" s="6"/>
    </row>
    <row r="655" ht="22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9"/>
      <c r="AW655" s="9"/>
      <c r="AX655" s="10"/>
      <c r="AY655" s="10"/>
      <c r="AZ655" s="7"/>
      <c r="BA655" s="6"/>
    </row>
    <row r="656" ht="22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9"/>
      <c r="AW656" s="9"/>
      <c r="AX656" s="10"/>
      <c r="AY656" s="10"/>
      <c r="AZ656" s="7"/>
      <c r="BA656" s="6"/>
    </row>
    <row r="657" ht="22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9"/>
      <c r="AW657" s="9"/>
      <c r="AX657" s="10"/>
      <c r="AY657" s="10"/>
      <c r="AZ657" s="7"/>
      <c r="BA657" s="6"/>
    </row>
    <row r="658" ht="22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9"/>
      <c r="AW658" s="9"/>
      <c r="AX658" s="10"/>
      <c r="AY658" s="10"/>
      <c r="AZ658" s="7"/>
      <c r="BA658" s="6"/>
    </row>
    <row r="659" ht="22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9"/>
      <c r="AW659" s="9"/>
      <c r="AX659" s="10"/>
      <c r="AY659" s="10"/>
      <c r="AZ659" s="7"/>
      <c r="BA659" s="6"/>
    </row>
    <row r="660" ht="22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9"/>
      <c r="AW660" s="9"/>
      <c r="AX660" s="10"/>
      <c r="AY660" s="10"/>
      <c r="AZ660" s="7"/>
      <c r="BA660" s="6"/>
    </row>
    <row r="661" ht="22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9"/>
      <c r="AW661" s="9"/>
      <c r="AX661" s="10"/>
      <c r="AY661" s="10"/>
      <c r="AZ661" s="7"/>
      <c r="BA661" s="6"/>
    </row>
    <row r="662" ht="22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9"/>
      <c r="AW662" s="9"/>
      <c r="AX662" s="10"/>
      <c r="AY662" s="10"/>
      <c r="AZ662" s="7"/>
      <c r="BA662" s="6"/>
    </row>
    <row r="663" ht="22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9"/>
      <c r="AW663" s="9"/>
      <c r="AX663" s="10"/>
      <c r="AY663" s="10"/>
      <c r="AZ663" s="7"/>
      <c r="BA663" s="6"/>
    </row>
    <row r="664" ht="22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9"/>
      <c r="AW664" s="9"/>
      <c r="AX664" s="10"/>
      <c r="AY664" s="10"/>
      <c r="AZ664" s="7"/>
      <c r="BA664" s="6"/>
    </row>
    <row r="665" ht="22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9"/>
      <c r="AW665" s="9"/>
      <c r="AX665" s="10"/>
      <c r="AY665" s="10"/>
      <c r="AZ665" s="7"/>
      <c r="BA665" s="6"/>
    </row>
    <row r="666" ht="22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9"/>
      <c r="AW666" s="9"/>
      <c r="AX666" s="10"/>
      <c r="AY666" s="10"/>
      <c r="AZ666" s="7"/>
      <c r="BA666" s="6"/>
    </row>
    <row r="667" ht="22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9"/>
      <c r="AW667" s="9"/>
      <c r="AX667" s="10"/>
      <c r="AY667" s="10"/>
      <c r="AZ667" s="7"/>
      <c r="BA667" s="6"/>
    </row>
    <row r="668" ht="22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9"/>
      <c r="AW668" s="9"/>
      <c r="AX668" s="10"/>
      <c r="AY668" s="10"/>
      <c r="AZ668" s="7"/>
      <c r="BA668" s="6"/>
    </row>
    <row r="669" ht="22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9"/>
      <c r="AW669" s="9"/>
      <c r="AX669" s="10"/>
      <c r="AY669" s="10"/>
      <c r="AZ669" s="7"/>
      <c r="BA669" s="6"/>
    </row>
    <row r="670" ht="22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9"/>
      <c r="AW670" s="9"/>
      <c r="AX670" s="10"/>
      <c r="AY670" s="10"/>
      <c r="AZ670" s="7"/>
      <c r="BA670" s="6"/>
    </row>
    <row r="671" ht="22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9"/>
      <c r="AW671" s="9"/>
      <c r="AX671" s="10"/>
      <c r="AY671" s="10"/>
      <c r="AZ671" s="7"/>
      <c r="BA671" s="6"/>
    </row>
    <row r="672" ht="22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9"/>
      <c r="AW672" s="9"/>
      <c r="AX672" s="10"/>
      <c r="AY672" s="10"/>
      <c r="AZ672" s="7"/>
      <c r="BA672" s="6"/>
    </row>
    <row r="673" ht="22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9"/>
      <c r="AW673" s="9"/>
      <c r="AX673" s="10"/>
      <c r="AY673" s="10"/>
      <c r="AZ673" s="7"/>
      <c r="BA673" s="6"/>
    </row>
    <row r="674" ht="22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9"/>
      <c r="AW674" s="9"/>
      <c r="AX674" s="10"/>
      <c r="AY674" s="10"/>
      <c r="AZ674" s="7"/>
      <c r="BA674" s="6"/>
    </row>
    <row r="675" ht="22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9"/>
      <c r="AW675" s="9"/>
      <c r="AX675" s="10"/>
      <c r="AY675" s="10"/>
      <c r="AZ675" s="7"/>
      <c r="BA675" s="6"/>
    </row>
    <row r="676" ht="22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9"/>
      <c r="AW676" s="9"/>
      <c r="AX676" s="10"/>
      <c r="AY676" s="10"/>
      <c r="AZ676" s="7"/>
      <c r="BA676" s="6"/>
    </row>
    <row r="677" ht="22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9"/>
      <c r="AW677" s="9"/>
      <c r="AX677" s="10"/>
      <c r="AY677" s="10"/>
      <c r="AZ677" s="7"/>
      <c r="BA677" s="6"/>
    </row>
    <row r="678" ht="22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9"/>
      <c r="AW678" s="9"/>
      <c r="AX678" s="10"/>
      <c r="AY678" s="10"/>
      <c r="AZ678" s="7"/>
      <c r="BA678" s="6"/>
    </row>
    <row r="679" ht="22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9"/>
      <c r="AW679" s="9"/>
      <c r="AX679" s="10"/>
      <c r="AY679" s="10"/>
      <c r="AZ679" s="7"/>
      <c r="BA679" s="6"/>
    </row>
    <row r="680" ht="22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9"/>
      <c r="AW680" s="9"/>
      <c r="AX680" s="10"/>
      <c r="AY680" s="10"/>
      <c r="AZ680" s="7"/>
      <c r="BA680" s="6"/>
    </row>
    <row r="681" ht="22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9"/>
      <c r="AW681" s="9"/>
      <c r="AX681" s="10"/>
      <c r="AY681" s="10"/>
      <c r="AZ681" s="7"/>
      <c r="BA681" s="6"/>
    </row>
    <row r="682" ht="22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9"/>
      <c r="AW682" s="9"/>
      <c r="AX682" s="10"/>
      <c r="AY682" s="10"/>
      <c r="AZ682" s="7"/>
      <c r="BA682" s="6"/>
    </row>
    <row r="683" ht="22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9"/>
      <c r="AW683" s="9"/>
      <c r="AX683" s="10"/>
      <c r="AY683" s="10"/>
      <c r="AZ683" s="7"/>
      <c r="BA683" s="6"/>
    </row>
    <row r="684" ht="22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9"/>
      <c r="AW684" s="9"/>
      <c r="AX684" s="10"/>
      <c r="AY684" s="10"/>
      <c r="AZ684" s="7"/>
      <c r="BA684" s="6"/>
    </row>
    <row r="685" ht="22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9"/>
      <c r="AW685" s="9"/>
      <c r="AX685" s="10"/>
      <c r="AY685" s="10"/>
      <c r="AZ685" s="7"/>
      <c r="BA685" s="6"/>
    </row>
    <row r="686" ht="22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9"/>
      <c r="AW686" s="9"/>
      <c r="AX686" s="10"/>
      <c r="AY686" s="10"/>
      <c r="AZ686" s="7"/>
      <c r="BA686" s="6"/>
    </row>
    <row r="687" ht="22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9"/>
      <c r="AW687" s="9"/>
      <c r="AX687" s="10"/>
      <c r="AY687" s="10"/>
      <c r="AZ687" s="7"/>
      <c r="BA687" s="6"/>
    </row>
    <row r="688" ht="22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9"/>
      <c r="AW688" s="9"/>
      <c r="AX688" s="10"/>
      <c r="AY688" s="10"/>
      <c r="AZ688" s="7"/>
      <c r="BA688" s="6"/>
    </row>
    <row r="689" ht="22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9"/>
      <c r="AW689" s="9"/>
      <c r="AX689" s="10"/>
      <c r="AY689" s="10"/>
      <c r="AZ689" s="7"/>
      <c r="BA689" s="6"/>
    </row>
    <row r="690" ht="22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9"/>
      <c r="AW690" s="9"/>
      <c r="AX690" s="10"/>
      <c r="AY690" s="10"/>
      <c r="AZ690" s="7"/>
      <c r="BA690" s="6"/>
    </row>
    <row r="691" ht="22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9"/>
      <c r="AW691" s="9"/>
      <c r="AX691" s="10"/>
      <c r="AY691" s="10"/>
      <c r="AZ691" s="7"/>
      <c r="BA691" s="6"/>
    </row>
    <row r="692" ht="22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9"/>
      <c r="AW692" s="9"/>
      <c r="AX692" s="10"/>
      <c r="AY692" s="10"/>
      <c r="AZ692" s="7"/>
      <c r="BA692" s="6"/>
    </row>
    <row r="693" ht="22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9"/>
      <c r="AW693" s="9"/>
      <c r="AX693" s="10"/>
      <c r="AY693" s="10"/>
      <c r="AZ693" s="7"/>
      <c r="BA693" s="6"/>
    </row>
    <row r="694" ht="22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9"/>
      <c r="AW694" s="9"/>
      <c r="AX694" s="10"/>
      <c r="AY694" s="10"/>
      <c r="AZ694" s="7"/>
      <c r="BA694" s="6"/>
    </row>
    <row r="695" ht="22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9"/>
      <c r="AW695" s="9"/>
      <c r="AX695" s="10"/>
      <c r="AY695" s="10"/>
      <c r="AZ695" s="7"/>
      <c r="BA695" s="6"/>
    </row>
    <row r="696" ht="22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9"/>
      <c r="AW696" s="9"/>
      <c r="AX696" s="10"/>
      <c r="AY696" s="10"/>
      <c r="AZ696" s="7"/>
      <c r="BA696" s="6"/>
    </row>
    <row r="697" ht="22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9"/>
      <c r="AW697" s="9"/>
      <c r="AX697" s="10"/>
      <c r="AY697" s="10"/>
      <c r="AZ697" s="7"/>
      <c r="BA697" s="6"/>
    </row>
    <row r="698" ht="22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9"/>
      <c r="AW698" s="9"/>
      <c r="AX698" s="10"/>
      <c r="AY698" s="10"/>
      <c r="AZ698" s="7"/>
      <c r="BA698" s="6"/>
    </row>
    <row r="699" ht="22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9"/>
      <c r="AW699" s="9"/>
      <c r="AX699" s="10"/>
      <c r="AY699" s="10"/>
      <c r="AZ699" s="7"/>
      <c r="BA699" s="6"/>
    </row>
    <row r="700" ht="22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9"/>
      <c r="AW700" s="9"/>
      <c r="AX700" s="10"/>
      <c r="AY700" s="10"/>
      <c r="AZ700" s="7"/>
      <c r="BA700" s="6"/>
    </row>
    <row r="701" ht="22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9"/>
      <c r="AW701" s="9"/>
      <c r="AX701" s="10"/>
      <c r="AY701" s="10"/>
      <c r="AZ701" s="7"/>
      <c r="BA701" s="6"/>
    </row>
    <row r="702" ht="22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9"/>
      <c r="AW702" s="9"/>
      <c r="AX702" s="10"/>
      <c r="AY702" s="10"/>
      <c r="AZ702" s="7"/>
      <c r="BA702" s="6"/>
    </row>
    <row r="703" ht="22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9"/>
      <c r="AW703" s="9"/>
      <c r="AX703" s="10"/>
      <c r="AY703" s="10"/>
      <c r="AZ703" s="7"/>
      <c r="BA703" s="6"/>
    </row>
    <row r="704" ht="22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9"/>
      <c r="AW704" s="9"/>
      <c r="AX704" s="10"/>
      <c r="AY704" s="10"/>
      <c r="AZ704" s="7"/>
      <c r="BA704" s="6"/>
    </row>
    <row r="705" ht="22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9"/>
      <c r="AW705" s="9"/>
      <c r="AX705" s="10"/>
      <c r="AY705" s="10"/>
      <c r="AZ705" s="7"/>
      <c r="BA705" s="6"/>
    </row>
    <row r="706" ht="22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9"/>
      <c r="AW706" s="9"/>
      <c r="AX706" s="10"/>
      <c r="AY706" s="10"/>
      <c r="AZ706" s="7"/>
      <c r="BA706" s="6"/>
    </row>
    <row r="707" ht="22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9"/>
      <c r="AW707" s="9"/>
      <c r="AX707" s="10"/>
      <c r="AY707" s="10"/>
      <c r="AZ707" s="7"/>
      <c r="BA707" s="6"/>
    </row>
    <row r="708" ht="22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9"/>
      <c r="AW708" s="9"/>
      <c r="AX708" s="10"/>
      <c r="AY708" s="10"/>
      <c r="AZ708" s="7"/>
      <c r="BA708" s="6"/>
    </row>
    <row r="709" ht="22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9"/>
      <c r="AW709" s="9"/>
      <c r="AX709" s="10"/>
      <c r="AY709" s="10"/>
      <c r="AZ709" s="7"/>
      <c r="BA709" s="6"/>
    </row>
    <row r="710" ht="22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9"/>
      <c r="AW710" s="9"/>
      <c r="AX710" s="10"/>
      <c r="AY710" s="10"/>
      <c r="AZ710" s="7"/>
      <c r="BA710" s="6"/>
    </row>
    <row r="711" ht="22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9"/>
      <c r="AW711" s="9"/>
      <c r="AX711" s="10"/>
      <c r="AY711" s="10"/>
      <c r="AZ711" s="7"/>
      <c r="BA711" s="6"/>
    </row>
    <row r="712" ht="22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9"/>
      <c r="AW712" s="9"/>
      <c r="AX712" s="10"/>
      <c r="AY712" s="10"/>
      <c r="AZ712" s="7"/>
      <c r="BA712" s="6"/>
    </row>
    <row r="713" ht="22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9"/>
      <c r="AW713" s="9"/>
      <c r="AX713" s="10"/>
      <c r="AY713" s="10"/>
      <c r="AZ713" s="7"/>
      <c r="BA713" s="6"/>
    </row>
    <row r="714" ht="22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9"/>
      <c r="AW714" s="9"/>
      <c r="AX714" s="10"/>
      <c r="AY714" s="10"/>
      <c r="AZ714" s="7"/>
      <c r="BA714" s="6"/>
    </row>
    <row r="715" ht="22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9"/>
      <c r="AW715" s="9"/>
      <c r="AX715" s="10"/>
      <c r="AY715" s="10"/>
      <c r="AZ715" s="7"/>
      <c r="BA715" s="6"/>
    </row>
    <row r="716" ht="22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9"/>
      <c r="AW716" s="9"/>
      <c r="AX716" s="10"/>
      <c r="AY716" s="10"/>
      <c r="AZ716" s="7"/>
      <c r="BA716" s="6"/>
    </row>
    <row r="717" ht="22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9"/>
      <c r="AW717" s="9"/>
      <c r="AX717" s="10"/>
      <c r="AY717" s="10"/>
      <c r="AZ717" s="7"/>
      <c r="BA717" s="6"/>
    </row>
    <row r="718" ht="22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9"/>
      <c r="AW718" s="9"/>
      <c r="AX718" s="10"/>
      <c r="AY718" s="10"/>
      <c r="AZ718" s="7"/>
      <c r="BA718" s="6"/>
    </row>
    <row r="719" ht="22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9"/>
      <c r="AW719" s="9"/>
      <c r="AX719" s="10"/>
      <c r="AY719" s="10"/>
      <c r="AZ719" s="7"/>
      <c r="BA719" s="6"/>
    </row>
    <row r="720" ht="22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9"/>
      <c r="AW720" s="9"/>
      <c r="AX720" s="10"/>
      <c r="AY720" s="10"/>
      <c r="AZ720" s="7"/>
      <c r="BA720" s="6"/>
    </row>
    <row r="721" ht="22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9"/>
      <c r="AW721" s="9"/>
      <c r="AX721" s="10"/>
      <c r="AY721" s="10"/>
      <c r="AZ721" s="7"/>
      <c r="BA721" s="6"/>
    </row>
    <row r="722" ht="22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9"/>
      <c r="AW722" s="9"/>
      <c r="AX722" s="10"/>
      <c r="AY722" s="10"/>
      <c r="AZ722" s="7"/>
      <c r="BA722" s="6"/>
    </row>
    <row r="723" ht="22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9"/>
      <c r="AW723" s="9"/>
      <c r="AX723" s="10"/>
      <c r="AY723" s="10"/>
      <c r="AZ723" s="7"/>
      <c r="BA723" s="6"/>
    </row>
    <row r="724" ht="22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9"/>
      <c r="AW724" s="9"/>
      <c r="AX724" s="10"/>
      <c r="AY724" s="10"/>
      <c r="AZ724" s="7"/>
      <c r="BA724" s="6"/>
    </row>
    <row r="725" ht="22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9"/>
      <c r="AW725" s="9"/>
      <c r="AX725" s="10"/>
      <c r="AY725" s="10"/>
      <c r="AZ725" s="7"/>
      <c r="BA725" s="6"/>
    </row>
    <row r="726" ht="22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9"/>
      <c r="AW726" s="9"/>
      <c r="AX726" s="10"/>
      <c r="AY726" s="10"/>
      <c r="AZ726" s="7"/>
      <c r="BA726" s="6"/>
    </row>
    <row r="727" ht="22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9"/>
      <c r="AW727" s="9"/>
      <c r="AX727" s="10"/>
      <c r="AY727" s="10"/>
      <c r="AZ727" s="7"/>
      <c r="BA727" s="6"/>
    </row>
    <row r="728" ht="22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9"/>
      <c r="AW728" s="9"/>
      <c r="AX728" s="10"/>
      <c r="AY728" s="10"/>
      <c r="AZ728" s="7"/>
      <c r="BA728" s="6"/>
    </row>
    <row r="729" ht="22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9"/>
      <c r="AW729" s="9"/>
      <c r="AX729" s="10"/>
      <c r="AY729" s="10"/>
      <c r="AZ729" s="7"/>
      <c r="BA729" s="6"/>
    </row>
    <row r="730" ht="22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9"/>
      <c r="AW730" s="9"/>
      <c r="AX730" s="10"/>
      <c r="AY730" s="10"/>
      <c r="AZ730" s="7"/>
      <c r="BA730" s="6"/>
    </row>
    <row r="731" ht="22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9"/>
      <c r="AW731" s="9"/>
      <c r="AX731" s="10"/>
      <c r="AY731" s="10"/>
      <c r="AZ731" s="7"/>
      <c r="BA731" s="6"/>
    </row>
    <row r="732" ht="22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9"/>
      <c r="AW732" s="9"/>
      <c r="AX732" s="10"/>
      <c r="AY732" s="10"/>
      <c r="AZ732" s="7"/>
      <c r="BA732" s="6"/>
    </row>
    <row r="733" ht="22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9"/>
      <c r="AW733" s="9"/>
      <c r="AX733" s="10"/>
      <c r="AY733" s="10"/>
      <c r="AZ733" s="7"/>
      <c r="BA733" s="6"/>
    </row>
    <row r="734" ht="22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9"/>
      <c r="AW734" s="9"/>
      <c r="AX734" s="10"/>
      <c r="AY734" s="10"/>
      <c r="AZ734" s="7"/>
      <c r="BA734" s="6"/>
    </row>
    <row r="735" ht="22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9"/>
      <c r="AW735" s="9"/>
      <c r="AX735" s="10"/>
      <c r="AY735" s="10"/>
      <c r="AZ735" s="7"/>
      <c r="BA735" s="6"/>
    </row>
    <row r="736" ht="22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9"/>
      <c r="AW736" s="9"/>
      <c r="AX736" s="10"/>
      <c r="AY736" s="10"/>
      <c r="AZ736" s="7"/>
      <c r="BA736" s="6"/>
    </row>
    <row r="737" ht="22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9"/>
      <c r="AW737" s="9"/>
      <c r="AX737" s="10"/>
      <c r="AY737" s="10"/>
      <c r="AZ737" s="7"/>
      <c r="BA737" s="6"/>
    </row>
    <row r="738" ht="22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9"/>
      <c r="AW738" s="9"/>
      <c r="AX738" s="10"/>
      <c r="AY738" s="10"/>
      <c r="AZ738" s="7"/>
      <c r="BA738" s="6"/>
    </row>
    <row r="739" ht="22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9"/>
      <c r="AW739" s="9"/>
      <c r="AX739" s="10"/>
      <c r="AY739" s="10"/>
      <c r="AZ739" s="7"/>
      <c r="BA739" s="6"/>
    </row>
    <row r="740" ht="22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9"/>
      <c r="AW740" s="9"/>
      <c r="AX740" s="10"/>
      <c r="AY740" s="10"/>
      <c r="AZ740" s="7"/>
      <c r="BA740" s="6"/>
    </row>
    <row r="741" ht="22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9"/>
      <c r="AW741" s="9"/>
      <c r="AX741" s="10"/>
      <c r="AY741" s="10"/>
      <c r="AZ741" s="7"/>
      <c r="BA741" s="6"/>
    </row>
    <row r="742" ht="22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9"/>
      <c r="AW742" s="9"/>
      <c r="AX742" s="10"/>
      <c r="AY742" s="10"/>
      <c r="AZ742" s="7"/>
      <c r="BA742" s="6"/>
    </row>
    <row r="743" ht="22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9"/>
      <c r="AW743" s="9"/>
      <c r="AX743" s="10"/>
      <c r="AY743" s="10"/>
      <c r="AZ743" s="7"/>
      <c r="BA743" s="6"/>
    </row>
    <row r="744" ht="22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9"/>
      <c r="AW744" s="9"/>
      <c r="AX744" s="10"/>
      <c r="AY744" s="10"/>
      <c r="AZ744" s="7"/>
      <c r="BA744" s="6"/>
    </row>
    <row r="745" ht="22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9"/>
      <c r="AW745" s="9"/>
      <c r="AX745" s="10"/>
      <c r="AY745" s="10"/>
      <c r="AZ745" s="7"/>
      <c r="BA745" s="6"/>
    </row>
    <row r="746" ht="22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9"/>
      <c r="AW746" s="9"/>
      <c r="AX746" s="10"/>
      <c r="AY746" s="10"/>
      <c r="AZ746" s="7"/>
      <c r="BA746" s="6"/>
    </row>
    <row r="747" ht="22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9"/>
      <c r="AW747" s="9"/>
      <c r="AX747" s="10"/>
      <c r="AY747" s="10"/>
      <c r="AZ747" s="7"/>
      <c r="BA747" s="6"/>
    </row>
    <row r="748" ht="22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9"/>
      <c r="AW748" s="9"/>
      <c r="AX748" s="10"/>
      <c r="AY748" s="10"/>
      <c r="AZ748" s="7"/>
      <c r="BA748" s="6"/>
    </row>
    <row r="749" ht="22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9"/>
      <c r="AW749" s="9"/>
      <c r="AX749" s="10"/>
      <c r="AY749" s="10"/>
      <c r="AZ749" s="7"/>
      <c r="BA749" s="6"/>
    </row>
    <row r="750" ht="22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9"/>
      <c r="AW750" s="9"/>
      <c r="AX750" s="10"/>
      <c r="AY750" s="10"/>
      <c r="AZ750" s="7"/>
      <c r="BA750" s="6"/>
    </row>
    <row r="751" ht="22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9"/>
      <c r="AW751" s="9"/>
      <c r="AX751" s="10"/>
      <c r="AY751" s="10"/>
      <c r="AZ751" s="7"/>
      <c r="BA751" s="6"/>
    </row>
    <row r="752" ht="22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9"/>
      <c r="AW752" s="9"/>
      <c r="AX752" s="10"/>
      <c r="AY752" s="10"/>
      <c r="AZ752" s="7"/>
      <c r="BA752" s="6"/>
    </row>
    <row r="753" ht="22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9"/>
      <c r="AW753" s="9"/>
      <c r="AX753" s="10"/>
      <c r="AY753" s="10"/>
      <c r="AZ753" s="7"/>
      <c r="BA753" s="6"/>
    </row>
    <row r="754" ht="22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9"/>
      <c r="AW754" s="9"/>
      <c r="AX754" s="10"/>
      <c r="AY754" s="10"/>
      <c r="AZ754" s="7"/>
      <c r="BA754" s="6"/>
    </row>
    <row r="755" ht="22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9"/>
      <c r="AW755" s="9"/>
      <c r="AX755" s="10"/>
      <c r="AY755" s="10"/>
      <c r="AZ755" s="7"/>
      <c r="BA755" s="6"/>
    </row>
    <row r="756" ht="22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9"/>
      <c r="AW756" s="9"/>
      <c r="AX756" s="10"/>
      <c r="AY756" s="10"/>
      <c r="AZ756" s="7"/>
      <c r="BA756" s="6"/>
    </row>
    <row r="757" ht="22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9"/>
      <c r="AW757" s="9"/>
      <c r="AX757" s="10"/>
      <c r="AY757" s="10"/>
      <c r="AZ757" s="7"/>
      <c r="BA757" s="6"/>
    </row>
    <row r="758" ht="22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9"/>
      <c r="AW758" s="9"/>
      <c r="AX758" s="10"/>
      <c r="AY758" s="10"/>
      <c r="AZ758" s="7"/>
      <c r="BA758" s="6"/>
    </row>
    <row r="759" ht="22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9"/>
      <c r="AW759" s="9"/>
      <c r="AX759" s="10"/>
      <c r="AY759" s="10"/>
      <c r="AZ759" s="7"/>
      <c r="BA759" s="6"/>
    </row>
    <row r="760" ht="22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9"/>
      <c r="AW760" s="9"/>
      <c r="AX760" s="10"/>
      <c r="AY760" s="10"/>
      <c r="AZ760" s="7"/>
      <c r="BA760" s="6"/>
    </row>
    <row r="761" ht="22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9"/>
      <c r="AW761" s="9"/>
      <c r="AX761" s="10"/>
      <c r="AY761" s="10"/>
      <c r="AZ761" s="7"/>
      <c r="BA761" s="6"/>
    </row>
    <row r="762" ht="22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9"/>
      <c r="AW762" s="9"/>
      <c r="AX762" s="10"/>
      <c r="AY762" s="10"/>
      <c r="AZ762" s="7"/>
      <c r="BA762" s="6"/>
    </row>
    <row r="763" ht="22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9"/>
      <c r="AW763" s="9"/>
      <c r="AX763" s="10"/>
      <c r="AY763" s="10"/>
      <c r="AZ763" s="7"/>
      <c r="BA763" s="6"/>
    </row>
    <row r="764" ht="22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9"/>
      <c r="AW764" s="9"/>
      <c r="AX764" s="10"/>
      <c r="AY764" s="10"/>
      <c r="AZ764" s="7"/>
      <c r="BA764" s="6"/>
    </row>
    <row r="765" ht="22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9"/>
      <c r="AW765" s="9"/>
      <c r="AX765" s="10"/>
      <c r="AY765" s="10"/>
      <c r="AZ765" s="7"/>
      <c r="BA765" s="6"/>
    </row>
    <row r="766" ht="22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9"/>
      <c r="AW766" s="9"/>
      <c r="AX766" s="10"/>
      <c r="AY766" s="10"/>
      <c r="AZ766" s="7"/>
      <c r="BA766" s="6"/>
    </row>
    <row r="767" ht="22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9"/>
      <c r="AW767" s="9"/>
      <c r="AX767" s="10"/>
      <c r="AY767" s="10"/>
      <c r="AZ767" s="7"/>
      <c r="BA767" s="6"/>
    </row>
    <row r="768" ht="22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9"/>
      <c r="AW768" s="9"/>
      <c r="AX768" s="10"/>
      <c r="AY768" s="10"/>
      <c r="AZ768" s="7"/>
      <c r="BA768" s="6"/>
    </row>
    <row r="769" ht="22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9"/>
      <c r="AW769" s="9"/>
      <c r="AX769" s="10"/>
      <c r="AY769" s="10"/>
      <c r="AZ769" s="7"/>
      <c r="BA769" s="6"/>
    </row>
    <row r="770" ht="22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9"/>
      <c r="AW770" s="9"/>
      <c r="AX770" s="10"/>
      <c r="AY770" s="10"/>
      <c r="AZ770" s="7"/>
      <c r="BA770" s="6"/>
    </row>
    <row r="771" ht="22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9"/>
      <c r="AW771" s="9"/>
      <c r="AX771" s="10"/>
      <c r="AY771" s="10"/>
      <c r="AZ771" s="7"/>
      <c r="BA771" s="6"/>
    </row>
    <row r="772" ht="22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9"/>
      <c r="AW772" s="9"/>
      <c r="AX772" s="10"/>
      <c r="AY772" s="10"/>
      <c r="AZ772" s="7"/>
      <c r="BA772" s="6"/>
    </row>
    <row r="773" ht="22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9"/>
      <c r="AW773" s="9"/>
      <c r="AX773" s="10"/>
      <c r="AY773" s="10"/>
      <c r="AZ773" s="7"/>
      <c r="BA773" s="6"/>
    </row>
    <row r="774" ht="22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9"/>
      <c r="AW774" s="9"/>
      <c r="AX774" s="10"/>
      <c r="AY774" s="10"/>
      <c r="AZ774" s="7"/>
      <c r="BA774" s="6"/>
    </row>
    <row r="775" ht="22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9"/>
      <c r="AW775" s="9"/>
      <c r="AX775" s="10"/>
      <c r="AY775" s="10"/>
      <c r="AZ775" s="7"/>
      <c r="BA775" s="6"/>
    </row>
    <row r="776" ht="22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9"/>
      <c r="AW776" s="9"/>
      <c r="AX776" s="10"/>
      <c r="AY776" s="10"/>
      <c r="AZ776" s="7"/>
      <c r="BA776" s="6"/>
    </row>
    <row r="777" ht="22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9"/>
      <c r="AW777" s="9"/>
      <c r="AX777" s="10"/>
      <c r="AY777" s="10"/>
      <c r="AZ777" s="7"/>
      <c r="BA777" s="6"/>
    </row>
    <row r="778" ht="22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9"/>
      <c r="AW778" s="9"/>
      <c r="AX778" s="10"/>
      <c r="AY778" s="10"/>
      <c r="AZ778" s="7"/>
      <c r="BA778" s="6"/>
    </row>
    <row r="779" ht="22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9"/>
      <c r="AW779" s="9"/>
      <c r="AX779" s="10"/>
      <c r="AY779" s="10"/>
      <c r="AZ779" s="7"/>
      <c r="BA779" s="6"/>
    </row>
    <row r="780" ht="22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9"/>
      <c r="AW780" s="9"/>
      <c r="AX780" s="10"/>
      <c r="AY780" s="10"/>
      <c r="AZ780" s="7"/>
      <c r="BA780" s="6"/>
    </row>
    <row r="781" ht="22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9"/>
      <c r="AW781" s="9"/>
      <c r="AX781" s="10"/>
      <c r="AY781" s="10"/>
      <c r="AZ781" s="7"/>
      <c r="BA781" s="6"/>
    </row>
    <row r="782" ht="22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9"/>
      <c r="AW782" s="9"/>
      <c r="AX782" s="10"/>
      <c r="AY782" s="10"/>
      <c r="AZ782" s="7"/>
      <c r="BA782" s="6"/>
    </row>
    <row r="783" ht="22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9"/>
      <c r="AW783" s="9"/>
      <c r="AX783" s="10"/>
      <c r="AY783" s="10"/>
      <c r="AZ783" s="7"/>
      <c r="BA783" s="6"/>
    </row>
    <row r="784" ht="22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9"/>
      <c r="AW784" s="9"/>
      <c r="AX784" s="10"/>
      <c r="AY784" s="10"/>
      <c r="AZ784" s="7"/>
      <c r="BA784" s="6"/>
    </row>
    <row r="785" ht="22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9"/>
      <c r="AW785" s="9"/>
      <c r="AX785" s="10"/>
      <c r="AY785" s="10"/>
      <c r="AZ785" s="7"/>
      <c r="BA785" s="6"/>
    </row>
    <row r="786" ht="22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9"/>
      <c r="AW786" s="9"/>
      <c r="AX786" s="10"/>
      <c r="AY786" s="10"/>
      <c r="AZ786" s="7"/>
      <c r="BA786" s="6"/>
    </row>
    <row r="787" ht="22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9"/>
      <c r="AW787" s="9"/>
      <c r="AX787" s="10"/>
      <c r="AY787" s="10"/>
      <c r="AZ787" s="7"/>
      <c r="BA787" s="6"/>
    </row>
    <row r="788" ht="22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9"/>
      <c r="AW788" s="9"/>
      <c r="AX788" s="10"/>
      <c r="AY788" s="10"/>
      <c r="AZ788" s="7"/>
      <c r="BA788" s="6"/>
    </row>
    <row r="789" ht="22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9"/>
      <c r="AW789" s="9"/>
      <c r="AX789" s="10"/>
      <c r="AY789" s="10"/>
      <c r="AZ789" s="7"/>
      <c r="BA789" s="6"/>
    </row>
    <row r="790" ht="22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9"/>
      <c r="AW790" s="9"/>
      <c r="AX790" s="10"/>
      <c r="AY790" s="10"/>
      <c r="AZ790" s="7"/>
      <c r="BA790" s="6"/>
    </row>
    <row r="791" ht="22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9"/>
      <c r="AW791" s="9"/>
      <c r="AX791" s="10"/>
      <c r="AY791" s="10"/>
      <c r="AZ791" s="7"/>
      <c r="BA791" s="6"/>
    </row>
    <row r="792" ht="22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9"/>
      <c r="AW792" s="9"/>
      <c r="AX792" s="10"/>
      <c r="AY792" s="10"/>
      <c r="AZ792" s="7"/>
      <c r="BA792" s="6"/>
    </row>
    <row r="793" ht="22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9"/>
      <c r="AW793" s="9"/>
      <c r="AX793" s="10"/>
      <c r="AY793" s="10"/>
      <c r="AZ793" s="7"/>
      <c r="BA793" s="6"/>
    </row>
    <row r="794" ht="22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9"/>
      <c r="AW794" s="9"/>
      <c r="AX794" s="10"/>
      <c r="AY794" s="10"/>
      <c r="AZ794" s="7"/>
      <c r="BA794" s="6"/>
    </row>
    <row r="795" ht="22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9"/>
      <c r="AW795" s="9"/>
      <c r="AX795" s="10"/>
      <c r="AY795" s="10"/>
      <c r="AZ795" s="7"/>
      <c r="BA795" s="6"/>
    </row>
    <row r="796" ht="22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9"/>
      <c r="AW796" s="9"/>
      <c r="AX796" s="10"/>
      <c r="AY796" s="10"/>
      <c r="AZ796" s="7"/>
      <c r="BA796" s="6"/>
    </row>
    <row r="797" ht="22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9"/>
      <c r="AW797" s="9"/>
      <c r="AX797" s="10"/>
      <c r="AY797" s="10"/>
      <c r="AZ797" s="7"/>
      <c r="BA797" s="6"/>
    </row>
    <row r="798" ht="22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9"/>
      <c r="AW798" s="9"/>
      <c r="AX798" s="10"/>
      <c r="AY798" s="10"/>
      <c r="AZ798" s="7"/>
      <c r="BA798" s="6"/>
    </row>
    <row r="799" ht="22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9"/>
      <c r="AW799" s="9"/>
      <c r="AX799" s="10"/>
      <c r="AY799" s="10"/>
      <c r="AZ799" s="7"/>
      <c r="BA799" s="6"/>
    </row>
    <row r="800" ht="22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9"/>
      <c r="AW800" s="9"/>
      <c r="AX800" s="10"/>
      <c r="AY800" s="10"/>
      <c r="AZ800" s="7"/>
      <c r="BA800" s="6"/>
    </row>
    <row r="801" ht="22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9"/>
      <c r="AW801" s="9"/>
      <c r="AX801" s="10"/>
      <c r="AY801" s="10"/>
      <c r="AZ801" s="7"/>
      <c r="BA801" s="6"/>
    </row>
    <row r="802" ht="22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9"/>
      <c r="AW802" s="9"/>
      <c r="AX802" s="10"/>
      <c r="AY802" s="10"/>
      <c r="AZ802" s="7"/>
      <c r="BA802" s="6"/>
    </row>
    <row r="803" ht="22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9"/>
      <c r="AW803" s="9"/>
      <c r="AX803" s="10"/>
      <c r="AY803" s="10"/>
      <c r="AZ803" s="7"/>
      <c r="BA803" s="6"/>
    </row>
    <row r="804" ht="22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9"/>
      <c r="AW804" s="9"/>
      <c r="AX804" s="10"/>
      <c r="AY804" s="10"/>
      <c r="AZ804" s="7"/>
      <c r="BA804" s="6"/>
    </row>
    <row r="805" ht="22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9"/>
      <c r="AW805" s="9"/>
      <c r="AX805" s="10"/>
      <c r="AY805" s="10"/>
      <c r="AZ805" s="7"/>
      <c r="BA805" s="6"/>
    </row>
    <row r="806" ht="22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9"/>
      <c r="AW806" s="9"/>
      <c r="AX806" s="10"/>
      <c r="AY806" s="10"/>
      <c r="AZ806" s="7"/>
      <c r="BA806" s="6"/>
    </row>
    <row r="807" ht="22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9"/>
      <c r="AW807" s="9"/>
      <c r="AX807" s="10"/>
      <c r="AY807" s="10"/>
      <c r="AZ807" s="7"/>
      <c r="BA807" s="6"/>
    </row>
    <row r="808" ht="22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9"/>
      <c r="AW808" s="9"/>
      <c r="AX808" s="10"/>
      <c r="AY808" s="10"/>
      <c r="AZ808" s="7"/>
      <c r="BA808" s="6"/>
    </row>
    <row r="809" ht="22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9"/>
      <c r="AW809" s="9"/>
      <c r="AX809" s="10"/>
      <c r="AY809" s="10"/>
      <c r="AZ809" s="7"/>
      <c r="BA809" s="6"/>
    </row>
    <row r="810" ht="22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9"/>
      <c r="AW810" s="9"/>
      <c r="AX810" s="10"/>
      <c r="AY810" s="10"/>
      <c r="AZ810" s="7"/>
      <c r="BA810" s="6"/>
    </row>
    <row r="811" ht="22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9"/>
      <c r="AW811" s="9"/>
      <c r="AX811" s="10"/>
      <c r="AY811" s="10"/>
      <c r="AZ811" s="7"/>
      <c r="BA811" s="6"/>
    </row>
    <row r="812" ht="22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9"/>
      <c r="AW812" s="9"/>
      <c r="AX812" s="10"/>
      <c r="AY812" s="10"/>
      <c r="AZ812" s="7"/>
      <c r="BA812" s="6"/>
    </row>
    <row r="813" ht="22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9"/>
      <c r="AW813" s="9"/>
      <c r="AX813" s="10"/>
      <c r="AY813" s="10"/>
      <c r="AZ813" s="7"/>
      <c r="BA813" s="6"/>
    </row>
    <row r="814" ht="22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9"/>
      <c r="AW814" s="9"/>
      <c r="AX814" s="10"/>
      <c r="AY814" s="10"/>
      <c r="AZ814" s="7"/>
      <c r="BA814" s="6"/>
    </row>
    <row r="815" ht="22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9"/>
      <c r="AW815" s="9"/>
      <c r="AX815" s="10"/>
      <c r="AY815" s="10"/>
      <c r="AZ815" s="7"/>
      <c r="BA815" s="6"/>
    </row>
    <row r="816" ht="22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9"/>
      <c r="AW816" s="9"/>
      <c r="AX816" s="10"/>
      <c r="AY816" s="10"/>
      <c r="AZ816" s="7"/>
      <c r="BA816" s="6"/>
    </row>
    <row r="817" ht="22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9"/>
      <c r="AW817" s="9"/>
      <c r="AX817" s="10"/>
      <c r="AY817" s="10"/>
      <c r="AZ817" s="7"/>
      <c r="BA817" s="6"/>
    </row>
    <row r="818" ht="22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9"/>
      <c r="AW818" s="9"/>
      <c r="AX818" s="10"/>
      <c r="AY818" s="10"/>
      <c r="AZ818" s="7"/>
      <c r="BA818" s="6"/>
    </row>
    <row r="819" ht="22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9"/>
      <c r="AW819" s="9"/>
      <c r="AX819" s="10"/>
      <c r="AY819" s="10"/>
      <c r="AZ819" s="7"/>
      <c r="BA819" s="6"/>
    </row>
    <row r="820" ht="22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9"/>
      <c r="AW820" s="9"/>
      <c r="AX820" s="10"/>
      <c r="AY820" s="10"/>
      <c r="AZ820" s="7"/>
      <c r="BA820" s="6"/>
    </row>
    <row r="821" ht="22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9"/>
      <c r="AW821" s="9"/>
      <c r="AX821" s="10"/>
      <c r="AY821" s="10"/>
      <c r="AZ821" s="7"/>
      <c r="BA821" s="6"/>
    </row>
    <row r="822" ht="22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9"/>
      <c r="AW822" s="9"/>
      <c r="AX822" s="10"/>
      <c r="AY822" s="10"/>
      <c r="AZ822" s="7"/>
      <c r="BA822" s="6"/>
    </row>
    <row r="823" ht="22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9"/>
      <c r="AW823" s="9"/>
      <c r="AX823" s="10"/>
      <c r="AY823" s="10"/>
      <c r="AZ823" s="7"/>
      <c r="BA823" s="6"/>
    </row>
    <row r="824" ht="22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9"/>
      <c r="AW824" s="9"/>
      <c r="AX824" s="10"/>
      <c r="AY824" s="10"/>
      <c r="AZ824" s="7"/>
      <c r="BA824" s="6"/>
    </row>
    <row r="825" ht="22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9"/>
      <c r="AW825" s="9"/>
      <c r="AX825" s="10"/>
      <c r="AY825" s="10"/>
      <c r="AZ825" s="7"/>
      <c r="BA825" s="6"/>
    </row>
    <row r="826" ht="22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9"/>
      <c r="AW826" s="9"/>
      <c r="AX826" s="10"/>
      <c r="AY826" s="10"/>
      <c r="AZ826" s="7"/>
      <c r="BA826" s="6"/>
    </row>
    <row r="827" ht="22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9"/>
      <c r="AW827" s="9"/>
      <c r="AX827" s="10"/>
      <c r="AY827" s="10"/>
      <c r="AZ827" s="7"/>
      <c r="BA827" s="6"/>
    </row>
    <row r="828" ht="22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9"/>
      <c r="AW828" s="9"/>
      <c r="AX828" s="10"/>
      <c r="AY828" s="10"/>
      <c r="AZ828" s="7"/>
      <c r="BA828" s="6"/>
    </row>
    <row r="829" ht="22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9"/>
      <c r="AW829" s="9"/>
      <c r="AX829" s="10"/>
      <c r="AY829" s="10"/>
      <c r="AZ829" s="7"/>
      <c r="BA829" s="6"/>
    </row>
    <row r="830" ht="22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9"/>
      <c r="AW830" s="9"/>
      <c r="AX830" s="10"/>
      <c r="AY830" s="10"/>
      <c r="AZ830" s="7"/>
      <c r="BA830" s="6"/>
    </row>
    <row r="831" ht="22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9"/>
      <c r="AW831" s="9"/>
      <c r="AX831" s="10"/>
      <c r="AY831" s="10"/>
      <c r="AZ831" s="7"/>
      <c r="BA831" s="6"/>
    </row>
    <row r="832" ht="22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9"/>
      <c r="AW832" s="9"/>
      <c r="AX832" s="10"/>
      <c r="AY832" s="10"/>
      <c r="AZ832" s="7"/>
      <c r="BA832" s="6"/>
    </row>
    <row r="833" ht="22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9"/>
      <c r="AW833" s="9"/>
      <c r="AX833" s="10"/>
      <c r="AY833" s="10"/>
      <c r="AZ833" s="7"/>
      <c r="BA833" s="6"/>
    </row>
    <row r="834" ht="22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9"/>
      <c r="AW834" s="9"/>
      <c r="AX834" s="10"/>
      <c r="AY834" s="10"/>
      <c r="AZ834" s="7"/>
      <c r="BA834" s="6"/>
    </row>
    <row r="835" ht="22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9"/>
      <c r="AW835" s="9"/>
      <c r="AX835" s="10"/>
      <c r="AY835" s="10"/>
      <c r="AZ835" s="7"/>
      <c r="BA835" s="6"/>
    </row>
    <row r="836" ht="22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9"/>
      <c r="AW836" s="9"/>
      <c r="AX836" s="10"/>
      <c r="AY836" s="10"/>
      <c r="AZ836" s="7"/>
      <c r="BA836" s="6"/>
    </row>
    <row r="837" ht="22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9"/>
      <c r="AW837" s="9"/>
      <c r="AX837" s="10"/>
      <c r="AY837" s="10"/>
      <c r="AZ837" s="7"/>
      <c r="BA837" s="6"/>
    </row>
    <row r="838" ht="22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9"/>
      <c r="AW838" s="9"/>
      <c r="AX838" s="10"/>
      <c r="AY838" s="10"/>
      <c r="AZ838" s="7"/>
      <c r="BA838" s="6"/>
    </row>
    <row r="839" ht="22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9"/>
      <c r="AW839" s="9"/>
      <c r="AX839" s="10"/>
      <c r="AY839" s="10"/>
      <c r="AZ839" s="7"/>
      <c r="BA839" s="6"/>
    </row>
    <row r="840" ht="22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9"/>
      <c r="AW840" s="9"/>
      <c r="AX840" s="10"/>
      <c r="AY840" s="10"/>
      <c r="AZ840" s="7"/>
      <c r="BA840" s="6"/>
    </row>
    <row r="841" ht="22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9"/>
      <c r="AW841" s="9"/>
      <c r="AX841" s="10"/>
      <c r="AY841" s="10"/>
      <c r="AZ841" s="7"/>
      <c r="BA841" s="6"/>
    </row>
    <row r="842" ht="22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9"/>
      <c r="AW842" s="9"/>
      <c r="AX842" s="10"/>
      <c r="AY842" s="10"/>
      <c r="AZ842" s="7"/>
      <c r="BA842" s="6"/>
    </row>
    <row r="843" ht="22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9"/>
      <c r="AW843" s="9"/>
      <c r="AX843" s="10"/>
      <c r="AY843" s="10"/>
      <c r="AZ843" s="7"/>
      <c r="BA843" s="6"/>
    </row>
    <row r="844" ht="22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9"/>
      <c r="AW844" s="9"/>
      <c r="AX844" s="10"/>
      <c r="AY844" s="10"/>
      <c r="AZ844" s="7"/>
      <c r="BA844" s="6"/>
    </row>
    <row r="845" ht="22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9"/>
      <c r="AW845" s="9"/>
      <c r="AX845" s="10"/>
      <c r="AY845" s="10"/>
      <c r="AZ845" s="7"/>
      <c r="BA845" s="6"/>
    </row>
    <row r="846" ht="22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9"/>
      <c r="AW846" s="9"/>
      <c r="AX846" s="10"/>
      <c r="AY846" s="10"/>
      <c r="AZ846" s="7"/>
      <c r="BA846" s="6"/>
    </row>
    <row r="847" ht="22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9"/>
      <c r="AW847" s="9"/>
      <c r="AX847" s="10"/>
      <c r="AY847" s="10"/>
      <c r="AZ847" s="7"/>
      <c r="BA847" s="6"/>
    </row>
    <row r="848" ht="22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9"/>
      <c r="AW848" s="9"/>
      <c r="AX848" s="10"/>
      <c r="AY848" s="10"/>
      <c r="AZ848" s="7"/>
      <c r="BA848" s="6"/>
    </row>
    <row r="849" ht="22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9"/>
      <c r="AW849" s="9"/>
      <c r="AX849" s="10"/>
      <c r="AY849" s="10"/>
      <c r="AZ849" s="7"/>
      <c r="BA849" s="6"/>
    </row>
    <row r="850" ht="22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9"/>
      <c r="AW850" s="9"/>
      <c r="AX850" s="10"/>
      <c r="AY850" s="10"/>
      <c r="AZ850" s="7"/>
      <c r="BA850" s="6"/>
    </row>
    <row r="851" ht="22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9"/>
      <c r="AW851" s="9"/>
      <c r="AX851" s="10"/>
      <c r="AY851" s="10"/>
      <c r="AZ851" s="7"/>
      <c r="BA851" s="6"/>
    </row>
    <row r="852" ht="22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9"/>
      <c r="AW852" s="9"/>
      <c r="AX852" s="10"/>
      <c r="AY852" s="10"/>
      <c r="AZ852" s="7"/>
      <c r="BA852" s="6"/>
    </row>
    <row r="853" ht="22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9"/>
      <c r="AW853" s="9"/>
      <c r="AX853" s="10"/>
      <c r="AY853" s="10"/>
      <c r="AZ853" s="7"/>
      <c r="BA853" s="6"/>
    </row>
    <row r="854" ht="22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9"/>
      <c r="AW854" s="9"/>
      <c r="AX854" s="10"/>
      <c r="AY854" s="10"/>
      <c r="AZ854" s="7"/>
      <c r="BA854" s="6"/>
    </row>
    <row r="855" ht="22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9"/>
      <c r="AW855" s="9"/>
      <c r="AX855" s="10"/>
      <c r="AY855" s="10"/>
      <c r="AZ855" s="7"/>
      <c r="BA855" s="6"/>
    </row>
    <row r="856" ht="22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9"/>
      <c r="AW856" s="9"/>
      <c r="AX856" s="10"/>
      <c r="AY856" s="10"/>
      <c r="AZ856" s="7"/>
      <c r="BA856" s="6"/>
    </row>
    <row r="857" ht="22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9"/>
      <c r="AW857" s="9"/>
      <c r="AX857" s="10"/>
      <c r="AY857" s="10"/>
      <c r="AZ857" s="7"/>
      <c r="BA857" s="6"/>
    </row>
    <row r="858" ht="22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9"/>
      <c r="AW858" s="9"/>
      <c r="AX858" s="10"/>
      <c r="AY858" s="10"/>
      <c r="AZ858" s="7"/>
      <c r="BA858" s="6"/>
    </row>
    <row r="859" ht="22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9"/>
      <c r="AW859" s="9"/>
      <c r="AX859" s="10"/>
      <c r="AY859" s="10"/>
      <c r="AZ859" s="7"/>
      <c r="BA859" s="6"/>
    </row>
    <row r="860" ht="22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9"/>
      <c r="AW860" s="9"/>
      <c r="AX860" s="10"/>
      <c r="AY860" s="10"/>
      <c r="AZ860" s="7"/>
      <c r="BA860" s="6"/>
    </row>
    <row r="861" ht="22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9"/>
      <c r="AW861" s="9"/>
      <c r="AX861" s="10"/>
      <c r="AY861" s="10"/>
      <c r="AZ861" s="7"/>
      <c r="BA861" s="6"/>
    </row>
    <row r="862" ht="22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9"/>
      <c r="AW862" s="9"/>
      <c r="AX862" s="10"/>
      <c r="AY862" s="10"/>
      <c r="AZ862" s="7"/>
      <c r="BA862" s="6"/>
    </row>
    <row r="863" ht="22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9"/>
      <c r="AW863" s="9"/>
      <c r="AX863" s="10"/>
      <c r="AY863" s="10"/>
      <c r="AZ863" s="7"/>
      <c r="BA863" s="6"/>
    </row>
    <row r="864" ht="22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9"/>
      <c r="AW864" s="9"/>
      <c r="AX864" s="10"/>
      <c r="AY864" s="10"/>
      <c r="AZ864" s="7"/>
      <c r="BA864" s="6"/>
    </row>
    <row r="865" ht="22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9"/>
      <c r="AW865" s="9"/>
      <c r="AX865" s="10"/>
      <c r="AY865" s="10"/>
      <c r="AZ865" s="7"/>
      <c r="BA865" s="6"/>
    </row>
    <row r="866" ht="22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9"/>
      <c r="AW866" s="9"/>
      <c r="AX866" s="10"/>
      <c r="AY866" s="10"/>
      <c r="AZ866" s="7"/>
      <c r="BA866" s="6"/>
    </row>
    <row r="867" ht="22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9"/>
      <c r="AW867" s="9"/>
      <c r="AX867" s="10"/>
      <c r="AY867" s="10"/>
      <c r="AZ867" s="7"/>
      <c r="BA867" s="6"/>
    </row>
    <row r="868" ht="22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9"/>
      <c r="AW868" s="9"/>
      <c r="AX868" s="10"/>
      <c r="AY868" s="10"/>
      <c r="AZ868" s="7"/>
      <c r="BA868" s="6"/>
    </row>
    <row r="869" ht="22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9"/>
      <c r="AW869" s="9"/>
      <c r="AX869" s="10"/>
      <c r="AY869" s="10"/>
      <c r="AZ869" s="7"/>
      <c r="BA869" s="6"/>
    </row>
    <row r="870" ht="22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9"/>
      <c r="AW870" s="9"/>
      <c r="AX870" s="10"/>
      <c r="AY870" s="10"/>
      <c r="AZ870" s="7"/>
      <c r="BA870" s="6"/>
    </row>
    <row r="871" ht="22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9"/>
      <c r="AW871" s="9"/>
      <c r="AX871" s="10"/>
      <c r="AY871" s="10"/>
      <c r="AZ871" s="7"/>
      <c r="BA871" s="6"/>
    </row>
    <row r="872" ht="22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9"/>
      <c r="AW872" s="9"/>
      <c r="AX872" s="10"/>
      <c r="AY872" s="10"/>
      <c r="AZ872" s="7"/>
      <c r="BA872" s="6"/>
    </row>
    <row r="873" ht="22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9"/>
      <c r="AW873" s="9"/>
      <c r="AX873" s="10"/>
      <c r="AY873" s="10"/>
      <c r="AZ873" s="7"/>
      <c r="BA873" s="6"/>
    </row>
    <row r="874" ht="22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9"/>
      <c r="AW874" s="9"/>
      <c r="AX874" s="10"/>
      <c r="AY874" s="10"/>
      <c r="AZ874" s="7"/>
      <c r="BA874" s="6"/>
    </row>
    <row r="875" ht="22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9"/>
      <c r="AW875" s="9"/>
      <c r="AX875" s="10"/>
      <c r="AY875" s="10"/>
      <c r="AZ875" s="7"/>
      <c r="BA875" s="6"/>
    </row>
    <row r="876" ht="22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9"/>
      <c r="AW876" s="9"/>
      <c r="AX876" s="10"/>
      <c r="AY876" s="10"/>
      <c r="AZ876" s="7"/>
      <c r="BA876" s="6"/>
    </row>
    <row r="877" ht="22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9"/>
      <c r="AW877" s="9"/>
      <c r="AX877" s="10"/>
      <c r="AY877" s="10"/>
      <c r="AZ877" s="7"/>
      <c r="BA877" s="6"/>
    </row>
    <row r="878" ht="22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9"/>
      <c r="AW878" s="9"/>
      <c r="AX878" s="10"/>
      <c r="AY878" s="10"/>
      <c r="AZ878" s="7"/>
      <c r="BA878" s="6"/>
    </row>
    <row r="879" ht="22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9"/>
      <c r="AW879" s="9"/>
      <c r="AX879" s="10"/>
      <c r="AY879" s="10"/>
      <c r="AZ879" s="7"/>
      <c r="BA879" s="6"/>
    </row>
    <row r="880" ht="22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9"/>
      <c r="AW880" s="9"/>
      <c r="AX880" s="10"/>
      <c r="AY880" s="10"/>
      <c r="AZ880" s="7"/>
      <c r="BA880" s="6"/>
    </row>
    <row r="881" ht="22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9"/>
      <c r="AW881" s="9"/>
      <c r="AX881" s="10"/>
      <c r="AY881" s="10"/>
      <c r="AZ881" s="7"/>
      <c r="BA881" s="6"/>
    </row>
    <row r="882" ht="22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9"/>
      <c r="AW882" s="9"/>
      <c r="AX882" s="10"/>
      <c r="AY882" s="10"/>
      <c r="AZ882" s="7"/>
      <c r="BA882" s="6"/>
    </row>
    <row r="883" ht="22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9"/>
      <c r="AW883" s="9"/>
      <c r="AX883" s="10"/>
      <c r="AY883" s="10"/>
      <c r="AZ883" s="7"/>
      <c r="BA883" s="6"/>
    </row>
    <row r="884" ht="22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9"/>
      <c r="AW884" s="9"/>
      <c r="AX884" s="10"/>
      <c r="AY884" s="10"/>
      <c r="AZ884" s="7"/>
      <c r="BA884" s="6"/>
    </row>
    <row r="885" ht="22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9"/>
      <c r="AW885" s="9"/>
      <c r="AX885" s="10"/>
      <c r="AY885" s="10"/>
      <c r="AZ885" s="7"/>
      <c r="BA885" s="6"/>
    </row>
    <row r="886" ht="22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9"/>
      <c r="AW886" s="9"/>
      <c r="AX886" s="10"/>
      <c r="AY886" s="10"/>
      <c r="AZ886" s="7"/>
      <c r="BA886" s="6"/>
    </row>
    <row r="887" ht="22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9"/>
      <c r="AW887" s="9"/>
      <c r="AX887" s="10"/>
      <c r="AY887" s="10"/>
      <c r="AZ887" s="7"/>
      <c r="BA887" s="6"/>
    </row>
    <row r="888" ht="22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9"/>
      <c r="AW888" s="9"/>
      <c r="AX888" s="10"/>
      <c r="AY888" s="10"/>
      <c r="AZ888" s="7"/>
      <c r="BA888" s="6"/>
    </row>
    <row r="889" ht="22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9"/>
      <c r="AW889" s="9"/>
      <c r="AX889" s="10"/>
      <c r="AY889" s="10"/>
      <c r="AZ889" s="7"/>
      <c r="BA889" s="6"/>
    </row>
    <row r="890" ht="22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9"/>
      <c r="AW890" s="9"/>
      <c r="AX890" s="10"/>
      <c r="AY890" s="10"/>
      <c r="AZ890" s="7"/>
      <c r="BA890" s="6"/>
    </row>
    <row r="891" ht="22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9"/>
      <c r="AW891" s="9"/>
      <c r="AX891" s="10"/>
      <c r="AY891" s="10"/>
      <c r="AZ891" s="7"/>
      <c r="BA891" s="6"/>
    </row>
    <row r="892" ht="22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9"/>
      <c r="AW892" s="9"/>
      <c r="AX892" s="10"/>
      <c r="AY892" s="10"/>
      <c r="AZ892" s="7"/>
      <c r="BA892" s="6"/>
    </row>
    <row r="893" ht="22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9"/>
      <c r="AW893" s="9"/>
      <c r="AX893" s="10"/>
      <c r="AY893" s="10"/>
      <c r="AZ893" s="7"/>
      <c r="BA893" s="6"/>
    </row>
    <row r="894" ht="22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9"/>
      <c r="AW894" s="9"/>
      <c r="AX894" s="10"/>
      <c r="AY894" s="10"/>
      <c r="AZ894" s="7"/>
      <c r="BA894" s="6"/>
    </row>
    <row r="895" ht="22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9"/>
      <c r="AW895" s="9"/>
      <c r="AX895" s="10"/>
      <c r="AY895" s="10"/>
      <c r="AZ895" s="7"/>
      <c r="BA895" s="6"/>
    </row>
    <row r="896" ht="22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9"/>
      <c r="AW896" s="9"/>
      <c r="AX896" s="10"/>
      <c r="AY896" s="10"/>
      <c r="AZ896" s="7"/>
      <c r="BA896" s="6"/>
    </row>
    <row r="897" ht="22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9"/>
      <c r="AW897" s="9"/>
      <c r="AX897" s="10"/>
      <c r="AY897" s="10"/>
      <c r="AZ897" s="7"/>
      <c r="BA897" s="6"/>
    </row>
    <row r="898" ht="22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9"/>
      <c r="AW898" s="9"/>
      <c r="AX898" s="10"/>
      <c r="AY898" s="10"/>
      <c r="AZ898" s="7"/>
      <c r="BA898" s="6"/>
    </row>
    <row r="899" ht="22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9"/>
      <c r="AW899" s="9"/>
      <c r="AX899" s="10"/>
      <c r="AY899" s="10"/>
      <c r="AZ899" s="7"/>
      <c r="BA899" s="6"/>
    </row>
    <row r="900" ht="22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9"/>
      <c r="AW900" s="9"/>
      <c r="AX900" s="10"/>
      <c r="AY900" s="10"/>
      <c r="AZ900" s="7"/>
      <c r="BA900" s="6"/>
    </row>
    <row r="901" ht="22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9"/>
      <c r="AW901" s="9"/>
      <c r="AX901" s="10"/>
      <c r="AY901" s="10"/>
      <c r="AZ901" s="7"/>
      <c r="BA901" s="6"/>
    </row>
    <row r="902" ht="22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9"/>
      <c r="AW902" s="9"/>
      <c r="AX902" s="10"/>
      <c r="AY902" s="10"/>
      <c r="AZ902" s="7"/>
      <c r="BA902" s="6"/>
    </row>
    <row r="903" ht="22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9"/>
      <c r="AW903" s="9"/>
      <c r="AX903" s="10"/>
      <c r="AY903" s="10"/>
      <c r="AZ903" s="7"/>
      <c r="BA903" s="6"/>
    </row>
    <row r="904" ht="22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9"/>
      <c r="AW904" s="9"/>
      <c r="AX904" s="10"/>
      <c r="AY904" s="10"/>
      <c r="AZ904" s="7"/>
      <c r="BA904" s="6"/>
    </row>
    <row r="905" ht="22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9"/>
      <c r="AW905" s="9"/>
      <c r="AX905" s="10"/>
      <c r="AY905" s="10"/>
      <c r="AZ905" s="7"/>
      <c r="BA905" s="6"/>
    </row>
    <row r="906" ht="22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9"/>
      <c r="AW906" s="9"/>
      <c r="AX906" s="10"/>
      <c r="AY906" s="10"/>
      <c r="AZ906" s="7"/>
      <c r="BA906" s="6"/>
    </row>
    <row r="907" ht="22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9"/>
      <c r="AW907" s="9"/>
      <c r="AX907" s="10"/>
      <c r="AY907" s="10"/>
      <c r="AZ907" s="7"/>
      <c r="BA907" s="6"/>
    </row>
    <row r="908" ht="22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9"/>
      <c r="AW908" s="9"/>
      <c r="AX908" s="10"/>
      <c r="AY908" s="10"/>
      <c r="AZ908" s="7"/>
      <c r="BA908" s="6"/>
    </row>
    <row r="909" ht="22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9"/>
      <c r="AW909" s="9"/>
      <c r="AX909" s="10"/>
      <c r="AY909" s="10"/>
      <c r="AZ909" s="7"/>
      <c r="BA909" s="6"/>
    </row>
    <row r="910" ht="22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9"/>
      <c r="AW910" s="9"/>
      <c r="AX910" s="10"/>
      <c r="AY910" s="10"/>
      <c r="AZ910" s="7"/>
      <c r="BA910" s="6"/>
    </row>
    <row r="911" ht="22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9"/>
      <c r="AW911" s="9"/>
      <c r="AX911" s="10"/>
      <c r="AY911" s="10"/>
      <c r="AZ911" s="7"/>
      <c r="BA911" s="6"/>
    </row>
    <row r="912" ht="22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9"/>
      <c r="AW912" s="9"/>
      <c r="AX912" s="10"/>
      <c r="AY912" s="10"/>
      <c r="AZ912" s="7"/>
      <c r="BA912" s="6"/>
    </row>
    <row r="913" ht="22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9"/>
      <c r="AW913" s="9"/>
      <c r="AX913" s="10"/>
      <c r="AY913" s="10"/>
      <c r="AZ913" s="7"/>
      <c r="BA913" s="6"/>
    </row>
    <row r="914" ht="22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9"/>
      <c r="AW914" s="9"/>
      <c r="AX914" s="10"/>
      <c r="AY914" s="10"/>
      <c r="AZ914" s="7"/>
      <c r="BA914" s="6"/>
    </row>
    <row r="915" ht="22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9"/>
      <c r="AW915" s="9"/>
      <c r="AX915" s="10"/>
      <c r="AY915" s="10"/>
      <c r="AZ915" s="7"/>
      <c r="BA915" s="6"/>
    </row>
    <row r="916" ht="22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9"/>
      <c r="AW916" s="9"/>
      <c r="AX916" s="10"/>
      <c r="AY916" s="10"/>
      <c r="AZ916" s="7"/>
      <c r="BA916" s="6"/>
    </row>
    <row r="917" ht="22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9"/>
      <c r="AW917" s="9"/>
      <c r="AX917" s="10"/>
      <c r="AY917" s="10"/>
      <c r="AZ917" s="7"/>
      <c r="BA917" s="6"/>
    </row>
    <row r="918" ht="22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9"/>
      <c r="AW918" s="9"/>
      <c r="AX918" s="10"/>
      <c r="AY918" s="10"/>
      <c r="AZ918" s="7"/>
      <c r="BA918" s="6"/>
    </row>
    <row r="919" ht="22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9"/>
      <c r="AW919" s="9"/>
      <c r="AX919" s="10"/>
      <c r="AY919" s="10"/>
      <c r="AZ919" s="7"/>
      <c r="BA919" s="6"/>
    </row>
    <row r="920" ht="22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9"/>
      <c r="AW920" s="9"/>
      <c r="AX920" s="10"/>
      <c r="AY920" s="10"/>
      <c r="AZ920" s="7"/>
      <c r="BA920" s="6"/>
    </row>
    <row r="921" ht="22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9"/>
      <c r="AW921" s="9"/>
      <c r="AX921" s="10"/>
      <c r="AY921" s="10"/>
      <c r="AZ921" s="7"/>
      <c r="BA921" s="6"/>
    </row>
    <row r="922" ht="22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9"/>
      <c r="AW922" s="9"/>
      <c r="AX922" s="10"/>
      <c r="AY922" s="10"/>
      <c r="AZ922" s="7"/>
      <c r="BA922" s="6"/>
    </row>
    <row r="923" ht="22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9"/>
      <c r="AW923" s="9"/>
      <c r="AX923" s="10"/>
      <c r="AY923" s="10"/>
      <c r="AZ923" s="7"/>
      <c r="BA923" s="6"/>
    </row>
    <row r="924" ht="22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9"/>
      <c r="AW924" s="9"/>
      <c r="AX924" s="10"/>
      <c r="AY924" s="10"/>
      <c r="AZ924" s="7"/>
      <c r="BA924" s="6"/>
    </row>
    <row r="925" ht="22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9"/>
      <c r="AW925" s="9"/>
      <c r="AX925" s="10"/>
      <c r="AY925" s="10"/>
      <c r="AZ925" s="7"/>
      <c r="BA925" s="6"/>
    </row>
    <row r="926" ht="22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9"/>
      <c r="AW926" s="9"/>
      <c r="AX926" s="10"/>
      <c r="AY926" s="10"/>
      <c r="AZ926" s="7"/>
      <c r="BA926" s="6"/>
    </row>
    <row r="927" ht="22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9"/>
      <c r="AW927" s="9"/>
      <c r="AX927" s="10"/>
      <c r="AY927" s="10"/>
      <c r="AZ927" s="7"/>
      <c r="BA927" s="6"/>
    </row>
    <row r="928" ht="22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9"/>
      <c r="AW928" s="9"/>
      <c r="AX928" s="10"/>
      <c r="AY928" s="10"/>
      <c r="AZ928" s="7"/>
      <c r="BA928" s="6"/>
    </row>
    <row r="929" ht="22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9"/>
      <c r="AW929" s="9"/>
      <c r="AX929" s="10"/>
      <c r="AY929" s="10"/>
      <c r="AZ929" s="7"/>
      <c r="BA929" s="6"/>
    </row>
    <row r="930" ht="22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9"/>
      <c r="AW930" s="9"/>
      <c r="AX930" s="10"/>
      <c r="AY930" s="10"/>
      <c r="AZ930" s="7"/>
      <c r="BA930" s="6"/>
    </row>
    <row r="931" ht="22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9"/>
      <c r="AW931" s="9"/>
      <c r="AX931" s="10"/>
      <c r="AY931" s="10"/>
      <c r="AZ931" s="7"/>
      <c r="BA931" s="6"/>
    </row>
    <row r="932" ht="22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9"/>
      <c r="AW932" s="9"/>
      <c r="AX932" s="10"/>
      <c r="AY932" s="10"/>
      <c r="AZ932" s="7"/>
      <c r="BA932" s="6"/>
    </row>
    <row r="933" ht="22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9"/>
      <c r="AW933" s="9"/>
      <c r="AX933" s="10"/>
      <c r="AY933" s="10"/>
      <c r="AZ933" s="7"/>
      <c r="BA933" s="6"/>
    </row>
    <row r="934" ht="22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9"/>
      <c r="AW934" s="9"/>
      <c r="AX934" s="10"/>
      <c r="AY934" s="10"/>
      <c r="AZ934" s="7"/>
      <c r="BA934" s="6"/>
    </row>
    <row r="935" ht="22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9"/>
      <c r="AW935" s="9"/>
      <c r="AX935" s="10"/>
      <c r="AY935" s="10"/>
      <c r="AZ935" s="7"/>
      <c r="BA935" s="6"/>
    </row>
    <row r="936" ht="22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9"/>
      <c r="AW936" s="9"/>
      <c r="AX936" s="10"/>
      <c r="AY936" s="10"/>
      <c r="AZ936" s="7"/>
      <c r="BA936" s="6"/>
    </row>
    <row r="937" ht="22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9"/>
      <c r="AW937" s="9"/>
      <c r="AX937" s="10"/>
      <c r="AY937" s="10"/>
      <c r="AZ937" s="7"/>
      <c r="BA937" s="6"/>
    </row>
    <row r="938" ht="22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9"/>
      <c r="AW938" s="9"/>
      <c r="AX938" s="10"/>
      <c r="AY938" s="10"/>
      <c r="AZ938" s="7"/>
      <c r="BA938" s="6"/>
    </row>
    <row r="939" ht="22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9"/>
      <c r="AW939" s="9"/>
      <c r="AX939" s="10"/>
      <c r="AY939" s="10"/>
      <c r="AZ939" s="7"/>
      <c r="BA939" s="6"/>
    </row>
    <row r="940" ht="22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9"/>
      <c r="AW940" s="9"/>
      <c r="AX940" s="10"/>
      <c r="AY940" s="10"/>
      <c r="AZ940" s="7"/>
      <c r="BA940" s="6"/>
    </row>
    <row r="941" ht="22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9"/>
      <c r="AW941" s="9"/>
      <c r="AX941" s="10"/>
      <c r="AY941" s="10"/>
      <c r="AZ941" s="7"/>
      <c r="BA941" s="6"/>
    </row>
    <row r="942" ht="22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9"/>
      <c r="AW942" s="9"/>
      <c r="AX942" s="10"/>
      <c r="AY942" s="10"/>
      <c r="AZ942" s="7"/>
      <c r="BA942" s="6"/>
    </row>
    <row r="943" ht="22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9"/>
      <c r="AW943" s="9"/>
      <c r="AX943" s="10"/>
      <c r="AY943" s="10"/>
      <c r="AZ943" s="7"/>
      <c r="BA943" s="6"/>
    </row>
    <row r="944" ht="22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9"/>
      <c r="AW944" s="9"/>
      <c r="AX944" s="10"/>
      <c r="AY944" s="10"/>
      <c r="AZ944" s="7"/>
      <c r="BA944" s="6"/>
    </row>
    <row r="945" ht="22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9"/>
      <c r="AW945" s="9"/>
      <c r="AX945" s="10"/>
      <c r="AY945" s="10"/>
      <c r="AZ945" s="7"/>
      <c r="BA945" s="6"/>
    </row>
    <row r="946" ht="22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9"/>
      <c r="AW946" s="9"/>
      <c r="AX946" s="10"/>
      <c r="AY946" s="10"/>
      <c r="AZ946" s="7"/>
      <c r="BA946" s="6"/>
    </row>
    <row r="947" ht="22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9"/>
      <c r="AW947" s="9"/>
      <c r="AX947" s="10"/>
      <c r="AY947" s="10"/>
      <c r="AZ947" s="7"/>
      <c r="BA947" s="6"/>
    </row>
    <row r="948" ht="22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9"/>
      <c r="AW948" s="9"/>
      <c r="AX948" s="10"/>
      <c r="AY948" s="10"/>
      <c r="AZ948" s="7"/>
      <c r="BA948" s="6"/>
    </row>
    <row r="949" ht="22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9"/>
      <c r="AW949" s="9"/>
      <c r="AX949" s="10"/>
      <c r="AY949" s="10"/>
      <c r="AZ949" s="7"/>
      <c r="BA949" s="6"/>
    </row>
    <row r="950" ht="22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9"/>
      <c r="AW950" s="9"/>
      <c r="AX950" s="10"/>
      <c r="AY950" s="10"/>
      <c r="AZ950" s="7"/>
      <c r="BA950" s="6"/>
    </row>
    <row r="951" ht="22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9"/>
      <c r="AW951" s="9"/>
      <c r="AX951" s="10"/>
      <c r="AY951" s="10"/>
      <c r="AZ951" s="7"/>
      <c r="BA951" s="6"/>
    </row>
    <row r="952" ht="22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9"/>
      <c r="AW952" s="9"/>
      <c r="AX952" s="10"/>
      <c r="AY952" s="10"/>
      <c r="AZ952" s="7"/>
      <c r="BA952" s="6"/>
    </row>
    <row r="953" ht="22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9"/>
      <c r="AW953" s="9"/>
      <c r="AX953" s="10"/>
      <c r="AY953" s="10"/>
      <c r="AZ953" s="7"/>
      <c r="BA953" s="6"/>
    </row>
    <row r="954" ht="22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9"/>
      <c r="AW954" s="9"/>
      <c r="AX954" s="10"/>
      <c r="AY954" s="10"/>
      <c r="AZ954" s="7"/>
      <c r="BA954" s="6"/>
    </row>
    <row r="955" ht="22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9"/>
      <c r="AW955" s="9"/>
      <c r="AX955" s="10"/>
      <c r="AY955" s="10"/>
      <c r="AZ955" s="7"/>
      <c r="BA955" s="6"/>
    </row>
    <row r="956" ht="22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9"/>
      <c r="AW956" s="9"/>
      <c r="AX956" s="10"/>
      <c r="AY956" s="10"/>
      <c r="AZ956" s="7"/>
      <c r="BA956" s="6"/>
    </row>
    <row r="957" ht="22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9"/>
      <c r="AW957" s="9"/>
      <c r="AX957" s="10"/>
      <c r="AY957" s="10"/>
      <c r="AZ957" s="7"/>
      <c r="BA957" s="6"/>
    </row>
    <row r="958" ht="22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9"/>
      <c r="AW958" s="9"/>
      <c r="AX958" s="10"/>
      <c r="AY958" s="10"/>
      <c r="AZ958" s="7"/>
      <c r="BA958" s="6"/>
    </row>
    <row r="959" ht="22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9"/>
      <c r="AW959" s="9"/>
      <c r="AX959" s="10"/>
      <c r="AY959" s="10"/>
      <c r="AZ959" s="7"/>
      <c r="BA959" s="6"/>
    </row>
    <row r="960" ht="22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9"/>
      <c r="AW960" s="9"/>
      <c r="AX960" s="10"/>
      <c r="AY960" s="10"/>
      <c r="AZ960" s="7"/>
      <c r="BA960" s="6"/>
    </row>
    <row r="961" ht="22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9"/>
      <c r="AW961" s="9"/>
      <c r="AX961" s="10"/>
      <c r="AY961" s="10"/>
      <c r="AZ961" s="7"/>
      <c r="BA961" s="6"/>
    </row>
    <row r="962" ht="22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9"/>
      <c r="AW962" s="9"/>
      <c r="AX962" s="10"/>
      <c r="AY962" s="10"/>
      <c r="AZ962" s="7"/>
      <c r="BA962" s="6"/>
    </row>
    <row r="963" ht="22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9"/>
      <c r="AW963" s="9"/>
      <c r="AX963" s="10"/>
      <c r="AY963" s="10"/>
      <c r="AZ963" s="7"/>
      <c r="BA963" s="6"/>
    </row>
    <row r="964" ht="22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9"/>
      <c r="AW964" s="9"/>
      <c r="AX964" s="10"/>
      <c r="AY964" s="10"/>
      <c r="AZ964" s="7"/>
      <c r="BA964" s="6"/>
    </row>
    <row r="965" ht="22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9"/>
      <c r="AW965" s="9"/>
      <c r="AX965" s="10"/>
      <c r="AY965" s="10"/>
      <c r="AZ965" s="7"/>
      <c r="BA965" s="6"/>
    </row>
    <row r="966" ht="22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9"/>
      <c r="AW966" s="9"/>
      <c r="AX966" s="10"/>
      <c r="AY966" s="10"/>
      <c r="AZ966" s="7"/>
      <c r="BA966" s="6"/>
    </row>
    <row r="967" ht="22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9"/>
      <c r="AW967" s="9"/>
      <c r="AX967" s="10"/>
      <c r="AY967" s="10"/>
      <c r="AZ967" s="7"/>
      <c r="BA967" s="6"/>
    </row>
    <row r="968" ht="22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9"/>
      <c r="AW968" s="9"/>
      <c r="AX968" s="10"/>
      <c r="AY968" s="10"/>
      <c r="AZ968" s="7"/>
      <c r="BA968" s="6"/>
    </row>
    <row r="969" ht="22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9"/>
      <c r="AW969" s="9"/>
      <c r="AX969" s="10"/>
      <c r="AY969" s="10"/>
      <c r="AZ969" s="7"/>
      <c r="BA969" s="6"/>
    </row>
    <row r="970" ht="22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9"/>
      <c r="AW970" s="9"/>
      <c r="AX970" s="10"/>
      <c r="AY970" s="10"/>
      <c r="AZ970" s="7"/>
      <c r="BA970" s="6"/>
    </row>
    <row r="971" ht="22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9"/>
      <c r="AW971" s="9"/>
      <c r="AX971" s="10"/>
      <c r="AY971" s="10"/>
      <c r="AZ971" s="7"/>
      <c r="BA971" s="6"/>
    </row>
    <row r="972" ht="22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9"/>
      <c r="AW972" s="9"/>
      <c r="AX972" s="10"/>
      <c r="AY972" s="10"/>
      <c r="AZ972" s="7"/>
      <c r="BA972" s="6"/>
    </row>
    <row r="973" ht="22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9"/>
      <c r="AW973" s="9"/>
      <c r="AX973" s="10"/>
      <c r="AY973" s="10"/>
      <c r="AZ973" s="7"/>
      <c r="BA973" s="6"/>
    </row>
    <row r="974" ht="22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9"/>
      <c r="AW974" s="9"/>
      <c r="AX974" s="10"/>
      <c r="AY974" s="10"/>
      <c r="AZ974" s="7"/>
      <c r="BA974" s="6"/>
    </row>
    <row r="975" ht="22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9"/>
      <c r="AW975" s="9"/>
      <c r="AX975" s="10"/>
      <c r="AY975" s="10"/>
      <c r="AZ975" s="7"/>
      <c r="BA975" s="6"/>
    </row>
    <row r="976" ht="22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9"/>
      <c r="AW976" s="9"/>
      <c r="AX976" s="10"/>
      <c r="AY976" s="10"/>
      <c r="AZ976" s="7"/>
      <c r="BA976" s="6"/>
    </row>
    <row r="977" ht="22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9"/>
      <c r="AW977" s="9"/>
      <c r="AX977" s="10"/>
      <c r="AY977" s="10"/>
      <c r="AZ977" s="7"/>
      <c r="BA977" s="6"/>
    </row>
    <row r="978" ht="22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9"/>
      <c r="AW978" s="9"/>
      <c r="AX978" s="10"/>
      <c r="AY978" s="10"/>
      <c r="AZ978" s="7"/>
      <c r="BA978" s="6"/>
    </row>
    <row r="979" ht="22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9"/>
      <c r="AW979" s="9"/>
      <c r="AX979" s="10"/>
      <c r="AY979" s="10"/>
      <c r="AZ979" s="7"/>
      <c r="BA979" s="6"/>
    </row>
    <row r="980" ht="22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9"/>
      <c r="AW980" s="9"/>
      <c r="AX980" s="10"/>
      <c r="AY980" s="10"/>
      <c r="AZ980" s="7"/>
      <c r="BA980" s="6"/>
    </row>
    <row r="981" ht="22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9"/>
      <c r="AW981" s="9"/>
      <c r="AX981" s="10"/>
      <c r="AY981" s="10"/>
      <c r="AZ981" s="7"/>
      <c r="BA981" s="6"/>
    </row>
    <row r="982" ht="22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9"/>
      <c r="AW982" s="9"/>
      <c r="AX982" s="10"/>
      <c r="AY982" s="10"/>
      <c r="AZ982" s="7"/>
      <c r="BA982" s="6"/>
    </row>
    <row r="983" ht="22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9"/>
      <c r="AW983" s="9"/>
      <c r="AX983" s="10"/>
      <c r="AY983" s="10"/>
      <c r="AZ983" s="7"/>
      <c r="BA983" s="6"/>
    </row>
    <row r="984" ht="22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9"/>
      <c r="AW984" s="9"/>
      <c r="AX984" s="10"/>
      <c r="AY984" s="10"/>
      <c r="AZ984" s="7"/>
      <c r="BA984" s="6"/>
    </row>
    <row r="985" ht="22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9"/>
      <c r="AW985" s="9"/>
      <c r="AX985" s="10"/>
      <c r="AY985" s="10"/>
      <c r="AZ985" s="7"/>
      <c r="BA985" s="6"/>
    </row>
    <row r="986" ht="22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9"/>
      <c r="AW986" s="9"/>
      <c r="AX986" s="10"/>
      <c r="AY986" s="10"/>
      <c r="AZ986" s="7"/>
      <c r="BA986" s="6"/>
    </row>
    <row r="987" ht="22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9"/>
      <c r="AW987" s="9"/>
      <c r="AX987" s="10"/>
      <c r="AY987" s="10"/>
      <c r="AZ987" s="7"/>
      <c r="BA987" s="6"/>
    </row>
    <row r="988" ht="22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9"/>
      <c r="AW988" s="9"/>
      <c r="AX988" s="10"/>
      <c r="AY988" s="10"/>
      <c r="AZ988" s="7"/>
      <c r="BA988" s="6"/>
    </row>
    <row r="989" ht="22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9"/>
      <c r="AW989" s="9"/>
      <c r="AX989" s="10"/>
      <c r="AY989" s="10"/>
      <c r="AZ989" s="7"/>
      <c r="BA989" s="6"/>
    </row>
    <row r="990" ht="22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9"/>
      <c r="AW990" s="9"/>
      <c r="AX990" s="10"/>
      <c r="AY990" s="10"/>
      <c r="AZ990" s="7"/>
      <c r="BA990" s="6"/>
    </row>
    <row r="991" ht="22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9"/>
      <c r="AW991" s="9"/>
      <c r="AX991" s="10"/>
      <c r="AY991" s="10"/>
      <c r="AZ991" s="7"/>
      <c r="BA991" s="6"/>
    </row>
    <row r="992" ht="22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9"/>
      <c r="AW992" s="9"/>
      <c r="AX992" s="10"/>
      <c r="AY992" s="10"/>
      <c r="AZ992" s="7"/>
      <c r="BA992" s="6"/>
    </row>
    <row r="993" ht="22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9"/>
      <c r="AW993" s="9"/>
      <c r="AX993" s="10"/>
      <c r="AY993" s="10"/>
      <c r="AZ993" s="7"/>
      <c r="BA993" s="6"/>
    </row>
    <row r="994" ht="22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9"/>
      <c r="AW994" s="9"/>
      <c r="AX994" s="10"/>
      <c r="AY994" s="10"/>
      <c r="AZ994" s="7"/>
      <c r="BA994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7" width="13.88"/>
    <col customWidth="1" min="8" max="8" width="3.38"/>
    <col customWidth="1" hidden="1" min="9" max="9" width="22.13"/>
    <col hidden="1" min="10" max="10" width="12.63"/>
  </cols>
  <sheetData>
    <row r="1">
      <c r="A1" s="11"/>
      <c r="B1" s="12"/>
      <c r="C1" s="12"/>
      <c r="D1" s="12"/>
      <c r="E1" s="12"/>
      <c r="F1" s="12"/>
      <c r="G1" s="12"/>
      <c r="H1" s="11"/>
      <c r="I1" s="11"/>
      <c r="J1" s="11"/>
    </row>
    <row r="2">
      <c r="A2" s="11"/>
      <c r="B2" s="13" t="s">
        <v>89</v>
      </c>
      <c r="C2" s="14"/>
      <c r="D2" s="14"/>
      <c r="E2" s="14"/>
      <c r="F2" s="14"/>
      <c r="G2" s="15"/>
      <c r="H2" s="11"/>
      <c r="I2" s="11"/>
      <c r="J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</row>
    <row r="4">
      <c r="A4" s="11"/>
      <c r="B4" s="16" t="s">
        <v>90</v>
      </c>
      <c r="C4" s="17" t="s">
        <v>86</v>
      </c>
      <c r="H4" s="11"/>
      <c r="I4" s="11"/>
      <c r="J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</row>
    <row r="6">
      <c r="A6" s="11"/>
      <c r="B6" s="18" t="s">
        <v>91</v>
      </c>
      <c r="C6" s="14"/>
      <c r="D6" s="14"/>
      <c r="E6" s="18" t="s">
        <v>92</v>
      </c>
      <c r="F6" s="14"/>
      <c r="G6" s="15"/>
      <c r="H6" s="11"/>
      <c r="I6" s="19" t="s">
        <v>91</v>
      </c>
      <c r="J6" s="20">
        <f>B7</f>
        <v>24</v>
      </c>
    </row>
    <row r="7">
      <c r="A7" s="11"/>
      <c r="B7" s="21">
        <f>IFERROR(VLOOKUP($C$4,DATOS!B2:BA32,51,FALSE),"-")</f>
        <v>24</v>
      </c>
      <c r="C7" s="14"/>
      <c r="D7" s="14"/>
      <c r="E7" s="21">
        <f>IFERROR(VLOOKUP($C$4,DATOS!B2:BA32,52,FALSE),"-")</f>
        <v>32</v>
      </c>
      <c r="F7" s="14"/>
      <c r="G7" s="15"/>
      <c r="H7" s="11"/>
      <c r="I7" s="22" t="s">
        <v>92</v>
      </c>
      <c r="J7" s="20">
        <f>E7</f>
        <v>32</v>
      </c>
    </row>
    <row r="8">
      <c r="A8" s="23"/>
      <c r="B8" s="24"/>
      <c r="C8" s="25"/>
      <c r="D8" s="26" t="s">
        <v>93</v>
      </c>
      <c r="E8" s="27"/>
      <c r="F8" s="27"/>
      <c r="G8" s="27"/>
      <c r="H8" s="23"/>
      <c r="I8" s="22" t="s">
        <v>94</v>
      </c>
      <c r="J8" s="20">
        <f t="shared" ref="J8:J10" si="1">C9</f>
        <v>29</v>
      </c>
    </row>
    <row r="9">
      <c r="A9" s="11"/>
      <c r="B9" s="28">
        <v>0.0</v>
      </c>
      <c r="C9" s="29">
        <v>29.0</v>
      </c>
      <c r="D9" s="30" t="s">
        <v>94</v>
      </c>
      <c r="E9" s="14"/>
      <c r="F9" s="14"/>
      <c r="G9" s="15"/>
      <c r="H9" s="11"/>
      <c r="I9" s="22" t="s">
        <v>95</v>
      </c>
      <c r="J9" s="20">
        <f t="shared" si="1"/>
        <v>44</v>
      </c>
    </row>
    <row r="10">
      <c r="A10" s="11"/>
      <c r="B10" s="29">
        <v>30.0</v>
      </c>
      <c r="C10" s="29">
        <v>44.0</v>
      </c>
      <c r="D10" s="30" t="s">
        <v>95</v>
      </c>
      <c r="E10" s="14"/>
      <c r="F10" s="14"/>
      <c r="G10" s="15"/>
      <c r="H10" s="11"/>
      <c r="I10" s="22" t="s">
        <v>96</v>
      </c>
      <c r="J10" s="20">
        <f t="shared" si="1"/>
        <v>80</v>
      </c>
    </row>
    <row r="11">
      <c r="A11" s="11"/>
      <c r="B11" s="29">
        <v>45.0</v>
      </c>
      <c r="C11" s="29">
        <v>80.0</v>
      </c>
      <c r="D11" s="30" t="s">
        <v>96</v>
      </c>
      <c r="E11" s="14"/>
      <c r="F11" s="14"/>
      <c r="G11" s="15"/>
      <c r="H11" s="11"/>
      <c r="I11" s="11"/>
      <c r="J11" s="31" t="str">
        <f>B12</f>
        <v/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</sheetData>
  <mergeCells count="10">
    <mergeCell ref="D9:G9"/>
    <mergeCell ref="D10:G10"/>
    <mergeCell ref="D11:G11"/>
    <mergeCell ref="B2:G2"/>
    <mergeCell ref="C4:G4"/>
    <mergeCell ref="B6:D6"/>
    <mergeCell ref="E6:G6"/>
    <mergeCell ref="B7:D7"/>
    <mergeCell ref="E7:G7"/>
    <mergeCell ref="D8:G8"/>
  </mergeCells>
  <conditionalFormatting sqref="B7:G7">
    <cfRule type="cellIs" dxfId="5" priority="1" operator="lessThan">
      <formula>30</formula>
    </cfRule>
  </conditionalFormatting>
  <conditionalFormatting sqref="B7:G7">
    <cfRule type="cellIs" dxfId="6" priority="2" operator="between">
      <formula>30</formula>
      <formula>45</formula>
    </cfRule>
  </conditionalFormatting>
  <conditionalFormatting sqref="B7:G7">
    <cfRule type="cellIs" dxfId="7" priority="3" operator="greaterThan">
      <formula>45</formula>
    </cfRule>
  </conditionalFormatting>
  <dataValidations>
    <dataValidation type="list" allowBlank="1" showErrorMessage="1" sqref="C4">
      <formula1>DATOS!$B$2:$B32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