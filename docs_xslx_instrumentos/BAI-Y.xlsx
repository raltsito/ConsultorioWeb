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  <sheet state="visible" name="BAI-Y" sheetId="2" r:id="rId6"/>
  </sheets>
  <definedNames/>
  <calcPr/>
</workbook>
</file>

<file path=xl/sharedStrings.xml><?xml version="1.0" encoding="utf-8"?>
<sst xmlns="http://schemas.openxmlformats.org/spreadsheetml/2006/main" count="347" uniqueCount="136">
  <si>
    <t>ID|number-2</t>
  </si>
  <si>
    <t>Nombre completo|text-1</t>
  </si>
  <si>
    <t>Sexo|select-1</t>
  </si>
  <si>
    <t>Estado Civil|select-2</t>
  </si>
  <si>
    <t>Edad|number-1</t>
  </si>
  <si>
    <t>Fecha de Nacimiento|date-2</t>
  </si>
  <si>
    <t>Fecha de realización de la encuesta|date-1</t>
  </si>
  <si>
    <t>Introduzca la hora y minuto en que comenzó la encuesta.|time-1</t>
  </si>
  <si>
    <t>1. Torpe o entumecido|radio-1</t>
  </si>
  <si>
    <t>2. Acalorado|radio-2</t>
  </si>
  <si>
    <t>3. Con temblor en las piernas|radio-3</t>
  </si>
  <si>
    <t>4. Incapaz de relajarse|radio-4</t>
  </si>
  <si>
    <t>5. Con temor a que ocurra lo peor|radio-5</t>
  </si>
  <si>
    <t>6. Mareado, o que se le va la cabeza|radio-6</t>
  </si>
  <si>
    <t>7. Con latidos del corazón fuertes y acelerados|radio-7</t>
  </si>
  <si>
    <t>8. Inestable|radio-8</t>
  </si>
  <si>
    <t>9. Atemorizado o asustado|radio-9</t>
  </si>
  <si>
    <t>10. Nervioso|radio-10</t>
  </si>
  <si>
    <t>11. Con sensación de bloqueo|radio-11</t>
  </si>
  <si>
    <t>12.Con temblores en las manos|radio-12</t>
  </si>
  <si>
    <t>13. Inquieto, inseguro|radio-13</t>
  </si>
  <si>
    <t>14. Con miedo a perder el control|radio-14</t>
  </si>
  <si>
    <t>15. Con sensación de ahogo|radio-15</t>
  </si>
  <si>
    <t>16. Con temor a morir|radio-16</t>
  </si>
  <si>
    <t>17. Con miedo|radio-17</t>
  </si>
  <si>
    <t>18. Con problemas digestivos|radio-18</t>
  </si>
  <si>
    <t>19. Con desvanecimientos|radio-19</t>
  </si>
  <si>
    <t>20. Con rubor facial|radio-20</t>
  </si>
  <si>
    <t>21. Con sudores, fríos o calientes​|radio-21</t>
  </si>
  <si>
    <t>Puntuación|calculation-1</t>
  </si>
  <si>
    <t>Las pruebas concluyeron ¿Acepta nuestros términos de uso?|consent-1</t>
  </si>
  <si>
    <t/>
  </si>
  <si>
    <t>Raul</t>
  </si>
  <si>
    <t>Masculino</t>
  </si>
  <si>
    <t>Casado-a</t>
  </si>
  <si>
    <t>01-02-2012</t>
  </si>
  <si>
    <t>15-04-2025</t>
  </si>
  <si>
    <t>01:02 am</t>
  </si>
  <si>
    <t>marcada</t>
  </si>
  <si>
    <t>Femenino</t>
  </si>
  <si>
    <t>02-02-2011</t>
  </si>
  <si>
    <t>01:01 am</t>
  </si>
  <si>
    <t>Axel Gael Carranza Comparan</t>
  </si>
  <si>
    <t>Soltero-a</t>
  </si>
  <si>
    <t>05-09-2013</t>
  </si>
  <si>
    <t>22-04-2025</t>
  </si>
  <si>
    <t>06:37 pm</t>
  </si>
  <si>
    <t>PX Ana Juarez</t>
  </si>
  <si>
    <t>01-01-2000</t>
  </si>
  <si>
    <t>30-04-2025</t>
  </si>
  <si>
    <t>05:00 pm</t>
  </si>
  <si>
    <t>Xochitl Hernandez Hernandez</t>
  </si>
  <si>
    <t>02-02-2012</t>
  </si>
  <si>
    <t>03-05-2025</t>
  </si>
  <si>
    <t>04:38 pm</t>
  </si>
  <si>
    <t>Leonel Abraham Galindo Garay</t>
  </si>
  <si>
    <t>30-11-2010</t>
  </si>
  <si>
    <t>22-05-2025</t>
  </si>
  <si>
    <t>12:30 pm</t>
  </si>
  <si>
    <t>Angel Alexander Gonzalez Castañeda</t>
  </si>
  <si>
    <t>Unión-Libre</t>
  </si>
  <si>
    <t>09-11-2013</t>
  </si>
  <si>
    <t>29-05-2025</t>
  </si>
  <si>
    <t>06:15 pm</t>
  </si>
  <si>
    <t>ALEXIS ROSAS</t>
  </si>
  <si>
    <t>23-01-2002</t>
  </si>
  <si>
    <t>05-07-2025</t>
  </si>
  <si>
    <t>10:00 am</t>
  </si>
  <si>
    <t>Jesus Trejo</t>
  </si>
  <si>
    <t>Divorciado-a</t>
  </si>
  <si>
    <t>14-08-1986</t>
  </si>
  <si>
    <t>14-08-2025</t>
  </si>
  <si>
    <t>04:00 pm</t>
  </si>
  <si>
    <t>0</t>
  </si>
  <si>
    <t>checked</t>
  </si>
  <si>
    <t>Juan Felipe castillo reyna</t>
  </si>
  <si>
    <t>22-05-2009</t>
  </si>
  <si>
    <t>08-10-2025</t>
  </si>
  <si>
    <t>09:15 pm</t>
  </si>
  <si>
    <t>Orlando Trejo Herrera</t>
  </si>
  <si>
    <t>05-01-2012</t>
  </si>
  <si>
    <t>16-10-2025</t>
  </si>
  <si>
    <t>07:13 pm</t>
  </si>
  <si>
    <t>Paola Nicole almanza García</t>
  </si>
  <si>
    <t>17-07-2013</t>
  </si>
  <si>
    <t>31-10-2025</t>
  </si>
  <si>
    <t>05:45 am</t>
  </si>
  <si>
    <t>Angel Daniel Garcia Ruvalcaba</t>
  </si>
  <si>
    <t>22-04-2009</t>
  </si>
  <si>
    <t>01-11-2025</t>
  </si>
  <si>
    <t>03:21 pm</t>
  </si>
  <si>
    <t>Kevin Alexander Reyes Herrera</t>
  </si>
  <si>
    <t>08-02-2009</t>
  </si>
  <si>
    <t>09-11-2025</t>
  </si>
  <si>
    <t>08:11 pm</t>
  </si>
  <si>
    <t>Elizabeth Guadalupe Jaimes Quiroz</t>
  </si>
  <si>
    <t>01-07-2013</t>
  </si>
  <si>
    <t>01-12-2025</t>
  </si>
  <si>
    <t>02:10 pm</t>
  </si>
  <si>
    <t>Carlos Joel Santos nuncio</t>
  </si>
  <si>
    <t>29-09-1991</t>
  </si>
  <si>
    <t>02-01-2026</t>
  </si>
  <si>
    <t>05:02 pm</t>
  </si>
  <si>
    <t>Vivían Yoselin Valdez Sifuentes</t>
  </si>
  <si>
    <t>26-10-2011</t>
  </si>
  <si>
    <t>20-01-2026</t>
  </si>
  <si>
    <t>12:04 am</t>
  </si>
  <si>
    <t>Cristian Alexis Nañez Rodríguez</t>
  </si>
  <si>
    <t>06-10-2011</t>
  </si>
  <si>
    <t>24-03-2026</t>
  </si>
  <si>
    <t>12:14 pm</t>
  </si>
  <si>
    <t>Ximena Sarahí Rosas Aguirre</t>
  </si>
  <si>
    <t>18-02-2013</t>
  </si>
  <si>
    <t>02-04-2026</t>
  </si>
  <si>
    <t>Gabriel Resendiz Carrasco</t>
  </si>
  <si>
    <t>14-01-2013</t>
  </si>
  <si>
    <t>20-04-2026</t>
  </si>
  <si>
    <t>01:37 pm</t>
  </si>
  <si>
    <t>Jesus Alexander Ponce Guevara</t>
  </si>
  <si>
    <t>09-04-2011</t>
  </si>
  <si>
    <t>02-05-2026</t>
  </si>
  <si>
    <t>11:44 am</t>
  </si>
  <si>
    <t>ALAN IGNACIO MUÑOZ LOPEZ</t>
  </si>
  <si>
    <t>21-01-1985</t>
  </si>
  <si>
    <t>25-05-2026</t>
  </si>
  <si>
    <t>03:35 pm</t>
  </si>
  <si>
    <t>Datos Paciente BAI - Y</t>
  </si>
  <si>
    <t>NOMBRE</t>
  </si>
  <si>
    <t>TOTAL</t>
  </si>
  <si>
    <t>NIVEL</t>
  </si>
  <si>
    <t>Nivel del paciente</t>
  </si>
  <si>
    <t>Nivel mínimo de ansiedad</t>
  </si>
  <si>
    <t>Nivel leve de ansiedad</t>
  </si>
  <si>
    <t>Nivel moderado de ansiedad</t>
  </si>
  <si>
    <t>Nivel ligero de ansiedad</t>
  </si>
  <si>
    <t>Nivel grave de ansiedad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</si>
</sst>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/>
    <font>
      <color rgb="FF000000"/>
      <name val="Arial"/>
    </font>
    <font>
      <color rgb="FFFFFFFF"/>
      <name val="Arial"/>
    </font>
    <font>
      <strike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7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horizontal="left" vertical="bottom"/>
    </xf>
    <xf borderId="2" fillId="2" fontId="3" numFmtId="0" xfId="0" applyAlignment="1" applyBorder="1" applyFill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readingOrder="0" vertical="bottom"/>
    </xf>
    <xf borderId="0" fillId="2" fontId="3" numFmtId="0" xfId="0" applyAlignment="1" applyFont="1">
      <alignment horizontal="center" readingOrder="0" vertical="bottom"/>
    </xf>
    <xf borderId="2" fillId="0" fontId="3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readingOrder="0" vertical="bottom"/>
    </xf>
    <xf borderId="0" fillId="0" fontId="2" numFmtId="0" xfId="0" applyAlignment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left" vertical="bottom"/>
    </xf>
    <xf borderId="6" fillId="0" fontId="2" numFmtId="0" xfId="0" applyAlignment="1" applyBorder="1" applyFont="1">
      <alignment horizontal="center" vertical="bottom"/>
    </xf>
    <xf borderId="0" fillId="0" fontId="6" numFmtId="0" xfId="0" applyAlignment="1" applyFont="1">
      <alignment horizontal="center" vertical="bottom"/>
    </xf>
    <xf borderId="1" fillId="0" fontId="6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0" fontId="4" numFmtId="0" xfId="0" applyBorder="1" applyFont="1"/>
    <xf borderId="1" fillId="0" fontId="2" numFmtId="0" xfId="0" applyAlignment="1" applyBorder="1" applyFont="1">
      <alignment horizontal="left" vertical="bottom"/>
    </xf>
    <xf borderId="5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4">
    <dxf>
      <font>
        <b/>
      </font>
      <fill>
        <patternFill patternType="solid">
          <fgColor rgb="FFB6D7A8"/>
          <bgColor rgb="FFB6D7A8"/>
        </patternFill>
      </fill>
      <border/>
    </dxf>
    <dxf>
      <font>
        <b/>
      </font>
      <fill>
        <patternFill patternType="solid">
          <fgColor rgb="FF6AA84F"/>
          <bgColor rgb="FF6AA84F"/>
        </patternFill>
      </fill>
      <border/>
    </dxf>
    <dxf>
      <font>
        <b/>
      </font>
      <fill>
        <patternFill patternType="solid">
          <fgColor rgb="FFFF9900"/>
          <bgColor rgb="FFFF9900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367057291666673"/>
          <c:y val="0.03964194373401535"/>
          <c:w val="0.8838294270833333"/>
          <c:h val="0.7774936061381074"/>
        </c:manualLayout>
      </c:layout>
      <c:barChart>
        <c:barDir val="col"/>
        <c:ser>
          <c:idx val="0"/>
          <c:order val="0"/>
          <c:tx>
            <c:strRef>
              <c:f>'BAI-Y'!$I$7</c:f>
            </c:strRef>
          </c:tx>
          <c:spPr>
            <a:solidFill>
              <a:srgbClr val="4285F4"/>
            </a:solidFill>
            <a:ln cmpd="sng" w="38100">
              <a:noFill/>
              <a:prstDash val="sysDot"/>
            </a:ln>
          </c:spPr>
          <c:dPt>
            <c:idx val="0"/>
            <c:spPr>
              <a:solidFill>
                <a:srgbClr val="4285F4">
                  <a:alpha val="0"/>
                </a:srgbClr>
              </a:solidFill>
              <a:ln cmpd="sng" w="38100">
                <a:noFill/>
                <a:prstDash val="sysDot"/>
              </a:ln>
            </c:spPr>
          </c:dPt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'BAI-Y'!$J$6</c:f>
            </c:strRef>
          </c:cat>
          <c:val>
            <c:numRef>
              <c:f>'BAI-Y'!$J$7</c:f>
              <c:numCache/>
            </c:numRef>
          </c:val>
        </c:ser>
        <c:ser>
          <c:idx val="1"/>
          <c:order val="1"/>
          <c:tx>
            <c:v>Nivel mínimo</c:v>
          </c:tx>
          <c:spPr>
            <a:solidFill>
              <a:srgbClr val="B6D7A8"/>
            </a:solidFill>
            <a:ln cmpd="sng">
              <a:noFill/>
            </a:ln>
          </c:spPr>
          <c:dPt>
            <c:idx val="0"/>
            <c:spPr>
              <a:solidFill>
                <a:srgbClr val="B6D7A8">
                  <a:alpha val="0"/>
                </a:srgbClr>
              </a:solidFill>
              <a:ln cmpd="sng" w="38100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'BAI-Y'!$J$6</c:f>
            </c:strRef>
          </c:cat>
          <c:val>
            <c:numRef>
              <c:f>'BAI-Y'!$J$8</c:f>
              <c:numCache/>
            </c:numRef>
          </c:val>
        </c:ser>
        <c:ser>
          <c:idx val="2"/>
          <c:order val="2"/>
          <c:tx>
            <c:v>Nivel ligero</c:v>
          </c:tx>
          <c:spPr>
            <a:solidFill>
              <a:srgbClr val="6AA84F"/>
            </a:solidFill>
            <a:ln cmpd="sng">
              <a:noFill/>
            </a:ln>
          </c:spPr>
          <c:dPt>
            <c:idx val="0"/>
            <c:spPr>
              <a:solidFill>
                <a:srgbClr val="6AA84F">
                  <a:alpha val="0"/>
                </a:srgbClr>
              </a:solidFill>
              <a:ln cmpd="sng" w="38100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'BAI-Y'!$J$6</c:f>
            </c:strRef>
          </c:cat>
          <c:val>
            <c:numRef>
              <c:f>'BAI-Y'!$J$9</c:f>
              <c:numCache/>
            </c:numRef>
          </c:val>
        </c:ser>
        <c:ser>
          <c:idx val="3"/>
          <c:order val="3"/>
          <c:tx>
            <c:v>Nivel moderado </c:v>
          </c:tx>
          <c:spPr>
            <a:solidFill>
              <a:srgbClr val="FF9900"/>
            </a:solidFill>
            <a:ln cmpd="sng">
              <a:noFill/>
            </a:ln>
          </c:spPr>
          <c:dPt>
            <c:idx val="0"/>
            <c:spPr>
              <a:solidFill>
                <a:srgbClr val="FF9900">
                  <a:alpha val="0"/>
                </a:srgbClr>
              </a:solidFill>
              <a:ln cmpd="sng" w="38100">
                <a:noFill/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latin typeface="Arial black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'BAI-Y'!$J$6</c:f>
            </c:strRef>
          </c:cat>
          <c:val>
            <c:numRef>
              <c:f>'BAI-Y'!$J$10</c:f>
              <c:numCache/>
            </c:numRef>
          </c:val>
        </c:ser>
        <c:axId val="2015420454"/>
        <c:axId val="1784389988"/>
      </c:barChart>
      <c:catAx>
        <c:axId val="20154204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Tahoma"/>
                  </a:defRPr>
                </a:pPr>
                <a:r>
                  <a:rPr b="1" sz="1400">
                    <a:solidFill>
                      <a:srgbClr val="000000"/>
                    </a:solidFill>
                    <a:latin typeface="Tahoma"/>
                  </a:rPr>
                  <a:t>Niveles de ansiedad</a:t>
                </a:r>
              </a:p>
            </c:rich>
          </c:tx>
          <c:layout>
            <c:manualLayout>
              <c:xMode val="edge"/>
              <c:yMode val="edge"/>
              <c:x val="0.07519032975557251"/>
              <c:y val="0.9381583999295048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784389988"/>
      </c:catAx>
      <c:valAx>
        <c:axId val="17843899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ahoma"/>
                  </a:defRPr>
                </a:pPr>
                <a:r>
                  <a:rPr b="0">
                    <a:solidFill>
                      <a:srgbClr val="000000"/>
                    </a:solidFill>
                    <a:latin typeface="Tahom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2015420454"/>
        <c:majorUnit val="10.0"/>
        <c:minorUnit val="5.0"/>
      </c:valAx>
    </c:plotArea>
    <c:legend>
      <c:legendPos val="b"/>
      <c:layout>
        <c:manualLayout>
          <c:xMode val="edge"/>
          <c:yMode val="edge"/>
          <c:x val="0.10688461721124624"/>
          <c:y val="0.866179786854481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0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257175</xdr:colOff>
      <xdr:row>13</xdr:row>
      <xdr:rowOff>9525</xdr:rowOff>
    </xdr:from>
    <xdr:ext cx="6267450" cy="37433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 t="s">
        <v>34</v>
      </c>
      <c r="E2" s="2">
        <v>18.0</v>
      </c>
      <c r="F2" s="3" t="s">
        <v>35</v>
      </c>
      <c r="G2" s="3" t="s">
        <v>36</v>
      </c>
      <c r="H2" s="2" t="s">
        <v>37</v>
      </c>
      <c r="I2" s="2">
        <v>1.0</v>
      </c>
      <c r="J2" s="2">
        <v>2.0</v>
      </c>
      <c r="K2" s="2">
        <v>3.0</v>
      </c>
      <c r="L2" s="2">
        <v>1.0</v>
      </c>
      <c r="M2" s="2">
        <v>2.0</v>
      </c>
      <c r="N2" s="2">
        <v>3.0</v>
      </c>
      <c r="O2" s="2">
        <v>1.0</v>
      </c>
      <c r="P2" s="2">
        <v>2.0</v>
      </c>
      <c r="Q2" s="2">
        <v>3.0</v>
      </c>
      <c r="R2" s="2">
        <v>1.0</v>
      </c>
      <c r="S2" s="2">
        <v>2.0</v>
      </c>
      <c r="T2" s="2">
        <v>3.0</v>
      </c>
      <c r="U2" s="2">
        <v>1.0</v>
      </c>
      <c r="V2" s="2">
        <v>2.0</v>
      </c>
      <c r="W2" s="2">
        <v>3.0</v>
      </c>
      <c r="X2" s="2">
        <v>1.0</v>
      </c>
      <c r="Y2" s="2">
        <v>2.0</v>
      </c>
      <c r="Z2" s="2">
        <v>3.0</v>
      </c>
      <c r="AA2" s="2">
        <v>1.0</v>
      </c>
      <c r="AB2" s="2">
        <v>2.0</v>
      </c>
      <c r="AC2" s="2">
        <v>3.0</v>
      </c>
      <c r="AD2" s="2">
        <v>35.0</v>
      </c>
      <c r="AE2" s="2" t="s">
        <v>38</v>
      </c>
    </row>
    <row r="3">
      <c r="A3" s="2" t="s">
        <v>31</v>
      </c>
      <c r="B3" s="2" t="s">
        <v>32</v>
      </c>
      <c r="C3" s="2" t="s">
        <v>39</v>
      </c>
      <c r="D3" s="2" t="s">
        <v>34</v>
      </c>
      <c r="E3" s="2">
        <v>18.0</v>
      </c>
      <c r="F3" s="3" t="s">
        <v>40</v>
      </c>
      <c r="G3" s="3" t="s">
        <v>36</v>
      </c>
      <c r="H3" s="2" t="s">
        <v>41</v>
      </c>
      <c r="I3" s="2">
        <v>1.0</v>
      </c>
      <c r="J3" s="2">
        <v>2.0</v>
      </c>
      <c r="K3" s="2">
        <v>3.0</v>
      </c>
      <c r="L3" s="2">
        <v>1.0</v>
      </c>
      <c r="M3" s="2">
        <v>2.0</v>
      </c>
      <c r="N3" s="2">
        <v>3.0</v>
      </c>
      <c r="O3" s="2">
        <v>1.0</v>
      </c>
      <c r="P3" s="2">
        <v>2.0</v>
      </c>
      <c r="Q3" s="2">
        <v>3.0</v>
      </c>
      <c r="R3" s="2">
        <v>1.0</v>
      </c>
      <c r="S3" s="2">
        <v>2.0</v>
      </c>
      <c r="T3" s="2">
        <v>3.0</v>
      </c>
      <c r="U3" s="2">
        <v>1.0</v>
      </c>
      <c r="V3" s="2">
        <v>2.0</v>
      </c>
      <c r="W3" s="2">
        <v>3.0</v>
      </c>
      <c r="X3" s="2">
        <v>1.0</v>
      </c>
      <c r="Y3" s="2">
        <v>2.0</v>
      </c>
      <c r="Z3" s="2">
        <v>3.0</v>
      </c>
      <c r="AA3" s="2">
        <v>1.0</v>
      </c>
      <c r="AB3" s="2">
        <v>2.0</v>
      </c>
      <c r="AC3" s="2">
        <v>3.0</v>
      </c>
      <c r="AD3" s="2">
        <v>42.0</v>
      </c>
      <c r="AE3" s="2" t="s">
        <v>38</v>
      </c>
    </row>
    <row r="4">
      <c r="A4" s="2" t="s">
        <v>31</v>
      </c>
      <c r="B4" s="2" t="s">
        <v>42</v>
      </c>
      <c r="C4" s="2" t="s">
        <v>33</v>
      </c>
      <c r="D4" s="2" t="s">
        <v>43</v>
      </c>
      <c r="E4" s="2">
        <v>8.0</v>
      </c>
      <c r="F4" s="3" t="s">
        <v>44</v>
      </c>
      <c r="G4" s="3" t="s">
        <v>45</v>
      </c>
      <c r="H4" s="2" t="s">
        <v>46</v>
      </c>
      <c r="I4" s="2">
        <v>0.0</v>
      </c>
      <c r="J4" s="2">
        <v>3.0</v>
      </c>
      <c r="K4" s="2">
        <v>0.0</v>
      </c>
      <c r="L4" s="2">
        <v>0.0</v>
      </c>
      <c r="M4" s="2">
        <v>0.0</v>
      </c>
      <c r="N4" s="2">
        <v>0.0</v>
      </c>
      <c r="O4" s="2">
        <v>1.0</v>
      </c>
      <c r="P4" s="2">
        <v>0.0</v>
      </c>
      <c r="Q4" s="2">
        <v>0.0</v>
      </c>
      <c r="R4" s="2">
        <v>0.0</v>
      </c>
      <c r="S4" s="2">
        <v>0.0</v>
      </c>
      <c r="T4" s="2">
        <v>1.0</v>
      </c>
      <c r="U4" s="2">
        <v>0.0</v>
      </c>
      <c r="V4" s="2">
        <v>0.0</v>
      </c>
      <c r="W4" s="2">
        <v>0.0</v>
      </c>
      <c r="X4" s="2">
        <v>1.0</v>
      </c>
      <c r="Y4" s="2">
        <v>0.0</v>
      </c>
      <c r="Z4" s="2">
        <v>3.0</v>
      </c>
      <c r="AA4" s="2">
        <v>0.0</v>
      </c>
      <c r="AB4" s="2">
        <v>3.0</v>
      </c>
      <c r="AC4" s="2">
        <v>0.0</v>
      </c>
      <c r="AD4" s="2">
        <v>12.0</v>
      </c>
      <c r="AE4" s="2" t="s">
        <v>38</v>
      </c>
    </row>
    <row r="5">
      <c r="A5" s="2" t="s">
        <v>31</v>
      </c>
      <c r="B5" s="2" t="s">
        <v>47</v>
      </c>
      <c r="C5" s="2" t="s">
        <v>39</v>
      </c>
      <c r="D5" s="2" t="s">
        <v>43</v>
      </c>
      <c r="E5" s="2">
        <v>12.0</v>
      </c>
      <c r="F5" s="3" t="s">
        <v>48</v>
      </c>
      <c r="G5" s="3" t="s">
        <v>49</v>
      </c>
      <c r="H5" s="2" t="s">
        <v>50</v>
      </c>
      <c r="I5" s="2">
        <v>3.0</v>
      </c>
      <c r="J5" s="2">
        <v>2.0</v>
      </c>
      <c r="K5" s="2">
        <v>3.0</v>
      </c>
      <c r="L5" s="2">
        <v>2.0</v>
      </c>
      <c r="M5" s="2">
        <v>3.0</v>
      </c>
      <c r="N5" s="2">
        <v>2.0</v>
      </c>
      <c r="O5" s="2">
        <v>3.0</v>
      </c>
      <c r="P5" s="2">
        <v>1.0</v>
      </c>
      <c r="Q5" s="2">
        <v>0.0</v>
      </c>
      <c r="R5" s="2">
        <v>2.0</v>
      </c>
      <c r="S5" s="2">
        <v>3.0</v>
      </c>
      <c r="T5" s="2">
        <v>2.0</v>
      </c>
      <c r="U5" s="2">
        <v>3.0</v>
      </c>
      <c r="V5" s="2">
        <v>3.0</v>
      </c>
      <c r="W5" s="2">
        <v>3.0</v>
      </c>
      <c r="X5" s="2">
        <v>0.0</v>
      </c>
      <c r="Y5" s="2">
        <v>0.0</v>
      </c>
      <c r="Z5" s="2">
        <v>0.0</v>
      </c>
      <c r="AA5" s="2">
        <v>0.0</v>
      </c>
      <c r="AB5" s="2">
        <v>1.0</v>
      </c>
      <c r="AC5" s="2">
        <v>2.0</v>
      </c>
      <c r="AD5" s="2">
        <v>38.0</v>
      </c>
      <c r="AE5" s="2" t="s">
        <v>38</v>
      </c>
    </row>
    <row r="6">
      <c r="A6" s="2" t="s">
        <v>31</v>
      </c>
      <c r="B6" s="2" t="s">
        <v>51</v>
      </c>
      <c r="C6" s="2" t="s">
        <v>39</v>
      </c>
      <c r="D6" s="2" t="s">
        <v>43</v>
      </c>
      <c r="E6" s="2">
        <v>12.0</v>
      </c>
      <c r="F6" s="3" t="s">
        <v>52</v>
      </c>
      <c r="G6" s="3" t="s">
        <v>53</v>
      </c>
      <c r="H6" s="2" t="s">
        <v>54</v>
      </c>
      <c r="I6" s="2">
        <v>1.0</v>
      </c>
      <c r="J6" s="2">
        <v>1.0</v>
      </c>
      <c r="K6" s="2">
        <v>1.0</v>
      </c>
      <c r="L6" s="2">
        <v>1.0</v>
      </c>
      <c r="M6" s="2">
        <v>2.0</v>
      </c>
      <c r="N6" s="2">
        <v>3.0</v>
      </c>
      <c r="O6" s="2">
        <v>2.0</v>
      </c>
      <c r="P6" s="2">
        <v>1.0</v>
      </c>
      <c r="Q6" s="2">
        <v>1.0</v>
      </c>
      <c r="R6" s="2">
        <v>1.0</v>
      </c>
      <c r="S6" s="2">
        <v>3.0</v>
      </c>
      <c r="T6" s="2">
        <v>2.0</v>
      </c>
      <c r="U6" s="2">
        <v>1.0</v>
      </c>
      <c r="V6" s="2">
        <v>2.0</v>
      </c>
      <c r="W6" s="2">
        <v>3.0</v>
      </c>
      <c r="X6" s="2">
        <v>3.0</v>
      </c>
      <c r="Y6" s="2">
        <v>1.0</v>
      </c>
      <c r="Z6" s="2">
        <v>1.0</v>
      </c>
      <c r="AA6" s="2">
        <v>1.0</v>
      </c>
      <c r="AB6" s="2">
        <v>3.0</v>
      </c>
      <c r="AC6" s="2">
        <v>2.0</v>
      </c>
      <c r="AD6" s="2">
        <v>36.0</v>
      </c>
      <c r="AE6" s="2" t="s">
        <v>38</v>
      </c>
    </row>
    <row r="7">
      <c r="A7" s="2" t="s">
        <v>31</v>
      </c>
      <c r="B7" s="2" t="s">
        <v>55</v>
      </c>
      <c r="C7" s="2" t="s">
        <v>33</v>
      </c>
      <c r="D7" s="2" t="s">
        <v>43</v>
      </c>
      <c r="E7" s="2">
        <v>14.0</v>
      </c>
      <c r="F7" s="3" t="s">
        <v>56</v>
      </c>
      <c r="G7" s="3" t="s">
        <v>57</v>
      </c>
      <c r="H7" s="2" t="s">
        <v>58</v>
      </c>
      <c r="I7" s="2">
        <v>0.0</v>
      </c>
      <c r="J7" s="2">
        <v>1.0</v>
      </c>
      <c r="K7" s="2">
        <v>0.0</v>
      </c>
      <c r="L7" s="2">
        <v>2.0</v>
      </c>
      <c r="M7" s="2">
        <v>0.0</v>
      </c>
      <c r="N7" s="2">
        <v>0.0</v>
      </c>
      <c r="O7" s="2">
        <v>0.0</v>
      </c>
      <c r="P7" s="2">
        <v>1.0</v>
      </c>
      <c r="Q7" s="2">
        <v>1.0</v>
      </c>
      <c r="R7" s="2">
        <v>3.0</v>
      </c>
      <c r="S7" s="2">
        <v>0.0</v>
      </c>
      <c r="T7" s="2">
        <v>2.0</v>
      </c>
      <c r="U7" s="2">
        <v>2.0</v>
      </c>
      <c r="V7" s="2">
        <v>0.0</v>
      </c>
      <c r="W7" s="2">
        <v>0.0</v>
      </c>
      <c r="X7" s="2">
        <v>0.0</v>
      </c>
      <c r="Y7" s="2">
        <v>2.0</v>
      </c>
      <c r="Z7" s="2">
        <v>0.0</v>
      </c>
      <c r="AA7" s="2">
        <v>0.0</v>
      </c>
      <c r="AB7" s="2">
        <v>0.0</v>
      </c>
      <c r="AC7" s="2">
        <v>0.0</v>
      </c>
      <c r="AD7" s="2">
        <v>14.0</v>
      </c>
      <c r="AE7" s="2" t="s">
        <v>38</v>
      </c>
    </row>
    <row r="8">
      <c r="A8" s="2" t="s">
        <v>31</v>
      </c>
      <c r="B8" s="2" t="s">
        <v>59</v>
      </c>
      <c r="C8" s="2" t="s">
        <v>33</v>
      </c>
      <c r="D8" s="2" t="s">
        <v>60</v>
      </c>
      <c r="E8" s="2">
        <v>6.0</v>
      </c>
      <c r="F8" s="3" t="s">
        <v>61</v>
      </c>
      <c r="G8" s="3" t="s">
        <v>62</v>
      </c>
      <c r="H8" s="2" t="s">
        <v>63</v>
      </c>
      <c r="I8" s="2">
        <v>0.0</v>
      </c>
      <c r="J8" s="2">
        <v>0.0</v>
      </c>
      <c r="K8" s="2">
        <v>0.0</v>
      </c>
      <c r="L8" s="2">
        <v>3.0</v>
      </c>
      <c r="M8" s="2">
        <v>3.0</v>
      </c>
      <c r="N8" s="2">
        <v>0.0</v>
      </c>
      <c r="O8" s="2">
        <v>0.0</v>
      </c>
      <c r="P8" s="2">
        <v>3.0</v>
      </c>
      <c r="Q8" s="2">
        <v>3.0</v>
      </c>
      <c r="R8" s="2">
        <v>3.0</v>
      </c>
      <c r="S8" s="2">
        <v>0.0</v>
      </c>
      <c r="T8" s="2">
        <v>0.0</v>
      </c>
      <c r="U8" s="2">
        <v>3.0</v>
      </c>
      <c r="V8" s="2">
        <v>3.0</v>
      </c>
      <c r="W8" s="2">
        <v>0.0</v>
      </c>
      <c r="X8" s="2">
        <v>3.0</v>
      </c>
      <c r="Y8" s="2">
        <v>3.0</v>
      </c>
      <c r="Z8" s="2">
        <v>2.0</v>
      </c>
      <c r="AA8" s="2">
        <v>0.0</v>
      </c>
      <c r="AB8" s="2">
        <v>3.0</v>
      </c>
      <c r="AC8" s="2">
        <v>3.0</v>
      </c>
      <c r="AD8" s="2">
        <v>35.0</v>
      </c>
      <c r="AE8" s="2" t="s">
        <v>38</v>
      </c>
    </row>
    <row r="9">
      <c r="A9" s="2" t="s">
        <v>31</v>
      </c>
      <c r="B9" s="2" t="s">
        <v>64</v>
      </c>
      <c r="C9" s="2" t="s">
        <v>33</v>
      </c>
      <c r="D9" s="2" t="s">
        <v>43</v>
      </c>
      <c r="E9" s="2">
        <v>23.0</v>
      </c>
      <c r="F9" s="3" t="s">
        <v>65</v>
      </c>
      <c r="G9" s="3" t="s">
        <v>66</v>
      </c>
      <c r="H9" s="2" t="s">
        <v>67</v>
      </c>
      <c r="I9" s="2">
        <v>0.0</v>
      </c>
      <c r="J9" s="2">
        <v>1.0</v>
      </c>
      <c r="K9" s="2">
        <v>0.0</v>
      </c>
      <c r="L9" s="2">
        <v>2.0</v>
      </c>
      <c r="M9" s="2">
        <v>1.0</v>
      </c>
      <c r="N9" s="2">
        <v>1.0</v>
      </c>
      <c r="O9" s="2">
        <v>3.0</v>
      </c>
      <c r="P9" s="2">
        <v>2.0</v>
      </c>
      <c r="Q9" s="2">
        <v>1.0</v>
      </c>
      <c r="R9" s="2">
        <v>3.0</v>
      </c>
      <c r="S9" s="2">
        <v>3.0</v>
      </c>
      <c r="T9" s="2">
        <v>2.0</v>
      </c>
      <c r="U9" s="2">
        <v>2.0</v>
      </c>
      <c r="V9" s="2">
        <v>2.0</v>
      </c>
      <c r="W9" s="2">
        <v>0.0</v>
      </c>
      <c r="X9" s="2">
        <v>1.0</v>
      </c>
      <c r="Y9" s="2">
        <v>1.0</v>
      </c>
      <c r="Z9" s="2">
        <v>3.0</v>
      </c>
      <c r="AA9" s="2">
        <v>0.0</v>
      </c>
      <c r="AB9" s="2">
        <v>1.0</v>
      </c>
      <c r="AC9" s="2">
        <v>0.0</v>
      </c>
      <c r="AD9" s="2">
        <v>29.0</v>
      </c>
      <c r="AE9" s="2" t="s">
        <v>38</v>
      </c>
    </row>
    <row r="10">
      <c r="A10" s="2" t="s">
        <v>31</v>
      </c>
      <c r="B10" s="2" t="s">
        <v>68</v>
      </c>
      <c r="C10" s="2" t="s">
        <v>33</v>
      </c>
      <c r="D10" s="2" t="s">
        <v>69</v>
      </c>
      <c r="E10" s="2">
        <v>40.0</v>
      </c>
      <c r="F10" s="3" t="s">
        <v>70</v>
      </c>
      <c r="G10" s="3" t="s">
        <v>71</v>
      </c>
      <c r="H10" s="2" t="s">
        <v>72</v>
      </c>
      <c r="I10" s="2">
        <v>1.0</v>
      </c>
      <c r="J10" s="2">
        <v>3.0</v>
      </c>
      <c r="K10" s="2">
        <v>3.0</v>
      </c>
      <c r="L10" s="2">
        <v>3.0</v>
      </c>
      <c r="M10" s="2">
        <v>1.0</v>
      </c>
      <c r="N10" s="2">
        <v>2.0</v>
      </c>
      <c r="O10" s="2">
        <v>1.0</v>
      </c>
      <c r="P10" s="2">
        <v>1.0</v>
      </c>
      <c r="Q10" s="2">
        <v>2.0</v>
      </c>
      <c r="R10" s="2">
        <v>3.0</v>
      </c>
      <c r="S10" s="3" t="s">
        <v>73</v>
      </c>
      <c r="T10" s="2">
        <v>2.0</v>
      </c>
      <c r="U10" s="2">
        <v>3.0</v>
      </c>
      <c r="V10" s="2">
        <v>1.0</v>
      </c>
      <c r="W10" s="2">
        <v>2.0</v>
      </c>
      <c r="X10" s="2">
        <v>1.0</v>
      </c>
      <c r="Y10" s="2">
        <v>1.0</v>
      </c>
      <c r="Z10" s="2">
        <v>2.0</v>
      </c>
      <c r="AA10" s="3" t="s">
        <v>73</v>
      </c>
      <c r="AB10" s="2">
        <v>1.0</v>
      </c>
      <c r="AC10" s="3" t="s">
        <v>73</v>
      </c>
      <c r="AD10" s="2">
        <v>33.0</v>
      </c>
      <c r="AE10" s="2" t="s">
        <v>74</v>
      </c>
    </row>
    <row r="11">
      <c r="A11" s="2" t="s">
        <v>31</v>
      </c>
      <c r="B11" s="2" t="s">
        <v>75</v>
      </c>
      <c r="C11" s="2" t="s">
        <v>33</v>
      </c>
      <c r="D11" s="2" t="s">
        <v>43</v>
      </c>
      <c r="E11" s="2">
        <v>16.0</v>
      </c>
      <c r="F11" s="3" t="s">
        <v>76</v>
      </c>
      <c r="G11" s="3" t="s">
        <v>77</v>
      </c>
      <c r="H11" s="2" t="s">
        <v>78</v>
      </c>
      <c r="I11" s="3" t="s">
        <v>73</v>
      </c>
      <c r="J11" s="3" t="s">
        <v>73</v>
      </c>
      <c r="K11" s="3" t="s">
        <v>73</v>
      </c>
      <c r="L11" s="3" t="s">
        <v>73</v>
      </c>
      <c r="M11" s="3" t="s">
        <v>73</v>
      </c>
      <c r="N11" s="3" t="s">
        <v>73</v>
      </c>
      <c r="O11" s="3" t="s">
        <v>73</v>
      </c>
      <c r="P11" s="3" t="s">
        <v>73</v>
      </c>
      <c r="Q11" s="3" t="s">
        <v>73</v>
      </c>
      <c r="R11" s="2">
        <v>1.0</v>
      </c>
      <c r="S11" s="2">
        <v>1.0</v>
      </c>
      <c r="T11" s="3" t="s">
        <v>73</v>
      </c>
      <c r="U11" s="3" t="s">
        <v>73</v>
      </c>
      <c r="V11" s="3" t="s">
        <v>73</v>
      </c>
      <c r="W11" s="3" t="s">
        <v>73</v>
      </c>
      <c r="X11" s="3" t="s">
        <v>73</v>
      </c>
      <c r="Y11" s="3" t="s">
        <v>73</v>
      </c>
      <c r="Z11" s="3" t="s">
        <v>73</v>
      </c>
      <c r="AA11" s="3" t="s">
        <v>73</v>
      </c>
      <c r="AB11" s="3" t="s">
        <v>73</v>
      </c>
      <c r="AC11" s="3" t="s">
        <v>73</v>
      </c>
      <c r="AD11" s="2">
        <v>2.0</v>
      </c>
      <c r="AE11" s="2" t="s">
        <v>74</v>
      </c>
    </row>
    <row r="12">
      <c r="A12" s="2" t="s">
        <v>31</v>
      </c>
      <c r="B12" s="2" t="s">
        <v>79</v>
      </c>
      <c r="C12" s="2" t="s">
        <v>33</v>
      </c>
      <c r="D12" s="2" t="s">
        <v>43</v>
      </c>
      <c r="E12" s="2">
        <v>13.0</v>
      </c>
      <c r="F12" s="3" t="s">
        <v>80</v>
      </c>
      <c r="G12" s="3" t="s">
        <v>81</v>
      </c>
      <c r="H12" s="2" t="s">
        <v>82</v>
      </c>
      <c r="I12" s="3" t="s">
        <v>73</v>
      </c>
      <c r="J12" s="2">
        <v>1.0</v>
      </c>
      <c r="K12" s="3" t="s">
        <v>73</v>
      </c>
      <c r="L12" s="2">
        <v>1.0</v>
      </c>
      <c r="M12" s="2">
        <v>1.0</v>
      </c>
      <c r="N12" s="3" t="s">
        <v>73</v>
      </c>
      <c r="O12" s="3" t="s">
        <v>73</v>
      </c>
      <c r="P12" s="3" t="s">
        <v>73</v>
      </c>
      <c r="Q12" s="2">
        <v>1.0</v>
      </c>
      <c r="R12" s="2">
        <v>1.0</v>
      </c>
      <c r="S12" s="3" t="s">
        <v>73</v>
      </c>
      <c r="T12" s="3" t="s">
        <v>73</v>
      </c>
      <c r="U12" s="2">
        <v>1.0</v>
      </c>
      <c r="V12" s="2">
        <v>1.0</v>
      </c>
      <c r="W12" s="3" t="s">
        <v>73</v>
      </c>
      <c r="X12" s="2">
        <v>2.0</v>
      </c>
      <c r="Y12" s="2">
        <v>1.0</v>
      </c>
      <c r="Z12" s="3" t="s">
        <v>73</v>
      </c>
      <c r="AA12" s="3" t="s">
        <v>73</v>
      </c>
      <c r="AB12" s="3" t="s">
        <v>73</v>
      </c>
      <c r="AC12" s="2">
        <v>2.0</v>
      </c>
      <c r="AD12" s="2">
        <v>12.0</v>
      </c>
      <c r="AE12" s="2" t="s">
        <v>74</v>
      </c>
    </row>
    <row r="13">
      <c r="A13" s="2" t="s">
        <v>31</v>
      </c>
      <c r="B13" s="2" t="s">
        <v>83</v>
      </c>
      <c r="C13" s="2" t="s">
        <v>39</v>
      </c>
      <c r="D13" s="2" t="s">
        <v>43</v>
      </c>
      <c r="E13" s="2">
        <v>18.0</v>
      </c>
      <c r="F13" s="3" t="s">
        <v>84</v>
      </c>
      <c r="G13" s="3" t="s">
        <v>85</v>
      </c>
      <c r="H13" s="2" t="s">
        <v>86</v>
      </c>
      <c r="I13" s="2">
        <v>3.0</v>
      </c>
      <c r="J13" s="2">
        <v>2.0</v>
      </c>
      <c r="K13" s="3" t="s">
        <v>73</v>
      </c>
      <c r="L13" s="2">
        <v>1.0</v>
      </c>
      <c r="M13" s="2">
        <v>3.0</v>
      </c>
      <c r="N13" s="2">
        <v>3.0</v>
      </c>
      <c r="O13" s="2">
        <v>2.0</v>
      </c>
      <c r="P13" s="2">
        <v>1.0</v>
      </c>
      <c r="Q13" s="2">
        <v>3.0</v>
      </c>
      <c r="R13" s="2">
        <v>3.0</v>
      </c>
      <c r="S13" s="2">
        <v>3.0</v>
      </c>
      <c r="T13" s="2">
        <v>3.0</v>
      </c>
      <c r="U13" s="2">
        <v>3.0</v>
      </c>
      <c r="V13" s="2">
        <v>2.0</v>
      </c>
      <c r="W13" s="2">
        <v>3.0</v>
      </c>
      <c r="X13" s="2">
        <v>1.0</v>
      </c>
      <c r="Y13" s="2">
        <v>3.0</v>
      </c>
      <c r="Z13" s="3" t="s">
        <v>73</v>
      </c>
      <c r="AA13" s="3" t="s">
        <v>73</v>
      </c>
      <c r="AB13" s="3" t="s">
        <v>73</v>
      </c>
      <c r="AC13" s="2">
        <v>3.0</v>
      </c>
      <c r="AD13" s="2">
        <v>42.0</v>
      </c>
      <c r="AE13" s="2" t="s">
        <v>74</v>
      </c>
    </row>
    <row r="14">
      <c r="A14" s="2" t="s">
        <v>31</v>
      </c>
      <c r="B14" s="2" t="s">
        <v>87</v>
      </c>
      <c r="C14" s="2" t="s">
        <v>33</v>
      </c>
      <c r="D14" s="2" t="s">
        <v>60</v>
      </c>
      <c r="E14" s="2">
        <v>16.0</v>
      </c>
      <c r="F14" s="3" t="s">
        <v>88</v>
      </c>
      <c r="G14" s="3" t="s">
        <v>89</v>
      </c>
      <c r="H14" s="2" t="s">
        <v>90</v>
      </c>
      <c r="I14" s="2">
        <v>2.0</v>
      </c>
      <c r="J14" s="2">
        <v>1.0</v>
      </c>
      <c r="K14" s="2">
        <v>3.0</v>
      </c>
      <c r="L14" s="2">
        <v>3.0</v>
      </c>
      <c r="M14" s="2">
        <v>3.0</v>
      </c>
      <c r="N14" s="2">
        <v>3.0</v>
      </c>
      <c r="O14" s="2">
        <v>2.0</v>
      </c>
      <c r="P14" s="2">
        <v>3.0</v>
      </c>
      <c r="Q14" s="2">
        <v>3.0</v>
      </c>
      <c r="R14" s="2">
        <v>3.0</v>
      </c>
      <c r="S14" s="2">
        <v>3.0</v>
      </c>
      <c r="T14" s="2">
        <v>2.0</v>
      </c>
      <c r="U14" s="2">
        <v>3.0</v>
      </c>
      <c r="V14" s="2">
        <v>3.0</v>
      </c>
      <c r="W14" s="2">
        <v>3.0</v>
      </c>
      <c r="X14" s="2">
        <v>3.0</v>
      </c>
      <c r="Y14" s="2">
        <v>3.0</v>
      </c>
      <c r="Z14" s="2">
        <v>1.0</v>
      </c>
      <c r="AA14" s="2">
        <v>1.0</v>
      </c>
      <c r="AB14" s="2">
        <v>1.0</v>
      </c>
      <c r="AC14" s="2">
        <v>1.0</v>
      </c>
      <c r="AD14" s="2">
        <v>50.0</v>
      </c>
      <c r="AE14" s="2" t="s">
        <v>74</v>
      </c>
    </row>
    <row r="15">
      <c r="A15" s="2" t="s">
        <v>31</v>
      </c>
      <c r="B15" s="2" t="s">
        <v>91</v>
      </c>
      <c r="C15" s="2" t="s">
        <v>33</v>
      </c>
      <c r="D15" s="2" t="s">
        <v>43</v>
      </c>
      <c r="E15" s="2">
        <v>16.0</v>
      </c>
      <c r="F15" s="3" t="s">
        <v>92</v>
      </c>
      <c r="G15" s="3" t="s">
        <v>93</v>
      </c>
      <c r="H15" s="2" t="s">
        <v>94</v>
      </c>
      <c r="I15" s="3" t="s">
        <v>73</v>
      </c>
      <c r="J15" s="3" t="s">
        <v>73</v>
      </c>
      <c r="K15" s="3" t="s">
        <v>73</v>
      </c>
      <c r="L15" s="3" t="s">
        <v>73</v>
      </c>
      <c r="M15" s="3" t="s">
        <v>73</v>
      </c>
      <c r="N15" s="3" t="s">
        <v>73</v>
      </c>
      <c r="O15" s="3" t="s">
        <v>73</v>
      </c>
      <c r="P15" s="3" t="s">
        <v>73</v>
      </c>
      <c r="Q15" s="3" t="s">
        <v>73</v>
      </c>
      <c r="R15" s="2">
        <v>1.0</v>
      </c>
      <c r="S15" s="3" t="s">
        <v>73</v>
      </c>
      <c r="T15" s="3" t="s">
        <v>73</v>
      </c>
      <c r="U15" s="3" t="s">
        <v>73</v>
      </c>
      <c r="V15" s="3" t="s">
        <v>73</v>
      </c>
      <c r="W15" s="3" t="s">
        <v>73</v>
      </c>
      <c r="X15" s="3" t="s">
        <v>73</v>
      </c>
      <c r="Y15" s="3" t="s">
        <v>73</v>
      </c>
      <c r="Z15" s="3" t="s">
        <v>73</v>
      </c>
      <c r="AA15" s="3" t="s">
        <v>73</v>
      </c>
      <c r="AB15" s="3" t="s">
        <v>73</v>
      </c>
      <c r="AC15" s="2">
        <v>1.0</v>
      </c>
      <c r="AD15" s="2">
        <v>2.0</v>
      </c>
      <c r="AE15" s="2" t="s">
        <v>74</v>
      </c>
    </row>
    <row r="16">
      <c r="A16" s="2" t="s">
        <v>31</v>
      </c>
      <c r="B16" s="2" t="s">
        <v>95</v>
      </c>
      <c r="C16" s="2" t="s">
        <v>39</v>
      </c>
      <c r="D16" s="2" t="s">
        <v>43</v>
      </c>
      <c r="E16" s="2">
        <v>12.0</v>
      </c>
      <c r="F16" s="3" t="s">
        <v>96</v>
      </c>
      <c r="G16" s="3" t="s">
        <v>97</v>
      </c>
      <c r="H16" s="2" t="s">
        <v>98</v>
      </c>
      <c r="I16" s="3" t="s">
        <v>73</v>
      </c>
      <c r="J16" s="2">
        <v>2.0</v>
      </c>
      <c r="K16" s="3" t="s">
        <v>73</v>
      </c>
      <c r="L16" s="2">
        <v>1.0</v>
      </c>
      <c r="M16" s="2">
        <v>1.0</v>
      </c>
      <c r="N16" s="2">
        <v>1.0</v>
      </c>
      <c r="O16" s="3" t="s">
        <v>73</v>
      </c>
      <c r="P16" s="2">
        <v>2.0</v>
      </c>
      <c r="Q16" s="3" t="s">
        <v>73</v>
      </c>
      <c r="R16" s="2">
        <v>1.0</v>
      </c>
      <c r="S16" s="3" t="s">
        <v>73</v>
      </c>
      <c r="T16" s="3" t="s">
        <v>73</v>
      </c>
      <c r="U16" s="2">
        <v>1.0</v>
      </c>
      <c r="V16" s="2">
        <v>1.0</v>
      </c>
      <c r="W16" s="3" t="s">
        <v>73</v>
      </c>
      <c r="X16" s="3" t="s">
        <v>73</v>
      </c>
      <c r="Y16" s="2">
        <v>1.0</v>
      </c>
      <c r="Z16" s="3" t="s">
        <v>73</v>
      </c>
      <c r="AA16" s="3" t="s">
        <v>73</v>
      </c>
      <c r="AB16" s="2">
        <v>1.0</v>
      </c>
      <c r="AC16" s="3" t="s">
        <v>73</v>
      </c>
      <c r="AD16" s="2">
        <v>12.0</v>
      </c>
      <c r="AE16" s="2" t="s">
        <v>74</v>
      </c>
    </row>
    <row r="17">
      <c r="A17" s="2" t="s">
        <v>31</v>
      </c>
      <c r="B17" s="2" t="s">
        <v>99</v>
      </c>
      <c r="C17" s="2" t="s">
        <v>33</v>
      </c>
      <c r="D17" s="2" t="s">
        <v>34</v>
      </c>
      <c r="E17" s="2">
        <v>34.0</v>
      </c>
      <c r="F17" s="3" t="s">
        <v>100</v>
      </c>
      <c r="G17" s="3" t="s">
        <v>101</v>
      </c>
      <c r="H17" s="2" t="s">
        <v>102</v>
      </c>
      <c r="I17" s="2">
        <v>2.0</v>
      </c>
      <c r="J17" s="2">
        <v>1.0</v>
      </c>
      <c r="K17" s="2">
        <v>2.0</v>
      </c>
      <c r="L17" s="2">
        <v>2.0</v>
      </c>
      <c r="M17" s="2">
        <v>3.0</v>
      </c>
      <c r="N17" s="2">
        <v>2.0</v>
      </c>
      <c r="O17" s="2">
        <v>2.0</v>
      </c>
      <c r="P17" s="2">
        <v>2.0</v>
      </c>
      <c r="Q17" s="2">
        <v>3.0</v>
      </c>
      <c r="R17" s="2">
        <v>3.0</v>
      </c>
      <c r="S17" s="2">
        <v>2.0</v>
      </c>
      <c r="T17" s="2">
        <v>1.0</v>
      </c>
      <c r="U17" s="2">
        <v>2.0</v>
      </c>
      <c r="V17" s="2">
        <v>3.0</v>
      </c>
      <c r="W17" s="2">
        <v>2.0</v>
      </c>
      <c r="X17" s="2">
        <v>2.0</v>
      </c>
      <c r="Y17" s="2">
        <v>3.0</v>
      </c>
      <c r="Z17" s="2">
        <v>1.0</v>
      </c>
      <c r="AA17" s="3" t="s">
        <v>73</v>
      </c>
      <c r="AB17" s="2">
        <v>1.0</v>
      </c>
      <c r="AC17" s="2">
        <v>3.0</v>
      </c>
      <c r="AD17" s="2">
        <v>42.0</v>
      </c>
      <c r="AE17" s="2" t="s">
        <v>74</v>
      </c>
    </row>
    <row r="18">
      <c r="A18" s="2" t="s">
        <v>31</v>
      </c>
      <c r="B18" s="2" t="s">
        <v>103</v>
      </c>
      <c r="C18" s="2" t="s">
        <v>39</v>
      </c>
      <c r="D18" s="2" t="s">
        <v>43</v>
      </c>
      <c r="E18" s="2">
        <v>14.0</v>
      </c>
      <c r="F18" s="3" t="s">
        <v>104</v>
      </c>
      <c r="G18" s="3" t="s">
        <v>105</v>
      </c>
      <c r="H18" s="2" t="s">
        <v>106</v>
      </c>
      <c r="I18" s="3" t="s">
        <v>73</v>
      </c>
      <c r="J18" s="3" t="s">
        <v>73</v>
      </c>
      <c r="K18" s="3" t="s">
        <v>73</v>
      </c>
      <c r="L18" s="3" t="s">
        <v>73</v>
      </c>
      <c r="M18" s="3" t="s">
        <v>73</v>
      </c>
      <c r="N18" s="3" t="s">
        <v>73</v>
      </c>
      <c r="O18" s="3" t="s">
        <v>73</v>
      </c>
      <c r="P18" s="3" t="s">
        <v>73</v>
      </c>
      <c r="Q18" s="3" t="s">
        <v>73</v>
      </c>
      <c r="R18" s="3" t="s">
        <v>73</v>
      </c>
      <c r="S18" s="3" t="s">
        <v>73</v>
      </c>
      <c r="T18" s="3" t="s">
        <v>73</v>
      </c>
      <c r="U18" s="3" t="s">
        <v>73</v>
      </c>
      <c r="V18" s="3" t="s">
        <v>73</v>
      </c>
      <c r="W18" s="3" t="s">
        <v>73</v>
      </c>
      <c r="X18" s="3" t="s">
        <v>73</v>
      </c>
      <c r="Y18" s="3" t="s">
        <v>73</v>
      </c>
      <c r="Z18" s="2">
        <v>1.0</v>
      </c>
      <c r="AA18" s="3" t="s">
        <v>73</v>
      </c>
      <c r="AB18" s="3" t="s">
        <v>73</v>
      </c>
      <c r="AC18" s="3" t="s">
        <v>73</v>
      </c>
      <c r="AD18" s="2">
        <v>1.0</v>
      </c>
      <c r="AE18" s="2" t="s">
        <v>74</v>
      </c>
    </row>
    <row r="19">
      <c r="A19" s="2" t="s">
        <v>31</v>
      </c>
      <c r="B19" s="2" t="s">
        <v>107</v>
      </c>
      <c r="C19" s="2" t="s">
        <v>33</v>
      </c>
      <c r="D19" s="2" t="s">
        <v>43</v>
      </c>
      <c r="E19" s="2">
        <v>14.0</v>
      </c>
      <c r="F19" s="3" t="s">
        <v>108</v>
      </c>
      <c r="G19" s="3" t="s">
        <v>109</v>
      </c>
      <c r="H19" s="2" t="s">
        <v>110</v>
      </c>
      <c r="I19" s="2">
        <v>1.0</v>
      </c>
      <c r="J19" s="3" t="s">
        <v>73</v>
      </c>
      <c r="K19" s="3" t="s">
        <v>73</v>
      </c>
      <c r="L19" s="2">
        <v>1.0</v>
      </c>
      <c r="M19" s="3" t="s">
        <v>73</v>
      </c>
      <c r="N19" s="3" t="s">
        <v>73</v>
      </c>
      <c r="O19" s="3" t="s">
        <v>73</v>
      </c>
      <c r="P19" s="3" t="s">
        <v>73</v>
      </c>
      <c r="Q19" s="3" t="s">
        <v>73</v>
      </c>
      <c r="R19" s="2">
        <v>1.0</v>
      </c>
      <c r="S19" s="3" t="s">
        <v>73</v>
      </c>
      <c r="T19" s="2">
        <v>1.0</v>
      </c>
      <c r="U19" s="2">
        <v>2.0</v>
      </c>
      <c r="V19" s="2">
        <v>1.0</v>
      </c>
      <c r="W19" s="2">
        <v>1.0</v>
      </c>
      <c r="X19" s="3" t="s">
        <v>73</v>
      </c>
      <c r="Y19" s="2">
        <v>1.0</v>
      </c>
      <c r="Z19" s="2">
        <v>1.0</v>
      </c>
      <c r="AA19" s="3" t="s">
        <v>73</v>
      </c>
      <c r="AB19" s="3" t="s">
        <v>73</v>
      </c>
      <c r="AC19" s="2">
        <v>1.0</v>
      </c>
      <c r="AD19" s="2">
        <v>11.0</v>
      </c>
      <c r="AE19" s="2" t="s">
        <v>74</v>
      </c>
    </row>
    <row r="20">
      <c r="A20" s="2" t="s">
        <v>31</v>
      </c>
      <c r="B20" s="2" t="s">
        <v>111</v>
      </c>
      <c r="C20" s="2" t="s">
        <v>39</v>
      </c>
      <c r="D20" s="2" t="s">
        <v>43</v>
      </c>
      <c r="E20" s="2">
        <v>11.0</v>
      </c>
      <c r="F20" s="3" t="s">
        <v>112</v>
      </c>
      <c r="G20" s="3" t="s">
        <v>113</v>
      </c>
      <c r="H20" s="2" t="s">
        <v>72</v>
      </c>
      <c r="I20" s="2">
        <v>1.0</v>
      </c>
      <c r="J20" s="2">
        <v>1.0</v>
      </c>
      <c r="K20" s="2">
        <v>3.0</v>
      </c>
      <c r="L20" s="2">
        <v>1.0</v>
      </c>
      <c r="M20" s="2">
        <v>3.0</v>
      </c>
      <c r="N20" s="2">
        <v>2.0</v>
      </c>
      <c r="O20" s="2">
        <v>2.0</v>
      </c>
      <c r="P20" s="2">
        <v>2.0</v>
      </c>
      <c r="Q20" s="2">
        <v>2.0</v>
      </c>
      <c r="R20" s="2">
        <v>2.0</v>
      </c>
      <c r="S20" s="2">
        <v>2.0</v>
      </c>
      <c r="T20" s="2">
        <v>3.0</v>
      </c>
      <c r="U20" s="2">
        <v>2.0</v>
      </c>
      <c r="V20" s="2">
        <v>2.0</v>
      </c>
      <c r="W20" s="2">
        <v>2.0</v>
      </c>
      <c r="X20" s="2">
        <v>2.0</v>
      </c>
      <c r="Y20" s="2">
        <v>2.0</v>
      </c>
      <c r="Z20" s="2">
        <v>1.0</v>
      </c>
      <c r="AA20" s="2">
        <v>1.0</v>
      </c>
      <c r="AB20" s="2">
        <v>1.0</v>
      </c>
      <c r="AC20" s="2">
        <v>1.0</v>
      </c>
      <c r="AD20" s="2">
        <v>38.0</v>
      </c>
      <c r="AE20" s="2" t="s">
        <v>74</v>
      </c>
    </row>
    <row r="21">
      <c r="A21" s="2" t="s">
        <v>31</v>
      </c>
      <c r="B21" s="2" t="s">
        <v>114</v>
      </c>
      <c r="C21" s="2" t="s">
        <v>33</v>
      </c>
      <c r="D21" s="2" t="s">
        <v>43</v>
      </c>
      <c r="E21" s="2">
        <v>13.0</v>
      </c>
      <c r="F21" s="3" t="s">
        <v>115</v>
      </c>
      <c r="G21" s="3" t="s">
        <v>116</v>
      </c>
      <c r="H21" s="2" t="s">
        <v>117</v>
      </c>
      <c r="I21" s="2">
        <v>1.0</v>
      </c>
      <c r="J21" s="2">
        <v>2.0</v>
      </c>
      <c r="K21" s="3" t="s">
        <v>73</v>
      </c>
      <c r="L21" s="2">
        <v>2.0</v>
      </c>
      <c r="M21" s="2">
        <v>2.0</v>
      </c>
      <c r="N21" s="2">
        <v>1.0</v>
      </c>
      <c r="O21" s="3" t="s">
        <v>73</v>
      </c>
      <c r="P21" s="2">
        <v>2.0</v>
      </c>
      <c r="Q21" s="2">
        <v>1.0</v>
      </c>
      <c r="R21" s="2">
        <v>2.0</v>
      </c>
      <c r="S21" s="2">
        <v>1.0</v>
      </c>
      <c r="T21" s="3" t="s">
        <v>73</v>
      </c>
      <c r="U21" s="3" t="s">
        <v>73</v>
      </c>
      <c r="V21" s="2">
        <v>2.0</v>
      </c>
      <c r="W21" s="3" t="s">
        <v>73</v>
      </c>
      <c r="X21" s="3" t="s">
        <v>73</v>
      </c>
      <c r="Y21" s="2">
        <v>1.0</v>
      </c>
      <c r="Z21" s="3" t="s">
        <v>73</v>
      </c>
      <c r="AA21" s="3" t="s">
        <v>73</v>
      </c>
      <c r="AB21" s="2">
        <v>2.0</v>
      </c>
      <c r="AC21" s="2">
        <v>2.0</v>
      </c>
      <c r="AD21" s="2">
        <v>21.0</v>
      </c>
      <c r="AE21" s="2" t="s">
        <v>74</v>
      </c>
    </row>
    <row r="22">
      <c r="A22" s="2" t="s">
        <v>31</v>
      </c>
      <c r="B22" s="2" t="s">
        <v>118</v>
      </c>
      <c r="C22" s="2" t="s">
        <v>33</v>
      </c>
      <c r="D22" s="2" t="s">
        <v>43</v>
      </c>
      <c r="E22" s="2">
        <v>15.0</v>
      </c>
      <c r="F22" s="3" t="s">
        <v>119</v>
      </c>
      <c r="G22" s="3" t="s">
        <v>120</v>
      </c>
      <c r="H22" s="2" t="s">
        <v>121</v>
      </c>
      <c r="I22" s="2">
        <v>1.0</v>
      </c>
      <c r="J22" s="2">
        <v>3.0</v>
      </c>
      <c r="K22" s="3" t="s">
        <v>73</v>
      </c>
      <c r="L22" s="2">
        <v>3.0</v>
      </c>
      <c r="M22" s="3" t="s">
        <v>73</v>
      </c>
      <c r="N22" s="2">
        <v>3.0</v>
      </c>
      <c r="O22" s="2">
        <v>1.0</v>
      </c>
      <c r="P22" s="2">
        <v>2.0</v>
      </c>
      <c r="Q22" s="3" t="s">
        <v>73</v>
      </c>
      <c r="R22" s="2">
        <v>1.0</v>
      </c>
      <c r="S22" s="2">
        <v>3.0</v>
      </c>
      <c r="T22" s="3" t="s">
        <v>73</v>
      </c>
      <c r="U22" s="2">
        <v>3.0</v>
      </c>
      <c r="V22" s="2">
        <v>1.0</v>
      </c>
      <c r="W22" s="2">
        <v>2.0</v>
      </c>
      <c r="X22" s="3" t="s">
        <v>73</v>
      </c>
      <c r="Y22" s="3" t="s">
        <v>73</v>
      </c>
      <c r="Z22" s="2">
        <v>2.0</v>
      </c>
      <c r="AA22" s="3" t="s">
        <v>73</v>
      </c>
      <c r="AB22" s="3" t="s">
        <v>73</v>
      </c>
      <c r="AC22" s="2">
        <v>1.0</v>
      </c>
      <c r="AD22" s="2">
        <v>26.0</v>
      </c>
      <c r="AE22" s="2" t="s">
        <v>74</v>
      </c>
    </row>
    <row r="23">
      <c r="A23" s="2" t="s">
        <v>31</v>
      </c>
      <c r="B23" s="2" t="s">
        <v>122</v>
      </c>
      <c r="C23" s="2" t="s">
        <v>33</v>
      </c>
      <c r="D23" s="2" t="s">
        <v>34</v>
      </c>
      <c r="E23" s="2">
        <v>41.0</v>
      </c>
      <c r="F23" s="3" t="s">
        <v>123</v>
      </c>
      <c r="G23" s="3" t="s">
        <v>124</v>
      </c>
      <c r="H23" s="2" t="s">
        <v>125</v>
      </c>
      <c r="I23" s="2">
        <v>1.0</v>
      </c>
      <c r="J23" s="2">
        <v>1.0</v>
      </c>
      <c r="K23" s="3" t="s">
        <v>73</v>
      </c>
      <c r="L23" s="2">
        <v>1.0</v>
      </c>
      <c r="M23" s="2">
        <v>1.0</v>
      </c>
      <c r="N23" s="3" t="s">
        <v>73</v>
      </c>
      <c r="O23" s="3" t="s">
        <v>73</v>
      </c>
      <c r="P23" s="3" t="s">
        <v>73</v>
      </c>
      <c r="Q23" s="3" t="s">
        <v>73</v>
      </c>
      <c r="R23" s="2">
        <v>1.0</v>
      </c>
      <c r="S23" s="2">
        <v>1.0</v>
      </c>
      <c r="T23" s="3" t="s">
        <v>73</v>
      </c>
      <c r="U23" s="2">
        <v>1.0</v>
      </c>
      <c r="V23" s="3" t="s">
        <v>73</v>
      </c>
      <c r="W23" s="3" t="s">
        <v>73</v>
      </c>
      <c r="X23" s="2">
        <v>1.0</v>
      </c>
      <c r="Y23" s="2">
        <v>1.0</v>
      </c>
      <c r="Z23" s="2">
        <v>1.0</v>
      </c>
      <c r="AA23" s="3" t="s">
        <v>73</v>
      </c>
      <c r="AB23" s="3" t="s">
        <v>73</v>
      </c>
      <c r="AC23" s="3" t="s">
        <v>73</v>
      </c>
      <c r="AD23" s="2">
        <v>10.0</v>
      </c>
      <c r="AE23" s="2" t="s">
        <v>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3" max="3" width="19.5"/>
    <col customWidth="1" min="8" max="8" width="3.38"/>
    <col hidden="1" min="9" max="10" width="12.63"/>
  </cols>
  <sheetData>
    <row r="1">
      <c r="A1" s="4"/>
      <c r="B1" s="5"/>
      <c r="C1" s="5"/>
      <c r="D1" s="5"/>
      <c r="E1" s="5"/>
      <c r="F1" s="5"/>
      <c r="G1" s="5"/>
      <c r="H1" s="4"/>
      <c r="I1" s="6"/>
      <c r="J1" s="4"/>
    </row>
    <row r="2">
      <c r="A2" s="4"/>
      <c r="B2" s="7" t="s">
        <v>126</v>
      </c>
      <c r="C2" s="8"/>
      <c r="D2" s="8"/>
      <c r="E2" s="8"/>
      <c r="F2" s="8"/>
      <c r="G2" s="9"/>
      <c r="H2" s="4"/>
      <c r="I2" s="6"/>
      <c r="J2" s="4"/>
    </row>
    <row r="3">
      <c r="A3" s="4"/>
      <c r="B3" s="4"/>
      <c r="C3" s="4"/>
      <c r="D3" s="4"/>
      <c r="E3" s="4"/>
      <c r="F3" s="4"/>
      <c r="G3" s="4"/>
      <c r="H3" s="4"/>
      <c r="I3" s="6"/>
      <c r="J3" s="4"/>
    </row>
    <row r="4">
      <c r="A4" s="4"/>
      <c r="B4" s="10" t="s">
        <v>127</v>
      </c>
      <c r="C4" s="11"/>
      <c r="H4" s="4"/>
      <c r="I4" s="6"/>
      <c r="J4" s="4"/>
    </row>
    <row r="5">
      <c r="A5" s="4"/>
      <c r="B5" s="4"/>
      <c r="C5" s="4"/>
      <c r="D5" s="4"/>
      <c r="E5" s="4"/>
      <c r="F5" s="4"/>
      <c r="G5" s="4"/>
      <c r="H5" s="4"/>
      <c r="I5" s="6"/>
      <c r="J5" s="4"/>
    </row>
    <row r="6">
      <c r="A6" s="4"/>
      <c r="B6" s="12" t="s">
        <v>128</v>
      </c>
      <c r="C6" s="8"/>
      <c r="D6" s="9"/>
      <c r="E6" s="12" t="s">
        <v>129</v>
      </c>
      <c r="F6" s="8"/>
      <c r="G6" s="9"/>
      <c r="H6" s="4"/>
      <c r="I6" s="13" t="s">
        <v>130</v>
      </c>
      <c r="J6" s="14" t="str">
        <f>B7</f>
        <v>-</v>
      </c>
    </row>
    <row r="7">
      <c r="A7" s="4"/>
      <c r="B7" s="15" t="str">
        <f>IFERROR(VLOOKUP($C$4,DATOS!B:CN,29,FALSE),"-")</f>
        <v>-</v>
      </c>
      <c r="C7" s="8"/>
      <c r="D7" s="9"/>
      <c r="E7" s="16" t="str">
        <f>IF(B7&lt;=7, "Nivel mínimo de ansiedad", IF(B7&lt;=15, "Nivel leve de ansiedad", IF(B7&lt;=25, "Nivel moderado de ansiedad", "Nivel grave de ansiedad")))</f>
        <v>Nivel grave de ansiedad</v>
      </c>
      <c r="F7" s="8"/>
      <c r="G7" s="9"/>
      <c r="H7" s="4"/>
      <c r="I7" s="17" t="s">
        <v>131</v>
      </c>
      <c r="J7" s="18">
        <f t="shared" ref="J7:J10" si="1">C9</f>
        <v>5</v>
      </c>
    </row>
    <row r="8">
      <c r="A8" s="19"/>
      <c r="B8" s="20"/>
      <c r="C8" s="21" t="str">
        <f>B7</f>
        <v>-</v>
      </c>
      <c r="D8" s="22" t="s">
        <v>130</v>
      </c>
      <c r="E8" s="23"/>
      <c r="F8" s="23"/>
      <c r="G8" s="23"/>
      <c r="H8" s="19"/>
      <c r="I8" s="24" t="s">
        <v>132</v>
      </c>
      <c r="J8" s="18">
        <f t="shared" si="1"/>
        <v>15</v>
      </c>
    </row>
    <row r="9">
      <c r="A9" s="4"/>
      <c r="B9" s="25">
        <v>0.0</v>
      </c>
      <c r="C9" s="10">
        <v>5.0</v>
      </c>
      <c r="D9" s="15" t="s">
        <v>131</v>
      </c>
      <c r="E9" s="8"/>
      <c r="F9" s="8"/>
      <c r="G9" s="9"/>
      <c r="H9" s="4"/>
      <c r="I9" s="24" t="s">
        <v>133</v>
      </c>
      <c r="J9" s="18">
        <f t="shared" si="1"/>
        <v>30</v>
      </c>
    </row>
    <row r="10">
      <c r="A10" s="4"/>
      <c r="B10" s="10">
        <v>6.0</v>
      </c>
      <c r="C10" s="25">
        <v>15.0</v>
      </c>
      <c r="D10" s="26" t="s">
        <v>134</v>
      </c>
      <c r="E10" s="8"/>
      <c r="F10" s="8"/>
      <c r="G10" s="9"/>
      <c r="H10" s="4"/>
      <c r="I10" s="24" t="s">
        <v>135</v>
      </c>
      <c r="J10" s="18">
        <f t="shared" si="1"/>
        <v>63</v>
      </c>
    </row>
    <row r="11">
      <c r="A11" s="4"/>
      <c r="B11" s="25">
        <v>16.0</v>
      </c>
      <c r="C11" s="10">
        <v>30.0</v>
      </c>
      <c r="D11" s="15" t="s">
        <v>133</v>
      </c>
      <c r="E11" s="8"/>
      <c r="F11" s="8"/>
      <c r="G11" s="9"/>
      <c r="H11" s="4"/>
      <c r="I11" s="6"/>
      <c r="J11" s="4"/>
    </row>
    <row r="12">
      <c r="A12" s="4"/>
      <c r="B12" s="10">
        <v>31.0</v>
      </c>
      <c r="C12" s="25">
        <v>63.0</v>
      </c>
      <c r="D12" s="15" t="s">
        <v>135</v>
      </c>
      <c r="E12" s="8"/>
      <c r="F12" s="8"/>
      <c r="G12" s="9"/>
      <c r="H12" s="4"/>
      <c r="I12" s="6"/>
      <c r="J12" s="4"/>
    </row>
    <row r="13">
      <c r="A13" s="4"/>
      <c r="B13" s="4"/>
      <c r="C13" s="4"/>
      <c r="D13" s="4"/>
      <c r="E13" s="4"/>
      <c r="F13" s="4"/>
      <c r="G13" s="4"/>
      <c r="H13" s="4"/>
      <c r="I13" s="6"/>
      <c r="J13" s="4"/>
    </row>
    <row r="14">
      <c r="A14" s="4"/>
      <c r="B14" s="4"/>
      <c r="C14" s="4"/>
      <c r="D14" s="4"/>
      <c r="E14" s="4"/>
      <c r="F14" s="4"/>
      <c r="G14" s="4"/>
      <c r="H14" s="4"/>
      <c r="I14" s="6"/>
      <c r="J14" s="4"/>
    </row>
    <row r="15">
      <c r="A15" s="4"/>
      <c r="B15" s="4"/>
      <c r="C15" s="4"/>
      <c r="D15" s="4"/>
      <c r="E15" s="4"/>
      <c r="F15" s="4"/>
      <c r="G15" s="4"/>
      <c r="H15" s="4"/>
      <c r="I15" s="6"/>
      <c r="J15" s="4"/>
    </row>
    <row r="16">
      <c r="A16" s="4"/>
      <c r="B16" s="4"/>
      <c r="C16" s="4"/>
      <c r="D16" s="4"/>
      <c r="E16" s="4"/>
      <c r="F16" s="4"/>
      <c r="G16" s="4"/>
      <c r="H16" s="4"/>
      <c r="I16" s="6"/>
      <c r="J16" s="4"/>
    </row>
    <row r="17">
      <c r="A17" s="4"/>
      <c r="B17" s="4"/>
      <c r="C17" s="4"/>
      <c r="D17" s="4"/>
      <c r="E17" s="4"/>
      <c r="F17" s="4"/>
      <c r="G17" s="4"/>
      <c r="H17" s="4"/>
      <c r="I17" s="6"/>
      <c r="J17" s="4"/>
    </row>
    <row r="18">
      <c r="A18" s="4"/>
      <c r="B18" s="4"/>
      <c r="C18" s="4"/>
      <c r="D18" s="4"/>
      <c r="E18" s="4"/>
      <c r="F18" s="4"/>
      <c r="G18" s="4"/>
      <c r="H18" s="4"/>
      <c r="I18" s="6"/>
      <c r="J18" s="4"/>
    </row>
    <row r="19">
      <c r="A19" s="4"/>
      <c r="B19" s="4"/>
      <c r="C19" s="4"/>
      <c r="D19" s="4"/>
      <c r="E19" s="4"/>
      <c r="F19" s="4"/>
      <c r="G19" s="4"/>
      <c r="H19" s="4"/>
      <c r="I19" s="6"/>
      <c r="J19" s="4"/>
    </row>
    <row r="20">
      <c r="A20" s="4"/>
      <c r="B20" s="4"/>
      <c r="C20" s="4"/>
      <c r="D20" s="4"/>
      <c r="E20" s="4"/>
      <c r="F20" s="4"/>
      <c r="G20" s="4"/>
      <c r="H20" s="4"/>
      <c r="I20" s="6"/>
      <c r="J20" s="4"/>
    </row>
    <row r="21">
      <c r="A21" s="4"/>
      <c r="B21" s="4"/>
      <c r="C21" s="4"/>
      <c r="D21" s="4"/>
      <c r="E21" s="4"/>
      <c r="F21" s="4"/>
      <c r="G21" s="4"/>
      <c r="H21" s="4"/>
      <c r="I21" s="6"/>
      <c r="J21" s="4"/>
    </row>
    <row r="22">
      <c r="A22" s="4"/>
      <c r="B22" s="4"/>
      <c r="C22" s="4"/>
      <c r="D22" s="4"/>
      <c r="E22" s="4"/>
      <c r="F22" s="4"/>
      <c r="G22" s="4"/>
      <c r="H22" s="4"/>
      <c r="I22" s="6"/>
      <c r="J22" s="4"/>
    </row>
    <row r="23">
      <c r="A23" s="4"/>
      <c r="B23" s="4"/>
      <c r="C23" s="4"/>
      <c r="D23" s="4"/>
      <c r="E23" s="4"/>
      <c r="F23" s="4"/>
      <c r="G23" s="4"/>
      <c r="H23" s="4"/>
      <c r="I23" s="6"/>
      <c r="J23" s="4"/>
    </row>
    <row r="24">
      <c r="A24" s="4"/>
      <c r="B24" s="4"/>
      <c r="C24" s="4"/>
      <c r="D24" s="4"/>
      <c r="E24" s="4"/>
      <c r="F24" s="4"/>
      <c r="G24" s="4"/>
      <c r="H24" s="4"/>
      <c r="I24" s="6"/>
      <c r="J24" s="4"/>
    </row>
    <row r="25">
      <c r="A25" s="4"/>
      <c r="B25" s="4"/>
      <c r="C25" s="4"/>
      <c r="D25" s="4"/>
      <c r="E25" s="4"/>
      <c r="F25" s="4"/>
      <c r="G25" s="4"/>
      <c r="H25" s="4"/>
      <c r="I25" s="6"/>
      <c r="J25" s="4"/>
    </row>
    <row r="26">
      <c r="A26" s="4"/>
      <c r="B26" s="4"/>
      <c r="C26" s="4"/>
      <c r="D26" s="4"/>
      <c r="E26" s="4"/>
      <c r="F26" s="4"/>
      <c r="G26" s="4"/>
      <c r="H26" s="4"/>
      <c r="I26" s="6"/>
      <c r="J26" s="4"/>
    </row>
    <row r="27">
      <c r="A27" s="4"/>
      <c r="B27" s="4"/>
      <c r="C27" s="4"/>
      <c r="D27" s="4"/>
      <c r="E27" s="4"/>
      <c r="F27" s="4"/>
      <c r="G27" s="4"/>
      <c r="H27" s="4"/>
      <c r="I27" s="6"/>
      <c r="J27" s="4"/>
    </row>
    <row r="28">
      <c r="A28" s="4"/>
      <c r="B28" s="4"/>
      <c r="C28" s="4"/>
      <c r="D28" s="4"/>
      <c r="E28" s="4"/>
      <c r="F28" s="4"/>
      <c r="G28" s="4"/>
      <c r="H28" s="4"/>
      <c r="I28" s="6"/>
      <c r="J28" s="4"/>
    </row>
    <row r="29">
      <c r="A29" s="4"/>
      <c r="B29" s="4"/>
      <c r="C29" s="4"/>
      <c r="D29" s="4"/>
      <c r="E29" s="4"/>
      <c r="F29" s="4"/>
      <c r="G29" s="4"/>
      <c r="H29" s="4"/>
      <c r="I29" s="6"/>
      <c r="J29" s="4"/>
    </row>
    <row r="30">
      <c r="A30" s="4"/>
      <c r="B30" s="4"/>
      <c r="C30" s="4"/>
      <c r="D30" s="4"/>
      <c r="E30" s="4"/>
      <c r="F30" s="4"/>
      <c r="G30" s="4"/>
      <c r="H30" s="4"/>
      <c r="I30" s="6"/>
      <c r="J30" s="4"/>
    </row>
    <row r="31">
      <c r="A31" s="4"/>
      <c r="B31" s="4"/>
      <c r="C31" s="4"/>
      <c r="D31" s="4"/>
      <c r="E31" s="4"/>
      <c r="F31" s="4"/>
      <c r="G31" s="4"/>
      <c r="H31" s="4"/>
      <c r="I31" s="6"/>
      <c r="J31" s="4"/>
    </row>
    <row r="32">
      <c r="A32" s="4"/>
      <c r="B32" s="4"/>
      <c r="C32" s="4"/>
      <c r="D32" s="4"/>
      <c r="E32" s="4"/>
      <c r="F32" s="4"/>
      <c r="G32" s="4"/>
      <c r="H32" s="4"/>
      <c r="I32" s="6"/>
      <c r="J32" s="4"/>
    </row>
    <row r="33">
      <c r="A33" s="4"/>
      <c r="B33" s="4"/>
      <c r="C33" s="4"/>
      <c r="D33" s="4"/>
      <c r="E33" s="4"/>
      <c r="F33" s="4"/>
      <c r="G33" s="4"/>
      <c r="H33" s="4"/>
      <c r="I33" s="6"/>
      <c r="J33" s="4"/>
    </row>
  </sheetData>
  <mergeCells count="11">
    <mergeCell ref="D9:G9"/>
    <mergeCell ref="D10:G10"/>
    <mergeCell ref="D11:G11"/>
    <mergeCell ref="D12:G12"/>
    <mergeCell ref="B2:G2"/>
    <mergeCell ref="C4:G4"/>
    <mergeCell ref="B6:D6"/>
    <mergeCell ref="E6:G6"/>
    <mergeCell ref="B7:D7"/>
    <mergeCell ref="E7:G7"/>
    <mergeCell ref="D8:G8"/>
  </mergeCells>
  <conditionalFormatting sqref="E7:G7">
    <cfRule type="cellIs" dxfId="0" priority="1" operator="equal">
      <formula>"Nivel mínimo de ansiedad"</formula>
    </cfRule>
  </conditionalFormatting>
  <conditionalFormatting sqref="E7:G7">
    <cfRule type="cellIs" dxfId="1" priority="2" operator="equal">
      <formula>"Nivel leve de ansiedad"</formula>
    </cfRule>
  </conditionalFormatting>
  <conditionalFormatting sqref="E7:G7">
    <cfRule type="cellIs" dxfId="2" priority="3" operator="equal">
      <formula>"Nivel moderado de ansiedad"</formula>
    </cfRule>
  </conditionalFormatting>
  <conditionalFormatting sqref="E7:G7">
    <cfRule type="cellIs" dxfId="3" priority="4" operator="equal">
      <formula>"Nivel grave de ansiedad"</formula>
    </cfRule>
  </conditionalFormatting>
  <dataValidations>
    <dataValidation type="list" allowBlank="1" showErrorMessage="1" sqref="C4">
      <formula1>DATOS!$B$2:$B33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