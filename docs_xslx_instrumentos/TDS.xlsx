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TDS" sheetId="2" r:id="rId6"/>
  </sheets>
  <definedNames/>
  <calcPr/>
</workbook>
</file>

<file path=xl/sharedStrings.xml><?xml version="1.0" encoding="utf-8"?>
<sst xmlns="http://schemas.openxmlformats.org/spreadsheetml/2006/main" count="529" uniqueCount="208">
  <si>
    <t>ID|number-2</t>
  </si>
  <si>
    <t>Nombre completo|name-1</t>
  </si>
  <si>
    <t>Sexo|select-1</t>
  </si>
  <si>
    <t>Estado Civil|select-2</t>
  </si>
  <si>
    <t>Edad|number-1</t>
  </si>
  <si>
    <t>Fecha de nacimiento|date-1</t>
  </si>
  <si>
    <t>Fecha de realización de la evaluación|date-2</t>
  </si>
  <si>
    <t>1- A pesar de haber dormido durante la noche, siente sueño durante el día.|radio-1</t>
  </si>
  <si>
    <t>2 - Se siente con sueño durante el día|radio-2</t>
  </si>
  <si>
    <t>3 - Se siente cansado aunque haya dormido suficiente tiempo.|radio-3</t>
  </si>
  <si>
    <t>4 - Siente muchas ganas de dormir durante el día.|radio-4</t>
  </si>
  <si>
    <t>5 - Qué tan seguido ha sentido somnolencia excesiva durante el día.|radio-5</t>
  </si>
  <si>
    <t>6 - Se despierta dos o tres horas antes de lo acostumbrado y tiene dificultades para volver a dormir.|radio-6</t>
  </si>
  <si>
    <t>7 - Se despierta antes de su horario habitual y ya no se puede quedar dormido nuevamente.|radio-7</t>
  </si>
  <si>
    <t>8 - Se despierta durante la noche con dificultades para volver a dormir|radio-8</t>
  </si>
  <si>
    <t>9 - Se despierta a mitad de la noche y no consigue volver a dormir|radio-9</t>
  </si>
  <si>
    <t>10 - Al acostarse, permanece despierto una hora o más antes de dormir|radio-10</t>
  </si>
  <si>
    <t>11 - Tarda en quedarse dormido después de que se acuesta|radio-11</t>
  </si>
  <si>
    <t>12 - Tiene dificultades para quedarse dormido|radio-12</t>
  </si>
  <si>
    <t>13 - Tiene insomnio|radio-13</t>
  </si>
  <si>
    <t>14 - Se sofoca o se atraganta mientras duerme|radio-14</t>
  </si>
  <si>
    <t>15 - Ha sentido que se detiene su respiración mientras duerme|radio-15</t>
  </si>
  <si>
    <t>16 - Ha sentido dificultad para respirar en las noches|radio-16</t>
  </si>
  <si>
    <t>17 Ha sentido que no puede moverse o se siente paralizado al empezar al despertarse|radio-17</t>
  </si>
  <si>
    <t>18 - Se orina en la cama|radio-18</t>
  </si>
  <si>
    <t>19 - Rechinan los dientes cuando está dormido|radio-19</t>
  </si>
  <si>
    <t>20 - Le han comentado que camina dormido|radio-20</t>
  </si>
  <si>
    <t>21 - Ha presentado sonambulismo|radio-21</t>
  </si>
  <si>
    <t>22 - Habla dormido|radio-22</t>
  </si>
  <si>
    <t>23 - Le han comentado que ronca mientras duerme|radio-23</t>
  </si>
  <si>
    <t>24 - Ronca|radio-24</t>
  </si>
  <si>
    <t>25 - Por la noche me duelen las piernas o se me acalambren|radio-25</t>
  </si>
  <si>
    <t>26 - Cuando intenta dormir siente dolor o cosquilleo en las piernas|radio-26</t>
  </si>
  <si>
    <t>27 - Tiene pesadillas|radio-27</t>
  </si>
  <si>
    <t>28 - Consume medicamentos que le quitan el sueño|radio-28</t>
  </si>
  <si>
    <t>29 - Consume medicamentos para conciliar el sueño|radio-29</t>
  </si>
  <si>
    <t>30 - Ha sentido que no puede moverse o se siente paralizado al empezar a dormir|radio-30</t>
  </si>
  <si>
    <t>TDS Somnolencia excesiva diurna 1 2 3 4 5|calculation-11</t>
  </si>
  <si>
    <t>TDS Insomnio Intermedio 9 13|calculation-12</t>
  </si>
  <si>
    <t>TDS Insomnio Terminal 6 7|calculation-21</t>
  </si>
  <si>
    <t>TDS Insomnio Inicial 10 11 12|calculation-13</t>
  </si>
  <si>
    <t>TDS Apnea Obstructiva 14 15 16|calculation-14</t>
  </si>
  <si>
    <t>TDS Parálisis del dormir 17 30|calculation-15</t>
  </si>
  <si>
    <t>TDS Enuresis 18|calculation-22</t>
  </si>
  <si>
    <t>TDS Bruxismo 19|calculation-23</t>
  </si>
  <si>
    <t>TDS Sonambulismo 20 21|calculation-16</t>
  </si>
  <si>
    <t>TDS Somniloquio 22|calculation-24</t>
  </si>
  <si>
    <t>TDS Ronquido 23 24|calculation-17</t>
  </si>
  <si>
    <t>TDS Piernas inquietas 25 26|calculation-18</t>
  </si>
  <si>
    <t>TDS Pesadillas 27|calculation-25</t>
  </si>
  <si>
    <t>TDS Uso de medicamentos hipnóticos 28|calculation-19</t>
  </si>
  <si>
    <t>TDS Uso de medicamentos estimulantes 29|calculation-26</t>
  </si>
  <si>
    <t/>
  </si>
  <si>
    <t>Jesus Manuel cabello rodarte</t>
  </si>
  <si>
    <t>Masculino</t>
  </si>
  <si>
    <t>Unión-Libre</t>
  </si>
  <si>
    <t>08-07-2011</t>
  </si>
  <si>
    <t>07-06-2024</t>
  </si>
  <si>
    <t>María Fernanda Nieto peña</t>
  </si>
  <si>
    <t>Femenino</t>
  </si>
  <si>
    <t>Soltero/a</t>
  </si>
  <si>
    <t>03-05-1999</t>
  </si>
  <si>
    <t>10-06-2024</t>
  </si>
  <si>
    <t>Yatzil Malillany García Martinez</t>
  </si>
  <si>
    <t>04-03-2010</t>
  </si>
  <si>
    <t>16-06-2024</t>
  </si>
  <si>
    <t>ARTURO BETANCOURT SANCHEZ</t>
  </si>
  <si>
    <t>Casado/a</t>
  </si>
  <si>
    <t>05-11-1971</t>
  </si>
  <si>
    <t>18-06-2024</t>
  </si>
  <si>
    <t>Luis Gonzalez</t>
  </si>
  <si>
    <t>18-06-2005</t>
  </si>
  <si>
    <t>Paola Lizbeth Castañeda Araiza</t>
  </si>
  <si>
    <t>29-07-1996</t>
  </si>
  <si>
    <t>21-06-2024</t>
  </si>
  <si>
    <t>Ricardo Misael Linares Rivera</t>
  </si>
  <si>
    <t>30-07-2011</t>
  </si>
  <si>
    <t>08-07-2024</t>
  </si>
  <si>
    <t>Mariana Gelinas Martín del Campo</t>
  </si>
  <si>
    <t>07-10-1999</t>
  </si>
  <si>
    <t>12-08-2024</t>
  </si>
  <si>
    <t>Carla Victoria García Reyes</t>
  </si>
  <si>
    <t>15-12-1998</t>
  </si>
  <si>
    <t>Selene Cecilia Moncada Reyes</t>
  </si>
  <si>
    <t>09-09-1999</t>
  </si>
  <si>
    <t>20-08-2024</t>
  </si>
  <si>
    <t>Aide Maribel cedillo Valverde</t>
  </si>
  <si>
    <t>15-06-1996</t>
  </si>
  <si>
    <t>31-08-2024</t>
  </si>
  <si>
    <t>Montserrat rodriguez rivera</t>
  </si>
  <si>
    <t>18-10-1999</t>
  </si>
  <si>
    <t>03-09-2024</t>
  </si>
  <si>
    <t>Diana Karely Gonzalez Ugartechea</t>
  </si>
  <si>
    <t>Divorciado-a</t>
  </si>
  <si>
    <t>30-04-2024</t>
  </si>
  <si>
    <t>13-09-2024</t>
  </si>
  <si>
    <t>Liliana FUentes Elizondo</t>
  </si>
  <si>
    <t>26-07-1978</t>
  </si>
  <si>
    <t>04-10-2024</t>
  </si>
  <si>
    <t>María Fernanda González Marín</t>
  </si>
  <si>
    <t>31-01-2005</t>
  </si>
  <si>
    <t>09-10-2024</t>
  </si>
  <si>
    <t>Maria fernanda torres ibarra</t>
  </si>
  <si>
    <t>20-05-2024</t>
  </si>
  <si>
    <t>20-10-2024</t>
  </si>
  <si>
    <t>Evelyn Murillo ruiz</t>
  </si>
  <si>
    <t>10-03-1994</t>
  </si>
  <si>
    <t>11-11-2024</t>
  </si>
  <si>
    <t>03-12-2024</t>
  </si>
  <si>
    <t>Rosalinda Rodríguez Valdés</t>
  </si>
  <si>
    <t>17-04-1973</t>
  </si>
  <si>
    <t>09-01-2025</t>
  </si>
  <si>
    <t>María josefina Uresti Ibarra</t>
  </si>
  <si>
    <t>19-03-1968</t>
  </si>
  <si>
    <t>14-01-2025</t>
  </si>
  <si>
    <t>Regina Quiroz Villanueva</t>
  </si>
  <si>
    <t>18-06-2008</t>
  </si>
  <si>
    <t>19-02-2025</t>
  </si>
  <si>
    <t>Judith Carolina Rodriguez Quiróz</t>
  </si>
  <si>
    <t>24-04-1984</t>
  </si>
  <si>
    <t>27-02-2025</t>
  </si>
  <si>
    <t>Leonardo Vela Acosta</t>
  </si>
  <si>
    <t>30-06-1998</t>
  </si>
  <si>
    <t>12-03-2025</t>
  </si>
  <si>
    <t>Raul Mendez Perdomo</t>
  </si>
  <si>
    <t>20-04-1978</t>
  </si>
  <si>
    <t>26-03-2025</t>
  </si>
  <si>
    <t>Daniel Macario Bell</t>
  </si>
  <si>
    <t>17-11-1976</t>
  </si>
  <si>
    <t>Roberto Vazquez Mireles</t>
  </si>
  <si>
    <t>15-03-1994</t>
  </si>
  <si>
    <t>Austreberto Lievano Ruiz</t>
  </si>
  <si>
    <t>05-03-1970</t>
  </si>
  <si>
    <t>Gabriel Lopez Lopez</t>
  </si>
  <si>
    <t>07-09-1989</t>
  </si>
  <si>
    <t>Fernando Gonzalez Alvarez</t>
  </si>
  <si>
    <t>18-11-1984</t>
  </si>
  <si>
    <t>Juan Eduardo Torres Calixto</t>
  </si>
  <si>
    <t>27-03-2025</t>
  </si>
  <si>
    <t>Jesús Adrián Frausto Pérez</t>
  </si>
  <si>
    <t>13-01-1992</t>
  </si>
  <si>
    <t>María Guadalupe Martinez urenda</t>
  </si>
  <si>
    <t>13-04-1966</t>
  </si>
  <si>
    <t>18-06-2025</t>
  </si>
  <si>
    <t>Areli Berenice Rodríguez López</t>
  </si>
  <si>
    <t>16-11-2025</t>
  </si>
  <si>
    <t>05-08-2025</t>
  </si>
  <si>
    <t>0</t>
  </si>
  <si>
    <t>Cynthia Barragan Martínez</t>
  </si>
  <si>
    <t>26-03-1982</t>
  </si>
  <si>
    <t>13-10-2025</t>
  </si>
  <si>
    <t>Marley Renata Medellin López</t>
  </si>
  <si>
    <t>28-12-2015</t>
  </si>
  <si>
    <t>18-11-2025</t>
  </si>
  <si>
    <t>Leo Daniel Castañeda Contreras</t>
  </si>
  <si>
    <t>18-02-2005</t>
  </si>
  <si>
    <t>26-11-2025</t>
  </si>
  <si>
    <t>Ramón Adalberto Torres Reyes</t>
  </si>
  <si>
    <t>22-03-2018</t>
  </si>
  <si>
    <t>02-12-2025</t>
  </si>
  <si>
    <t>Antonio Emmanuel Torres Reyes</t>
  </si>
  <si>
    <t>María José González Antúnez</t>
  </si>
  <si>
    <t>17-04-2025</t>
  </si>
  <si>
    <t>04-12-2025</t>
  </si>
  <si>
    <t>Melissa Michelle Calderón Flores</t>
  </si>
  <si>
    <t>17-11-2020</t>
  </si>
  <si>
    <t>13-01-2026</t>
  </si>
  <si>
    <t>Luisa Fernanda Contreras Morales</t>
  </si>
  <si>
    <t>12-02-2002</t>
  </si>
  <si>
    <t>16-01-2026</t>
  </si>
  <si>
    <t>Veronica Gutiérrez Nuñez</t>
  </si>
  <si>
    <t>13-02-2026</t>
  </si>
  <si>
    <t>Carlos Javier Lopez herrera</t>
  </si>
  <si>
    <t>09-11-1983</t>
  </si>
  <si>
    <t>09-04-2026</t>
  </si>
  <si>
    <t xml:space="preserve">Datos TDS </t>
  </si>
  <si>
    <t>NOMBRE</t>
  </si>
  <si>
    <t>Factores de alteración de sueño general positivos</t>
  </si>
  <si>
    <t>Factores de nivel bajo</t>
  </si>
  <si>
    <t>Factores de nivel medio</t>
  </si>
  <si>
    <t>Factores de nivel alto</t>
  </si>
  <si>
    <t>Factores de nivel muy alto</t>
  </si>
  <si>
    <t>Factores</t>
  </si>
  <si>
    <t>%</t>
  </si>
  <si>
    <r>
      <rPr>
        <rFont val="Arial"/>
        <b/>
        <color theme="1"/>
      </rPr>
      <t xml:space="preserve">Apnea Obstructiva
</t>
    </r>
    <r>
      <rPr>
        <rFont val="Arial"/>
        <b val="0"/>
        <color theme="1"/>
      </rPr>
      <t>Se caracteriza por una obstrucción del flujo de aire en la vía aérea</t>
    </r>
  </si>
  <si>
    <t>0-12</t>
  </si>
  <si>
    <t>NULO</t>
  </si>
  <si>
    <r>
      <rPr>
        <rFont val="Arial"/>
        <b/>
        <color theme="1"/>
      </rPr>
      <t xml:space="preserve">Bruxismo
</t>
    </r>
    <r>
      <rPr>
        <rFont val="Arial"/>
        <b val="0"/>
        <color theme="1"/>
      </rPr>
      <t>Contracción de varios musculares lo cual provoca el cierre de la mandíbula superior e inferior</t>
    </r>
  </si>
  <si>
    <t>0-4</t>
  </si>
  <si>
    <t>BAJO</t>
  </si>
  <si>
    <r>
      <rPr>
        <rFont val="Arial"/>
        <b/>
        <color theme="1"/>
      </rPr>
      <t xml:space="preserve">Enuresis
</t>
    </r>
    <r>
      <rPr>
        <rFont val="Arial"/>
        <b val="0"/>
        <color theme="1"/>
      </rPr>
      <t>Se caracteriza por la micción involuntaria recurrente que se produce durante eI sueño.</t>
    </r>
  </si>
  <si>
    <t>MEDIO</t>
  </si>
  <si>
    <r>
      <rPr>
        <rFont val="Arial"/>
        <b/>
        <color theme="1"/>
      </rPr>
      <t xml:space="preserve">Insomnio Inicial
</t>
    </r>
    <r>
      <rPr>
        <rFont val="Arial"/>
        <b val="0"/>
        <color theme="1"/>
      </rPr>
      <t>Dificultad para quedarse dormido más de 30 minutos.</t>
    </r>
  </si>
  <si>
    <t>ALTO</t>
  </si>
  <si>
    <r>
      <rPr>
        <rFont val="Arial"/>
        <b/>
        <color theme="1"/>
      </rPr>
      <t xml:space="preserve">Insomnio Intermedio
</t>
    </r>
    <r>
      <rPr>
        <rFont val="Arial"/>
        <b val="0"/>
        <color theme="1"/>
      </rPr>
      <t>Se despierta durante la noche, generalmente, con problemas para volver a dormirse.</t>
    </r>
  </si>
  <si>
    <t>0-8</t>
  </si>
  <si>
    <t>MUY ALTO</t>
  </si>
  <si>
    <r>
      <rPr>
        <rFont val="Arial"/>
        <b/>
        <color theme="1"/>
      </rPr>
      <t>Insomnio terminal</t>
    </r>
    <r>
      <rPr>
        <rFont val="Arial"/>
        <b val="0"/>
        <color theme="1"/>
      </rPr>
      <t xml:space="preserve">
Se despierta dos o tres horas antes de lo habitual y tiene problemas para volver a dormirse.</t>
    </r>
  </si>
  <si>
    <r>
      <rPr>
        <rFont val="Arial"/>
        <b/>
        <color theme="1"/>
      </rPr>
      <t xml:space="preserve">Parálisis del sueño
</t>
    </r>
    <r>
      <rPr>
        <rFont val="Arial"/>
        <b val="0"/>
        <color theme="1"/>
      </rPr>
      <t>Consiste en un período de incapacidad para hablar y para realizar movimientos voluntarios las diferentes partes
del cuerpo suelen suceder en fases del sueño.</t>
    </r>
  </si>
  <si>
    <r>
      <rPr>
        <rFont val="Arial"/>
        <b/>
        <color theme="1"/>
      </rPr>
      <t xml:space="preserve">Pesadillas
</t>
    </r>
    <r>
      <rPr>
        <rFont val="Arial"/>
        <b val="0"/>
        <color theme="1"/>
      </rPr>
      <t>Ensoñaciones con contenido desagradable que producen una sensación de miedo en quien las experimentan</t>
    </r>
  </si>
  <si>
    <r>
      <rPr>
        <rFont val="Arial"/>
        <b/>
        <color theme="1"/>
      </rPr>
      <t xml:space="preserve">Ronquido
</t>
    </r>
    <r>
      <rPr>
        <rFont val="Arial"/>
        <b val="0"/>
        <color theme="1"/>
      </rPr>
      <t>Sonido respiratorio generado por el paso del aire en la vía aérea alta, principalmente durante la fase de inspiración.</t>
    </r>
  </si>
  <si>
    <r>
      <rPr>
        <rFont val="Arial"/>
        <b/>
        <color theme="1"/>
      </rPr>
      <t xml:space="preserve">Sindrome de piernas inquietas
</t>
    </r>
    <r>
      <rPr>
        <rFont val="Arial"/>
        <b val="0"/>
        <color theme="1"/>
      </rPr>
      <t>Sensaciones desagradables en las piernas que comúnmente ocurren antes de quedarse dormido.</t>
    </r>
  </si>
  <si>
    <r>
      <rPr>
        <rFont val="Arial"/>
        <b/>
        <color theme="1"/>
      </rPr>
      <t xml:space="preserve">Somniloquio
</t>
    </r>
    <r>
      <rPr>
        <rFont val="Arial"/>
        <b val="0"/>
        <color theme="1"/>
      </rPr>
      <t>Hablar palabras aisladas o discursos completos durante el sueño, no se recuerda al día siguiente.</t>
    </r>
  </si>
  <si>
    <r>
      <rPr>
        <rFont val="Arial"/>
        <b/>
        <color theme="1"/>
      </rPr>
      <t xml:space="preserve">Somnolencia excesiva diurna
</t>
    </r>
    <r>
      <rPr>
        <rFont val="Arial"/>
        <b val="0"/>
        <color theme="1"/>
      </rPr>
      <t>Incapacidad para mantenerse despierto y alerta durante el día, lleva a un aumento de en el tiempo total del sueño diario sin sensación de sueño reparadora.</t>
    </r>
  </si>
  <si>
    <t>0-20</t>
  </si>
  <si>
    <r>
      <rPr>
        <rFont val="Arial"/>
        <b/>
        <color theme="1"/>
      </rPr>
      <t xml:space="preserve">Sonambulismo
</t>
    </r>
    <r>
      <rPr>
        <rFont val="Arial"/>
        <b val="0"/>
        <color theme="1"/>
      </rPr>
      <t>Se presenta en las fases del sueño profundo, es una secuencia de comportamientos complejos que incluyen caminar dormido.</t>
    </r>
  </si>
  <si>
    <r>
      <rPr>
        <rFont val="Arial"/>
        <b/>
        <color theme="1"/>
      </rPr>
      <t xml:space="preserve">Uso de medicamentos estimulantes
</t>
    </r>
    <r>
      <rPr>
        <rFont val="Arial"/>
        <b val="0"/>
        <color theme="1"/>
      </rPr>
      <t>Fármacos que incrementan el nivel del estado de alerta y actividad motora, y disminuye la sensación de somnolencia y fatiga.</t>
    </r>
  </si>
  <si>
    <r>
      <rPr>
        <rFont val="Arial"/>
        <b/>
        <color theme="1"/>
      </rPr>
      <t xml:space="preserve">Uso de medicamentos hipnóticos
</t>
    </r>
    <r>
      <rPr>
        <rFont val="Arial"/>
        <b val="0"/>
        <color theme="1"/>
      </rPr>
      <t>Fármacos que disminuyen el nivel del estado de alerta y actividad motora.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</si>
</sst>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 %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color rgb="FF000000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15.0"/>
      <color theme="1"/>
      <name val="Arial"/>
    </font>
    <font>
      <b/>
      <color rgb="FF000000"/>
      <name val="Arial"/>
    </font>
    <font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2" fillId="2" fontId="5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3" fontId="5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2" fillId="4" fontId="7" numFmtId="0" xfId="0" applyAlignment="1" applyBorder="1" applyFill="1" applyFont="1">
      <alignment horizontal="center" readingOrder="0" shrinkToFit="0" vertical="center" wrapText="1"/>
    </xf>
    <xf borderId="3" fillId="5" fontId="6" numFmtId="0" xfId="0" applyBorder="1" applyFill="1" applyFont="1"/>
    <xf borderId="4" fillId="5" fontId="6" numFmtId="0" xfId="0" applyBorder="1" applyFont="1"/>
    <xf borderId="2" fillId="4" fontId="8" numFmtId="0" xfId="0" applyAlignment="1" applyBorder="1" applyFont="1">
      <alignment horizontal="center" readingOrder="0" vertical="center"/>
    </xf>
    <xf borderId="0" fillId="4" fontId="8" numFmtId="164" xfId="0" applyAlignment="1" applyFont="1" applyNumberFormat="1">
      <alignment horizontal="center" readingOrder="0" vertical="center"/>
    </xf>
    <xf borderId="3" fillId="6" fontId="6" numFmtId="0" xfId="0" applyBorder="1" applyFill="1" applyFont="1"/>
    <xf borderId="4" fillId="6" fontId="6" numFmtId="0" xfId="0" applyBorder="1" applyFont="1"/>
    <xf borderId="2" fillId="7" fontId="8" numFmtId="0" xfId="0" applyAlignment="1" applyBorder="1" applyFill="1" applyFont="1">
      <alignment horizontal="center" readingOrder="0" vertical="center"/>
    </xf>
    <xf borderId="3" fillId="8" fontId="6" numFmtId="0" xfId="0" applyBorder="1" applyFill="1" applyFont="1"/>
    <xf borderId="4" fillId="8" fontId="6" numFmtId="0" xfId="0" applyBorder="1" applyFont="1"/>
    <xf borderId="2" fillId="9" fontId="8" numFmtId="0" xfId="0" applyAlignment="1" applyBorder="1" applyFill="1" applyFont="1">
      <alignment horizontal="center" readingOrder="0" vertical="center"/>
    </xf>
    <xf borderId="2" fillId="10" fontId="8" numFmtId="0" xfId="0" applyAlignment="1" applyBorder="1" applyFill="1" applyFont="1">
      <alignment horizontal="center" readingOrder="0" vertical="center"/>
    </xf>
    <xf borderId="2" fillId="11" fontId="8" numFmtId="0" xfId="0" applyAlignment="1" applyBorder="1" applyFill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5" fillId="2" fontId="5" numFmtId="164" xfId="0" applyAlignment="1" applyBorder="1" applyFont="1" applyNumberFormat="1">
      <alignment horizontal="center" readingOrder="0" vertical="center"/>
    </xf>
    <xf borderId="5" fillId="8" fontId="9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left" readingOrder="0" shrinkToFit="0" vertical="center" wrapText="1"/>
    </xf>
    <xf borderId="5" fillId="8" fontId="8" numFmtId="0" xfId="0" applyAlignment="1" applyBorder="1" applyFont="1">
      <alignment horizontal="center" readingOrder="0" vertical="center"/>
    </xf>
    <xf borderId="5" fillId="8" fontId="8" numFmtId="164" xfId="0" applyAlignment="1" applyBorder="1" applyFont="1" applyNumberFormat="1">
      <alignment horizontal="center" readingOrder="0" vertical="center"/>
    </xf>
    <xf borderId="0" fillId="8" fontId="10" numFmtId="0" xfId="0" applyAlignment="1" applyFont="1">
      <alignment horizontal="center" readingOrder="0" shrinkToFit="0" vertical="center" wrapText="1"/>
    </xf>
    <xf borderId="5" fillId="6" fontId="9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left" readingOrder="0" shrinkToFit="0" vertical="center" wrapText="1"/>
    </xf>
    <xf borderId="5" fillId="6" fontId="8" numFmtId="0" xfId="0" applyAlignment="1" applyBorder="1" applyFont="1">
      <alignment horizontal="center" readingOrder="0" vertical="center"/>
    </xf>
    <xf borderId="5" fillId="6" fontId="8" numFmtId="164" xfId="0" applyAlignment="1" applyBorder="1" applyFont="1" applyNumberFormat="1">
      <alignment horizontal="center" readingOrder="0" vertical="center"/>
    </xf>
    <xf borderId="0" fillId="6" fontId="10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>
        <v>12.0</v>
      </c>
      <c r="F2" s="3" t="s">
        <v>56</v>
      </c>
      <c r="G2" s="3" t="s">
        <v>57</v>
      </c>
      <c r="H2" s="2">
        <v>4.0</v>
      </c>
      <c r="I2" s="2">
        <v>4.0</v>
      </c>
      <c r="J2" s="2">
        <v>4.0</v>
      </c>
      <c r="K2" s="2">
        <v>4.0</v>
      </c>
      <c r="L2" s="2">
        <v>2.0</v>
      </c>
      <c r="M2" s="2">
        <v>0.0</v>
      </c>
      <c r="N2" s="2">
        <v>0.0</v>
      </c>
      <c r="O2" s="2">
        <v>0.0</v>
      </c>
      <c r="P2" s="2">
        <v>0.0</v>
      </c>
      <c r="Q2" s="2">
        <v>3.0</v>
      </c>
      <c r="R2" s="2">
        <v>4.0</v>
      </c>
      <c r="S2" s="2">
        <v>4.0</v>
      </c>
      <c r="T2" s="2">
        <v>1.0</v>
      </c>
      <c r="U2" s="2">
        <v>0.0</v>
      </c>
      <c r="V2" s="2">
        <v>0.0</v>
      </c>
      <c r="W2" s="2">
        <v>0.0</v>
      </c>
      <c r="X2" s="2">
        <v>1.0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1.0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18.0</v>
      </c>
      <c r="AM2" s="2">
        <v>1.0</v>
      </c>
      <c r="AN2" s="2">
        <v>0.0</v>
      </c>
      <c r="AO2" s="2">
        <v>11.0</v>
      </c>
      <c r="AP2" s="2">
        <v>0.0</v>
      </c>
      <c r="AQ2" s="2">
        <v>1.0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1.0</v>
      </c>
      <c r="AX2" s="2">
        <v>0.0</v>
      </c>
      <c r="AY2" s="2">
        <v>0.0</v>
      </c>
      <c r="AZ2" s="2">
        <v>0.0</v>
      </c>
    </row>
    <row r="3">
      <c r="A3" s="2" t="s">
        <v>52</v>
      </c>
      <c r="B3" s="2" t="s">
        <v>58</v>
      </c>
      <c r="C3" s="2" t="s">
        <v>59</v>
      </c>
      <c r="D3" s="2" t="s">
        <v>60</v>
      </c>
      <c r="E3" s="2">
        <v>25.0</v>
      </c>
      <c r="F3" s="3" t="s">
        <v>61</v>
      </c>
      <c r="G3" s="3" t="s">
        <v>62</v>
      </c>
      <c r="H3" s="2">
        <v>4.0</v>
      </c>
      <c r="I3" s="2">
        <v>4.0</v>
      </c>
      <c r="J3" s="2">
        <v>3.0</v>
      </c>
      <c r="K3" s="2">
        <v>4.0</v>
      </c>
      <c r="L3" s="2">
        <v>3.0</v>
      </c>
      <c r="M3" s="2">
        <v>0.0</v>
      </c>
      <c r="N3" s="2">
        <v>1.0</v>
      </c>
      <c r="O3" s="2">
        <v>2.0</v>
      </c>
      <c r="P3" s="2">
        <v>1.0</v>
      </c>
      <c r="Q3" s="2">
        <v>2.0</v>
      </c>
      <c r="R3" s="2">
        <v>0.0</v>
      </c>
      <c r="S3" s="2">
        <v>0.0</v>
      </c>
      <c r="T3" s="2">
        <v>1.0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1.0</v>
      </c>
      <c r="AE3" s="2">
        <v>1.0</v>
      </c>
      <c r="AF3" s="2">
        <v>0.0</v>
      </c>
      <c r="AG3" s="2">
        <v>0.0</v>
      </c>
      <c r="AH3" s="2">
        <v>1.0</v>
      </c>
      <c r="AI3" s="2">
        <v>0.0</v>
      </c>
      <c r="AJ3" s="2">
        <v>0.0</v>
      </c>
      <c r="AK3" s="2">
        <v>0.0</v>
      </c>
      <c r="AL3" s="2">
        <v>18.0</v>
      </c>
      <c r="AM3" s="2">
        <v>2.0</v>
      </c>
      <c r="AN3" s="2">
        <v>1.0</v>
      </c>
      <c r="AO3" s="2">
        <v>2.0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2.0</v>
      </c>
      <c r="AW3" s="2">
        <v>0.0</v>
      </c>
      <c r="AX3" s="2">
        <v>1.0</v>
      </c>
      <c r="AY3" s="2">
        <v>0.0</v>
      </c>
      <c r="AZ3" s="2">
        <v>0.0</v>
      </c>
    </row>
    <row r="4">
      <c r="A4" s="2" t="s">
        <v>52</v>
      </c>
      <c r="B4" s="2" t="s">
        <v>63</v>
      </c>
      <c r="C4" s="2" t="s">
        <v>54</v>
      </c>
      <c r="D4" s="2" t="s">
        <v>60</v>
      </c>
      <c r="E4" s="2">
        <v>14.0</v>
      </c>
      <c r="F4" s="3" t="s">
        <v>64</v>
      </c>
      <c r="G4" s="3" t="s">
        <v>65</v>
      </c>
      <c r="H4" s="2">
        <v>3.0</v>
      </c>
      <c r="I4" s="2">
        <v>3.0</v>
      </c>
      <c r="J4" s="2">
        <v>3.0</v>
      </c>
      <c r="K4" s="2">
        <v>3.0</v>
      </c>
      <c r="L4" s="2">
        <v>2.0</v>
      </c>
      <c r="M4" s="2">
        <v>4.0</v>
      </c>
      <c r="N4" s="2">
        <v>4.0</v>
      </c>
      <c r="O4" s="2">
        <v>4.0</v>
      </c>
      <c r="P4" s="2">
        <v>4.0</v>
      </c>
      <c r="Q4" s="2">
        <v>3.0</v>
      </c>
      <c r="R4" s="2">
        <v>4.0</v>
      </c>
      <c r="S4" s="2">
        <v>4.0</v>
      </c>
      <c r="T4" s="2">
        <v>4.0</v>
      </c>
      <c r="U4" s="2">
        <v>2.0</v>
      </c>
      <c r="V4" s="2">
        <v>3.0</v>
      </c>
      <c r="W4" s="2">
        <v>3.0</v>
      </c>
      <c r="X4" s="2">
        <v>2.0</v>
      </c>
      <c r="Y4" s="2">
        <v>0.0</v>
      </c>
      <c r="Z4" s="2">
        <v>0.0</v>
      </c>
      <c r="AA4" s="2">
        <v>3.0</v>
      </c>
      <c r="AB4" s="2">
        <v>2.0</v>
      </c>
      <c r="AC4" s="2">
        <v>2.0</v>
      </c>
      <c r="AD4" s="2">
        <v>0.0</v>
      </c>
      <c r="AE4" s="2">
        <v>0.0</v>
      </c>
      <c r="AF4" s="2">
        <v>3.0</v>
      </c>
      <c r="AG4" s="2">
        <v>0.0</v>
      </c>
      <c r="AH4" s="2">
        <v>3.0</v>
      </c>
      <c r="AI4" s="2">
        <v>0.0</v>
      </c>
      <c r="AJ4" s="2">
        <v>3.0</v>
      </c>
      <c r="AK4" s="2">
        <v>2.0</v>
      </c>
      <c r="AL4" s="2">
        <v>14.0</v>
      </c>
      <c r="AM4" s="2">
        <v>8.0</v>
      </c>
      <c r="AN4" s="2">
        <v>8.0</v>
      </c>
      <c r="AO4" s="2">
        <v>11.0</v>
      </c>
      <c r="AP4" s="2">
        <v>8.0</v>
      </c>
      <c r="AQ4" s="2">
        <v>4.0</v>
      </c>
      <c r="AR4" s="2">
        <v>0.0</v>
      </c>
      <c r="AS4" s="2">
        <v>0.0</v>
      </c>
      <c r="AT4" s="2">
        <v>5.0</v>
      </c>
      <c r="AU4" s="2">
        <v>2.0</v>
      </c>
      <c r="AV4" s="2">
        <v>0.0</v>
      </c>
      <c r="AW4" s="2">
        <v>3.0</v>
      </c>
      <c r="AX4" s="2">
        <v>3.0</v>
      </c>
      <c r="AY4" s="2">
        <v>0.0</v>
      </c>
      <c r="AZ4" s="2">
        <v>3.0</v>
      </c>
    </row>
    <row r="5">
      <c r="A5" s="2" t="s">
        <v>52</v>
      </c>
      <c r="B5" s="2" t="s">
        <v>66</v>
      </c>
      <c r="C5" s="2" t="s">
        <v>54</v>
      </c>
      <c r="D5" s="2" t="s">
        <v>67</v>
      </c>
      <c r="E5" s="2">
        <v>52.0</v>
      </c>
      <c r="F5" s="3" t="s">
        <v>68</v>
      </c>
      <c r="G5" s="3" t="s">
        <v>69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1.0</v>
      </c>
      <c r="R5" s="2">
        <v>1.0</v>
      </c>
      <c r="S5" s="2">
        <v>1.0</v>
      </c>
      <c r="T5" s="2">
        <v>1.0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2.0</v>
      </c>
      <c r="AA5" s="2">
        <v>0.0</v>
      </c>
      <c r="AB5" s="2">
        <v>0.0</v>
      </c>
      <c r="AC5" s="2">
        <v>1.0</v>
      </c>
      <c r="AD5" s="2">
        <v>2.0</v>
      </c>
      <c r="AE5" s="2">
        <v>2.0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1.0</v>
      </c>
      <c r="AL5" s="2">
        <v>0.0</v>
      </c>
      <c r="AM5" s="2">
        <v>1.0</v>
      </c>
      <c r="AN5" s="2">
        <v>0.0</v>
      </c>
      <c r="AO5" s="2">
        <v>3.0</v>
      </c>
      <c r="AP5" s="2">
        <v>0.0</v>
      </c>
      <c r="AQ5" s="2">
        <v>1.0</v>
      </c>
      <c r="AR5" s="2">
        <v>0.0</v>
      </c>
      <c r="AS5" s="2">
        <v>2.0</v>
      </c>
      <c r="AT5" s="2">
        <v>0.0</v>
      </c>
      <c r="AU5" s="2">
        <v>1.0</v>
      </c>
      <c r="AV5" s="2">
        <v>4.0</v>
      </c>
      <c r="AW5" s="2">
        <v>0.0</v>
      </c>
      <c r="AX5" s="2">
        <v>0.0</v>
      </c>
      <c r="AY5" s="2">
        <v>0.0</v>
      </c>
      <c r="AZ5" s="2">
        <v>0.0</v>
      </c>
    </row>
    <row r="6">
      <c r="A6" s="2" t="s">
        <v>52</v>
      </c>
      <c r="B6" s="2" t="s">
        <v>70</v>
      </c>
      <c r="C6" s="2" t="s">
        <v>54</v>
      </c>
      <c r="D6" s="2" t="s">
        <v>60</v>
      </c>
      <c r="E6" s="2">
        <v>18.0</v>
      </c>
      <c r="F6" s="3" t="s">
        <v>71</v>
      </c>
      <c r="G6" s="3" t="s">
        <v>69</v>
      </c>
      <c r="H6" s="2">
        <v>3.0</v>
      </c>
      <c r="I6" s="2">
        <v>3.0</v>
      </c>
      <c r="J6" s="2">
        <v>3.0</v>
      </c>
      <c r="K6" s="2">
        <v>3.0</v>
      </c>
      <c r="L6" s="2">
        <v>3.0</v>
      </c>
      <c r="M6" s="2">
        <v>1.0</v>
      </c>
      <c r="N6" s="2">
        <v>2.0</v>
      </c>
      <c r="O6" s="2">
        <v>1.0</v>
      </c>
      <c r="P6" s="2">
        <v>0.0</v>
      </c>
      <c r="Q6" s="2">
        <v>1.0</v>
      </c>
      <c r="R6" s="2">
        <v>1.0</v>
      </c>
      <c r="S6" s="2">
        <v>1.0</v>
      </c>
      <c r="T6" s="2">
        <v>1.0</v>
      </c>
      <c r="U6" s="2">
        <v>0.0</v>
      </c>
      <c r="V6" s="2">
        <v>0.0</v>
      </c>
      <c r="W6" s="2">
        <v>0.0</v>
      </c>
      <c r="X6" s="2">
        <v>2.0</v>
      </c>
      <c r="Y6" s="2">
        <v>0.0</v>
      </c>
      <c r="Z6" s="2">
        <v>2.0</v>
      </c>
      <c r="AA6" s="2">
        <v>0.0</v>
      </c>
      <c r="AB6" s="2">
        <v>0.0</v>
      </c>
      <c r="AC6" s="2">
        <v>2.0</v>
      </c>
      <c r="AD6" s="2">
        <v>1.0</v>
      </c>
      <c r="AE6" s="2">
        <v>0.0</v>
      </c>
      <c r="AF6" s="2">
        <v>3.0</v>
      </c>
      <c r="AG6" s="2">
        <v>2.0</v>
      </c>
      <c r="AH6" s="2">
        <v>4.0</v>
      </c>
      <c r="AI6" s="2">
        <v>0.0</v>
      </c>
      <c r="AJ6" s="2">
        <v>2.0</v>
      </c>
      <c r="AK6" s="2">
        <v>0.0</v>
      </c>
      <c r="AL6" s="2">
        <v>15.0</v>
      </c>
      <c r="AM6" s="2">
        <v>1.0</v>
      </c>
      <c r="AN6" s="2">
        <v>3.0</v>
      </c>
      <c r="AO6" s="2">
        <v>3.0</v>
      </c>
      <c r="AP6" s="2">
        <v>0.0</v>
      </c>
      <c r="AQ6" s="2">
        <v>2.0</v>
      </c>
      <c r="AR6" s="2">
        <v>0.0</v>
      </c>
      <c r="AS6" s="2">
        <v>2.0</v>
      </c>
      <c r="AT6" s="2">
        <v>0.0</v>
      </c>
      <c r="AU6" s="2">
        <v>2.0</v>
      </c>
      <c r="AV6" s="2">
        <v>1.0</v>
      </c>
      <c r="AW6" s="2">
        <v>5.0</v>
      </c>
      <c r="AX6" s="2">
        <v>4.0</v>
      </c>
      <c r="AY6" s="2">
        <v>0.0</v>
      </c>
      <c r="AZ6" s="2">
        <v>2.0</v>
      </c>
    </row>
    <row r="7">
      <c r="A7" s="2" t="s">
        <v>52</v>
      </c>
      <c r="B7" s="2" t="s">
        <v>72</v>
      </c>
      <c r="C7" s="2" t="s">
        <v>59</v>
      </c>
      <c r="D7" s="2" t="s">
        <v>60</v>
      </c>
      <c r="E7" s="2">
        <v>2718.0</v>
      </c>
      <c r="F7" s="3" t="s">
        <v>73</v>
      </c>
      <c r="G7" s="3" t="s">
        <v>74</v>
      </c>
      <c r="H7" s="2">
        <v>2.0</v>
      </c>
      <c r="I7" s="2">
        <v>2.0</v>
      </c>
      <c r="J7" s="2">
        <v>2.0</v>
      </c>
      <c r="K7" s="2">
        <v>2.0</v>
      </c>
      <c r="L7" s="2">
        <v>1.0</v>
      </c>
      <c r="M7" s="2">
        <v>1.0</v>
      </c>
      <c r="N7" s="2">
        <v>2.0</v>
      </c>
      <c r="O7" s="2">
        <v>2.0</v>
      </c>
      <c r="P7" s="2">
        <v>1.0</v>
      </c>
      <c r="Q7" s="2">
        <v>1.0</v>
      </c>
      <c r="R7" s="2">
        <v>2.0</v>
      </c>
      <c r="S7" s="2">
        <v>2.0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1.0</v>
      </c>
      <c r="AE7" s="2">
        <v>1.0</v>
      </c>
      <c r="AF7" s="2">
        <v>2.0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9.0</v>
      </c>
      <c r="AM7" s="2">
        <v>1.0</v>
      </c>
      <c r="AN7" s="2">
        <v>3.0</v>
      </c>
      <c r="AO7" s="2">
        <v>5.0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2.0</v>
      </c>
      <c r="AW7" s="2">
        <v>2.0</v>
      </c>
      <c r="AX7" s="2">
        <v>1.0</v>
      </c>
      <c r="AY7" s="2">
        <v>0.0</v>
      </c>
      <c r="AZ7" s="2">
        <v>0.0</v>
      </c>
    </row>
    <row r="8">
      <c r="A8" s="2" t="s">
        <v>52</v>
      </c>
      <c r="B8" s="2" t="s">
        <v>75</v>
      </c>
      <c r="C8" s="2" t="s">
        <v>54</v>
      </c>
      <c r="D8" s="2" t="s">
        <v>60</v>
      </c>
      <c r="E8" s="2">
        <v>12.0</v>
      </c>
      <c r="F8" s="3" t="s">
        <v>76</v>
      </c>
      <c r="G8" s="3" t="s">
        <v>77</v>
      </c>
      <c r="H8" s="2">
        <v>1.0</v>
      </c>
      <c r="I8" s="2">
        <v>0.0</v>
      </c>
      <c r="J8" s="2">
        <v>1.0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1.0</v>
      </c>
      <c r="R8" s="2">
        <v>1.0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1.0</v>
      </c>
      <c r="AD8" s="2">
        <v>1.0</v>
      </c>
      <c r="AE8" s="2">
        <v>1.0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2.0</v>
      </c>
      <c r="AM8" s="2">
        <v>0.0</v>
      </c>
      <c r="AN8" s="2">
        <v>0.0</v>
      </c>
      <c r="AO8" s="2">
        <v>3.0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1.0</v>
      </c>
      <c r="AV8" s="2">
        <v>2.0</v>
      </c>
      <c r="AW8" s="2">
        <v>0.0</v>
      </c>
      <c r="AX8" s="2">
        <v>0.0</v>
      </c>
      <c r="AY8" s="2">
        <v>0.0</v>
      </c>
      <c r="AZ8" s="2">
        <v>0.0</v>
      </c>
    </row>
    <row r="9">
      <c r="A9" s="2" t="s">
        <v>52</v>
      </c>
      <c r="B9" s="2" t="s">
        <v>78</v>
      </c>
      <c r="C9" s="2" t="s">
        <v>59</v>
      </c>
      <c r="D9" s="2" t="s">
        <v>60</v>
      </c>
      <c r="E9" s="2">
        <v>24.0</v>
      </c>
      <c r="F9" s="3" t="s">
        <v>79</v>
      </c>
      <c r="G9" s="3" t="s">
        <v>80</v>
      </c>
      <c r="H9" s="2">
        <v>3.0</v>
      </c>
      <c r="I9" s="2">
        <v>3.0</v>
      </c>
      <c r="J9" s="2">
        <v>4.0</v>
      </c>
      <c r="K9" s="2">
        <v>3.0</v>
      </c>
      <c r="L9" s="2">
        <v>3.0</v>
      </c>
      <c r="M9" s="2">
        <v>1.0</v>
      </c>
      <c r="N9" s="2">
        <v>0.0</v>
      </c>
      <c r="O9" s="2">
        <v>0.0</v>
      </c>
      <c r="P9" s="2">
        <v>0.0</v>
      </c>
      <c r="Q9" s="2">
        <v>3.0</v>
      </c>
      <c r="R9" s="2">
        <v>4.0</v>
      </c>
      <c r="S9" s="2">
        <v>2.0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3.0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16.0</v>
      </c>
      <c r="AM9" s="2">
        <v>0.0</v>
      </c>
      <c r="AN9" s="2">
        <v>1.0</v>
      </c>
      <c r="AO9" s="2">
        <v>9.0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3.0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</row>
    <row r="10">
      <c r="A10" s="2" t="s">
        <v>52</v>
      </c>
      <c r="B10" s="2" t="s">
        <v>81</v>
      </c>
      <c r="C10" s="2" t="s">
        <v>59</v>
      </c>
      <c r="D10" s="2" t="s">
        <v>55</v>
      </c>
      <c r="E10" s="2">
        <v>25.0</v>
      </c>
      <c r="F10" s="3" t="s">
        <v>82</v>
      </c>
      <c r="G10" s="3" t="s">
        <v>80</v>
      </c>
      <c r="H10" s="2">
        <v>2.0</v>
      </c>
      <c r="I10" s="2">
        <v>2.0</v>
      </c>
      <c r="J10" s="2">
        <v>3.0</v>
      </c>
      <c r="K10" s="2">
        <v>3.0</v>
      </c>
      <c r="L10" s="2">
        <v>2.0</v>
      </c>
      <c r="M10" s="2">
        <v>1.0</v>
      </c>
      <c r="N10" s="2">
        <v>0.0</v>
      </c>
      <c r="O10" s="2">
        <v>1.0</v>
      </c>
      <c r="P10" s="2">
        <v>0.0</v>
      </c>
      <c r="Q10" s="2">
        <v>0.0</v>
      </c>
      <c r="R10" s="2">
        <v>1.0</v>
      </c>
      <c r="S10" s="2">
        <v>1.0</v>
      </c>
      <c r="T10" s="2">
        <v>1.0</v>
      </c>
      <c r="U10" s="2">
        <v>1.0</v>
      </c>
      <c r="V10" s="2">
        <v>0.0</v>
      </c>
      <c r="W10" s="2">
        <v>0.0</v>
      </c>
      <c r="X10" s="2">
        <v>1.0</v>
      </c>
      <c r="Y10" s="2">
        <v>0.0</v>
      </c>
      <c r="Z10" s="2">
        <v>1.0</v>
      </c>
      <c r="AA10" s="2">
        <v>1.0</v>
      </c>
      <c r="AB10" s="2">
        <v>1.0</v>
      </c>
      <c r="AC10" s="2">
        <v>2.0</v>
      </c>
      <c r="AD10" s="2">
        <v>1.0</v>
      </c>
      <c r="AE10" s="2">
        <v>0.0</v>
      </c>
      <c r="AF10" s="2">
        <v>1.0</v>
      </c>
      <c r="AG10" s="2">
        <v>0.0</v>
      </c>
      <c r="AH10" s="2">
        <v>1.0</v>
      </c>
      <c r="AI10" s="2">
        <v>0.0</v>
      </c>
      <c r="AJ10" s="2">
        <v>0.0</v>
      </c>
      <c r="AK10" s="2">
        <v>1.0</v>
      </c>
      <c r="AL10" s="2">
        <v>12.0</v>
      </c>
      <c r="AM10" s="2">
        <v>1.0</v>
      </c>
      <c r="AN10" s="2">
        <v>1.0</v>
      </c>
      <c r="AO10" s="2">
        <v>2.0</v>
      </c>
      <c r="AP10" s="2">
        <v>1.0</v>
      </c>
      <c r="AQ10" s="2">
        <v>2.0</v>
      </c>
      <c r="AR10" s="2">
        <v>0.0</v>
      </c>
      <c r="AS10" s="2">
        <v>1.0</v>
      </c>
      <c r="AT10" s="2">
        <v>2.0</v>
      </c>
      <c r="AU10" s="2">
        <v>2.0</v>
      </c>
      <c r="AV10" s="2">
        <v>1.0</v>
      </c>
      <c r="AW10" s="2">
        <v>1.0</v>
      </c>
      <c r="AX10" s="2">
        <v>1.0</v>
      </c>
      <c r="AY10" s="2">
        <v>0.0</v>
      </c>
      <c r="AZ10" s="2">
        <v>0.0</v>
      </c>
    </row>
    <row r="11">
      <c r="A11" s="2" t="s">
        <v>52</v>
      </c>
      <c r="B11" s="2" t="s">
        <v>83</v>
      </c>
      <c r="C11" s="2" t="s">
        <v>59</v>
      </c>
      <c r="D11" s="2" t="s">
        <v>60</v>
      </c>
      <c r="E11" s="2">
        <v>24.0</v>
      </c>
      <c r="F11" s="3" t="s">
        <v>84</v>
      </c>
      <c r="G11" s="3" t="s">
        <v>85</v>
      </c>
      <c r="H11" s="2">
        <v>2.0</v>
      </c>
      <c r="I11" s="2">
        <v>3.0</v>
      </c>
      <c r="J11" s="2">
        <v>2.0</v>
      </c>
      <c r="K11" s="2">
        <v>3.0</v>
      </c>
      <c r="L11" s="2">
        <v>2.0</v>
      </c>
      <c r="M11" s="2">
        <v>2.0</v>
      </c>
      <c r="N11" s="2">
        <v>2.0</v>
      </c>
      <c r="O11" s="2">
        <v>3.0</v>
      </c>
      <c r="P11" s="2">
        <v>2.0</v>
      </c>
      <c r="Q11" s="2">
        <v>3.0</v>
      </c>
      <c r="R11" s="2">
        <v>3.0</v>
      </c>
      <c r="S11" s="2">
        <v>2.0</v>
      </c>
      <c r="T11" s="2">
        <v>1.0</v>
      </c>
      <c r="U11" s="2">
        <v>0.0</v>
      </c>
      <c r="V11" s="2">
        <v>1.0</v>
      </c>
      <c r="W11" s="2">
        <v>0.0</v>
      </c>
      <c r="X11" s="2">
        <v>0.0</v>
      </c>
      <c r="Y11" s="2">
        <v>0.0</v>
      </c>
      <c r="Z11" s="2">
        <v>1.0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1.0</v>
      </c>
      <c r="AG11" s="2">
        <v>1.0</v>
      </c>
      <c r="AH11" s="2">
        <v>2.0</v>
      </c>
      <c r="AI11" s="2">
        <v>0.0</v>
      </c>
      <c r="AJ11" s="2">
        <v>0.0</v>
      </c>
      <c r="AK11" s="2">
        <v>0.0</v>
      </c>
      <c r="AL11" s="2">
        <v>12.0</v>
      </c>
      <c r="AM11" s="2">
        <v>3.0</v>
      </c>
      <c r="AN11" s="2">
        <v>4.0</v>
      </c>
      <c r="AO11" s="2">
        <v>8.0</v>
      </c>
      <c r="AP11" s="2">
        <v>1.0</v>
      </c>
      <c r="AQ11" s="2">
        <v>0.0</v>
      </c>
      <c r="AR11" s="2">
        <v>0.0</v>
      </c>
      <c r="AS11" s="2">
        <v>1.0</v>
      </c>
      <c r="AT11" s="2">
        <v>0.0</v>
      </c>
      <c r="AU11" s="2">
        <v>0.0</v>
      </c>
      <c r="AV11" s="2">
        <v>0.0</v>
      </c>
      <c r="AW11" s="2">
        <v>2.0</v>
      </c>
      <c r="AX11" s="2">
        <v>2.0</v>
      </c>
      <c r="AY11" s="2">
        <v>0.0</v>
      </c>
      <c r="AZ11" s="2">
        <v>0.0</v>
      </c>
    </row>
    <row r="12">
      <c r="A12" s="2" t="s">
        <v>52</v>
      </c>
      <c r="B12" s="2" t="s">
        <v>86</v>
      </c>
      <c r="C12" s="2" t="s">
        <v>59</v>
      </c>
      <c r="D12" s="2" t="s">
        <v>60</v>
      </c>
      <c r="E12" s="2">
        <v>28.0</v>
      </c>
      <c r="F12" s="3" t="s">
        <v>87</v>
      </c>
      <c r="G12" s="3" t="s">
        <v>88</v>
      </c>
      <c r="H12" s="2">
        <v>3.0</v>
      </c>
      <c r="I12" s="2">
        <v>2.0</v>
      </c>
      <c r="J12" s="2">
        <v>3.0</v>
      </c>
      <c r="K12" s="2">
        <v>0.0</v>
      </c>
      <c r="L12" s="2">
        <v>2.0</v>
      </c>
      <c r="M12" s="2">
        <v>2.0</v>
      </c>
      <c r="N12" s="2">
        <v>1.0</v>
      </c>
      <c r="O12" s="2">
        <v>0.0</v>
      </c>
      <c r="P12" s="2">
        <v>0.0</v>
      </c>
      <c r="Q12" s="2">
        <v>2.0</v>
      </c>
      <c r="R12" s="2">
        <v>3.0</v>
      </c>
      <c r="S12" s="2">
        <v>2.0</v>
      </c>
      <c r="T12" s="2">
        <v>0.0</v>
      </c>
      <c r="U12" s="2">
        <v>0.0</v>
      </c>
      <c r="V12" s="2">
        <v>0.0</v>
      </c>
      <c r="W12" s="2">
        <v>0.0</v>
      </c>
      <c r="X12" s="2">
        <v>1.0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1.0</v>
      </c>
      <c r="AE12" s="2">
        <v>1.0</v>
      </c>
      <c r="AF12" s="2">
        <v>2.0</v>
      </c>
      <c r="AG12" s="2">
        <v>0.0</v>
      </c>
      <c r="AH12" s="2">
        <v>1.0</v>
      </c>
      <c r="AI12" s="2">
        <v>0.0</v>
      </c>
      <c r="AJ12" s="2">
        <v>0.0</v>
      </c>
      <c r="AK12" s="2">
        <v>0.0</v>
      </c>
      <c r="AL12" s="2">
        <v>10.0</v>
      </c>
      <c r="AM12" s="2">
        <v>0.0</v>
      </c>
      <c r="AN12" s="2">
        <v>3.0</v>
      </c>
      <c r="AO12" s="2">
        <v>7.0</v>
      </c>
      <c r="AP12" s="2">
        <v>0.0</v>
      </c>
      <c r="AQ12" s="2">
        <v>1.0</v>
      </c>
      <c r="AR12" s="2">
        <v>0.0</v>
      </c>
      <c r="AS12" s="2">
        <v>0.0</v>
      </c>
      <c r="AT12" s="2">
        <v>0.0</v>
      </c>
      <c r="AU12" s="2">
        <v>0.0</v>
      </c>
      <c r="AV12" s="2">
        <v>2.0</v>
      </c>
      <c r="AW12" s="2">
        <v>2.0</v>
      </c>
      <c r="AX12" s="2">
        <v>1.0</v>
      </c>
      <c r="AY12" s="2">
        <v>0.0</v>
      </c>
      <c r="AZ12" s="2">
        <v>0.0</v>
      </c>
    </row>
    <row r="13">
      <c r="A13" s="2" t="s">
        <v>52</v>
      </c>
      <c r="B13" s="2" t="s">
        <v>89</v>
      </c>
      <c r="C13" s="2" t="s">
        <v>59</v>
      </c>
      <c r="D13" s="2" t="s">
        <v>60</v>
      </c>
      <c r="E13" s="2">
        <v>24.0</v>
      </c>
      <c r="F13" s="3" t="s">
        <v>90</v>
      </c>
      <c r="G13" s="3" t="s">
        <v>91</v>
      </c>
      <c r="H13" s="2">
        <v>4.0</v>
      </c>
      <c r="I13" s="2">
        <v>4.0</v>
      </c>
      <c r="J13" s="2">
        <v>4.0</v>
      </c>
      <c r="K13" s="2">
        <v>4.0</v>
      </c>
      <c r="L13" s="2">
        <v>4.0</v>
      </c>
      <c r="M13" s="2">
        <v>3.0</v>
      </c>
      <c r="N13" s="2">
        <v>0.0</v>
      </c>
      <c r="O13" s="2">
        <v>3.0</v>
      </c>
      <c r="P13" s="2">
        <v>1.0</v>
      </c>
      <c r="Q13" s="2">
        <v>4.0</v>
      </c>
      <c r="R13" s="2">
        <v>4.0</v>
      </c>
      <c r="S13" s="2">
        <v>3.0</v>
      </c>
      <c r="T13" s="2">
        <v>2.0</v>
      </c>
      <c r="U13" s="2">
        <v>0.0</v>
      </c>
      <c r="V13" s="2">
        <v>0.0</v>
      </c>
      <c r="W13" s="2">
        <v>0.0</v>
      </c>
      <c r="X13" s="2">
        <v>3.0</v>
      </c>
      <c r="Y13" s="2">
        <v>0.0</v>
      </c>
      <c r="Z13" s="2">
        <v>3.0</v>
      </c>
      <c r="AA13" s="2">
        <v>0.0</v>
      </c>
      <c r="AB13" s="2">
        <v>0.0</v>
      </c>
      <c r="AC13" s="2">
        <v>4.0</v>
      </c>
      <c r="AD13" s="2">
        <v>0.0</v>
      </c>
      <c r="AE13" s="2">
        <v>0.0</v>
      </c>
      <c r="AF13" s="2">
        <v>4.0</v>
      </c>
      <c r="AG13" s="2">
        <v>4.0</v>
      </c>
      <c r="AH13" s="2">
        <v>3.0</v>
      </c>
      <c r="AI13" s="2">
        <v>0.0</v>
      </c>
      <c r="AJ13" s="2">
        <v>0.0</v>
      </c>
      <c r="AK13" s="2">
        <v>0.0</v>
      </c>
      <c r="AL13" s="2">
        <v>20.0</v>
      </c>
      <c r="AM13" s="2">
        <v>3.0</v>
      </c>
      <c r="AN13" s="2">
        <v>3.0</v>
      </c>
      <c r="AO13" s="2">
        <v>11.0</v>
      </c>
      <c r="AP13" s="2">
        <v>0.0</v>
      </c>
      <c r="AQ13" s="2">
        <v>3.0</v>
      </c>
      <c r="AR13" s="2">
        <v>0.0</v>
      </c>
      <c r="AS13" s="2">
        <v>3.0</v>
      </c>
      <c r="AT13" s="2">
        <v>0.0</v>
      </c>
      <c r="AU13" s="2">
        <v>4.0</v>
      </c>
      <c r="AV13" s="2">
        <v>0.0</v>
      </c>
      <c r="AW13" s="2">
        <v>8.0</v>
      </c>
      <c r="AX13" s="2">
        <v>3.0</v>
      </c>
      <c r="AY13" s="2">
        <v>0.0</v>
      </c>
      <c r="AZ13" s="2">
        <v>0.0</v>
      </c>
    </row>
    <row r="14">
      <c r="A14" s="2" t="s">
        <v>52</v>
      </c>
      <c r="B14" s="2" t="s">
        <v>92</v>
      </c>
      <c r="C14" s="2" t="s">
        <v>59</v>
      </c>
      <c r="D14" s="2" t="s">
        <v>93</v>
      </c>
      <c r="E14" s="2">
        <v>30.0</v>
      </c>
      <c r="F14" s="3" t="s">
        <v>94</v>
      </c>
      <c r="G14" s="3" t="s">
        <v>95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3.0</v>
      </c>
      <c r="N14" s="2">
        <v>3.0</v>
      </c>
      <c r="O14" s="2">
        <v>3.0</v>
      </c>
      <c r="P14" s="2">
        <v>3.0</v>
      </c>
      <c r="Q14" s="2">
        <v>3.0</v>
      </c>
      <c r="R14" s="2">
        <v>3.0</v>
      </c>
      <c r="S14" s="2">
        <v>3.0</v>
      </c>
      <c r="T14" s="2">
        <v>4.0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4.0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4.0</v>
      </c>
      <c r="AK14" s="2">
        <v>0.0</v>
      </c>
      <c r="AL14" s="2">
        <v>0.0</v>
      </c>
      <c r="AM14" s="2">
        <v>7.0</v>
      </c>
      <c r="AN14" s="2">
        <v>6.0</v>
      </c>
      <c r="AO14" s="2">
        <v>9.0</v>
      </c>
      <c r="AP14" s="2">
        <v>0.0</v>
      </c>
      <c r="AQ14" s="2">
        <v>0.0</v>
      </c>
      <c r="AR14" s="2">
        <v>0.0</v>
      </c>
      <c r="AS14" s="2">
        <v>4.0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4.0</v>
      </c>
    </row>
    <row r="15">
      <c r="A15" s="2" t="s">
        <v>52</v>
      </c>
      <c r="B15" s="2" t="s">
        <v>96</v>
      </c>
      <c r="C15" s="2" t="s">
        <v>59</v>
      </c>
      <c r="D15" s="2" t="s">
        <v>67</v>
      </c>
      <c r="E15" s="2">
        <v>42.0</v>
      </c>
      <c r="F15" s="3" t="s">
        <v>97</v>
      </c>
      <c r="G15" s="3" t="s">
        <v>98</v>
      </c>
      <c r="H15" s="2">
        <v>2.0</v>
      </c>
      <c r="I15" s="2">
        <v>1.0</v>
      </c>
      <c r="J15" s="2">
        <v>1.0</v>
      </c>
      <c r="K15" s="2">
        <v>1.0</v>
      </c>
      <c r="L15" s="2">
        <v>1.0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1.0</v>
      </c>
      <c r="AE15" s="2">
        <v>1.0</v>
      </c>
      <c r="AF15" s="2">
        <v>1.0</v>
      </c>
      <c r="AG15" s="2">
        <v>0.0</v>
      </c>
      <c r="AH15" s="2">
        <v>1.0</v>
      </c>
      <c r="AI15" s="2">
        <v>0.0</v>
      </c>
      <c r="AJ15" s="2">
        <v>0.0</v>
      </c>
      <c r="AK15" s="2">
        <v>0.0</v>
      </c>
      <c r="AL15" s="2">
        <v>6.0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2.0</v>
      </c>
      <c r="AW15" s="2">
        <v>1.0</v>
      </c>
      <c r="AX15" s="2">
        <v>1.0</v>
      </c>
      <c r="AY15" s="2">
        <v>0.0</v>
      </c>
      <c r="AZ15" s="2">
        <v>0.0</v>
      </c>
    </row>
    <row r="16">
      <c r="A16" s="2" t="s">
        <v>52</v>
      </c>
      <c r="B16" s="2" t="s">
        <v>99</v>
      </c>
      <c r="C16" s="2" t="s">
        <v>59</v>
      </c>
      <c r="D16" s="2" t="s">
        <v>60</v>
      </c>
      <c r="E16" s="2">
        <v>19.0</v>
      </c>
      <c r="F16" s="3" t="s">
        <v>100</v>
      </c>
      <c r="G16" s="3" t="s">
        <v>101</v>
      </c>
      <c r="H16" s="2">
        <v>4.0</v>
      </c>
      <c r="I16" s="2">
        <v>4.0</v>
      </c>
      <c r="J16" s="2">
        <v>4.0</v>
      </c>
      <c r="K16" s="2">
        <v>4.0</v>
      </c>
      <c r="L16" s="2">
        <v>4.0</v>
      </c>
      <c r="M16" s="2">
        <v>1.0</v>
      </c>
      <c r="N16" s="2">
        <v>0.0</v>
      </c>
      <c r="O16" s="2">
        <v>0.0</v>
      </c>
      <c r="P16" s="2">
        <v>0.0</v>
      </c>
      <c r="Q16" s="2">
        <v>4.0</v>
      </c>
      <c r="R16" s="2">
        <v>3.0</v>
      </c>
      <c r="S16" s="2">
        <v>4.0</v>
      </c>
      <c r="T16" s="2">
        <v>2.0</v>
      </c>
      <c r="U16" s="2">
        <v>1.0</v>
      </c>
      <c r="V16" s="2">
        <v>3.0</v>
      </c>
      <c r="W16" s="2">
        <v>3.0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3.0</v>
      </c>
      <c r="AD16" s="2">
        <v>3.0</v>
      </c>
      <c r="AE16" s="2">
        <v>3.0</v>
      </c>
      <c r="AF16" s="2">
        <v>0.0</v>
      </c>
      <c r="AG16" s="2">
        <v>0.0</v>
      </c>
      <c r="AH16" s="2">
        <v>2.0</v>
      </c>
      <c r="AI16" s="2">
        <v>0.0</v>
      </c>
      <c r="AJ16" s="2">
        <v>3.0</v>
      </c>
      <c r="AK16" s="2">
        <v>0.0</v>
      </c>
      <c r="AL16" s="2">
        <v>20.0</v>
      </c>
      <c r="AM16" s="2">
        <v>2.0</v>
      </c>
      <c r="AN16" s="2">
        <v>1.0</v>
      </c>
      <c r="AO16" s="2">
        <v>11.0</v>
      </c>
      <c r="AP16" s="2">
        <v>7.0</v>
      </c>
      <c r="AQ16" s="2">
        <v>0.0</v>
      </c>
      <c r="AR16" s="2">
        <v>0.0</v>
      </c>
      <c r="AS16" s="2">
        <v>0.0</v>
      </c>
      <c r="AT16" s="2">
        <v>0.0</v>
      </c>
      <c r="AU16" s="2">
        <v>3.0</v>
      </c>
      <c r="AV16" s="2">
        <v>6.0</v>
      </c>
      <c r="AW16" s="2">
        <v>0.0</v>
      </c>
      <c r="AX16" s="2">
        <v>2.0</v>
      </c>
      <c r="AY16" s="2">
        <v>0.0</v>
      </c>
      <c r="AZ16" s="2">
        <v>3.0</v>
      </c>
    </row>
    <row r="17">
      <c r="A17" s="2" t="s">
        <v>52</v>
      </c>
      <c r="B17" s="2" t="s">
        <v>102</v>
      </c>
      <c r="C17" s="2" t="s">
        <v>59</v>
      </c>
      <c r="D17" s="2" t="s">
        <v>60</v>
      </c>
      <c r="E17" s="2">
        <v>25.0</v>
      </c>
      <c r="F17" s="3" t="s">
        <v>103</v>
      </c>
      <c r="G17" s="3" t="s">
        <v>104</v>
      </c>
      <c r="H17" s="2">
        <v>0.0</v>
      </c>
      <c r="I17" s="2">
        <v>0.0</v>
      </c>
      <c r="J17" s="2">
        <v>1.0</v>
      </c>
      <c r="K17" s="2">
        <v>1.0</v>
      </c>
      <c r="L17" s="2">
        <v>1.0</v>
      </c>
      <c r="M17" s="2">
        <v>4.0</v>
      </c>
      <c r="N17" s="2">
        <v>4.0</v>
      </c>
      <c r="O17" s="2">
        <v>4.0</v>
      </c>
      <c r="P17" s="2">
        <v>4.0</v>
      </c>
      <c r="Q17" s="2">
        <v>4.0</v>
      </c>
      <c r="R17" s="2">
        <v>4.0</v>
      </c>
      <c r="S17" s="2">
        <v>4.0</v>
      </c>
      <c r="T17" s="2">
        <v>4.0</v>
      </c>
      <c r="U17" s="2">
        <v>3.0</v>
      </c>
      <c r="V17" s="2">
        <v>3.0</v>
      </c>
      <c r="W17" s="2">
        <v>3.0</v>
      </c>
      <c r="X17" s="2">
        <v>3.0</v>
      </c>
      <c r="Y17" s="2">
        <v>3.0</v>
      </c>
      <c r="Z17" s="2">
        <v>3.0</v>
      </c>
      <c r="AA17" s="2">
        <v>3.0</v>
      </c>
      <c r="AB17" s="2">
        <v>3.0</v>
      </c>
      <c r="AC17" s="2">
        <v>3.0</v>
      </c>
      <c r="AD17" s="2">
        <v>3.0</v>
      </c>
      <c r="AE17" s="2">
        <v>3.0</v>
      </c>
      <c r="AF17" s="2">
        <v>3.0</v>
      </c>
      <c r="AG17" s="2">
        <v>3.0</v>
      </c>
      <c r="AH17" s="2">
        <v>3.0</v>
      </c>
      <c r="AI17" s="2">
        <v>3.0</v>
      </c>
      <c r="AJ17" s="2">
        <v>3.0</v>
      </c>
      <c r="AK17" s="2">
        <v>3.0</v>
      </c>
      <c r="AL17" s="2">
        <v>3.0</v>
      </c>
      <c r="AM17" s="2">
        <v>8.0</v>
      </c>
      <c r="AN17" s="2">
        <v>8.0</v>
      </c>
      <c r="AO17" s="2">
        <v>12.0</v>
      </c>
      <c r="AP17" s="2">
        <v>9.0</v>
      </c>
      <c r="AQ17" s="2">
        <v>6.0</v>
      </c>
      <c r="AR17" s="2">
        <v>3.0</v>
      </c>
      <c r="AS17" s="2">
        <v>3.0</v>
      </c>
      <c r="AT17" s="2">
        <v>6.0</v>
      </c>
      <c r="AU17" s="2">
        <v>3.0</v>
      </c>
      <c r="AV17" s="2">
        <v>6.0</v>
      </c>
      <c r="AW17" s="2">
        <v>6.0</v>
      </c>
      <c r="AX17" s="2">
        <v>3.0</v>
      </c>
      <c r="AY17" s="2">
        <v>3.0</v>
      </c>
      <c r="AZ17" s="2">
        <v>3.0</v>
      </c>
    </row>
    <row r="18">
      <c r="A18" s="2" t="s">
        <v>52</v>
      </c>
      <c r="B18" s="2" t="s">
        <v>105</v>
      </c>
      <c r="C18" s="2" t="s">
        <v>59</v>
      </c>
      <c r="D18" s="2" t="s">
        <v>60</v>
      </c>
      <c r="E18" s="2">
        <v>30.0</v>
      </c>
      <c r="F18" s="3" t="s">
        <v>106</v>
      </c>
      <c r="G18" s="3" t="s">
        <v>107</v>
      </c>
      <c r="H18" s="2">
        <v>1.0</v>
      </c>
      <c r="I18" s="2">
        <v>1.0</v>
      </c>
      <c r="J18" s="2">
        <v>2.0</v>
      </c>
      <c r="K18" s="2">
        <v>0.0</v>
      </c>
      <c r="L18" s="2">
        <v>0.0</v>
      </c>
      <c r="M18" s="2">
        <v>1.0</v>
      </c>
      <c r="N18" s="2">
        <v>2.0</v>
      </c>
      <c r="O18" s="2">
        <v>1.0</v>
      </c>
      <c r="P18" s="2">
        <v>0.0</v>
      </c>
      <c r="Q18" s="2">
        <v>2.0</v>
      </c>
      <c r="R18" s="2">
        <v>1.0</v>
      </c>
      <c r="S18" s="2">
        <v>0.0</v>
      </c>
      <c r="T18" s="2">
        <v>0.0</v>
      </c>
      <c r="U18" s="2">
        <v>3.0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2.0</v>
      </c>
      <c r="AB18" s="2">
        <v>2.0</v>
      </c>
      <c r="AC18" s="2">
        <v>3.0</v>
      </c>
      <c r="AD18" s="2">
        <v>0.0</v>
      </c>
      <c r="AE18" s="2">
        <v>0.0</v>
      </c>
      <c r="AF18" s="2">
        <v>3.0</v>
      </c>
      <c r="AG18" s="2">
        <v>0.0</v>
      </c>
      <c r="AH18" s="2">
        <v>1.0</v>
      </c>
      <c r="AI18" s="2">
        <v>0.0</v>
      </c>
      <c r="AJ18" s="2">
        <v>0.0</v>
      </c>
      <c r="AK18" s="2">
        <v>0.0</v>
      </c>
      <c r="AL18" s="2">
        <v>4.0</v>
      </c>
      <c r="AM18" s="2">
        <v>0.0</v>
      </c>
      <c r="AN18" s="2">
        <v>3.0</v>
      </c>
      <c r="AO18" s="2">
        <v>3.0</v>
      </c>
      <c r="AP18" s="2">
        <v>3.0</v>
      </c>
      <c r="AQ18" s="2">
        <v>0.0</v>
      </c>
      <c r="AR18" s="2">
        <v>0.0</v>
      </c>
      <c r="AS18" s="2">
        <v>0.0</v>
      </c>
      <c r="AT18" s="2">
        <v>4.0</v>
      </c>
      <c r="AU18" s="2">
        <v>3.0</v>
      </c>
      <c r="AV18" s="2">
        <v>0.0</v>
      </c>
      <c r="AW18" s="2">
        <v>3.0</v>
      </c>
      <c r="AX18" s="2">
        <v>1.0</v>
      </c>
      <c r="AY18" s="2">
        <v>0.0</v>
      </c>
      <c r="AZ18" s="2">
        <v>0.0</v>
      </c>
    </row>
    <row r="19">
      <c r="A19" s="2" t="s">
        <v>52</v>
      </c>
      <c r="B19" s="2" t="s">
        <v>81</v>
      </c>
      <c r="C19" s="2" t="s">
        <v>59</v>
      </c>
      <c r="D19" s="2" t="s">
        <v>55</v>
      </c>
      <c r="E19" s="2">
        <v>18.0</v>
      </c>
      <c r="F19" s="3" t="s">
        <v>82</v>
      </c>
      <c r="G19" s="3" t="s">
        <v>108</v>
      </c>
      <c r="H19" s="2">
        <v>2.0</v>
      </c>
      <c r="I19" s="2">
        <v>2.0</v>
      </c>
      <c r="J19" s="2">
        <v>2.0</v>
      </c>
      <c r="K19" s="2">
        <v>1.0</v>
      </c>
      <c r="L19" s="2">
        <v>1.0</v>
      </c>
      <c r="M19" s="2">
        <v>1.0</v>
      </c>
      <c r="N19" s="2">
        <v>1.0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1.0</v>
      </c>
      <c r="V19" s="2">
        <v>0.0</v>
      </c>
      <c r="W19" s="2">
        <v>0.0</v>
      </c>
      <c r="X19" s="2">
        <v>1.0</v>
      </c>
      <c r="Y19" s="2">
        <v>0.0</v>
      </c>
      <c r="Z19" s="2">
        <v>1.0</v>
      </c>
      <c r="AA19" s="2">
        <v>0.0</v>
      </c>
      <c r="AB19" s="2">
        <v>0.0</v>
      </c>
      <c r="AC19" s="2">
        <v>1.0</v>
      </c>
      <c r="AD19" s="2">
        <v>1.0</v>
      </c>
      <c r="AE19" s="2">
        <v>1.0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1.0</v>
      </c>
      <c r="AL19" s="2">
        <v>8.0</v>
      </c>
      <c r="AM19" s="2">
        <v>0.0</v>
      </c>
      <c r="AN19" s="2">
        <v>2.0</v>
      </c>
      <c r="AO19" s="2">
        <v>0.0</v>
      </c>
      <c r="AP19" s="2">
        <v>1.0</v>
      </c>
      <c r="AQ19" s="2">
        <v>2.0</v>
      </c>
      <c r="AR19" s="2">
        <v>0.0</v>
      </c>
      <c r="AS19" s="2">
        <v>1.0</v>
      </c>
      <c r="AT19" s="2">
        <v>0.0</v>
      </c>
      <c r="AU19" s="2">
        <v>1.0</v>
      </c>
      <c r="AV19" s="2">
        <v>2.0</v>
      </c>
      <c r="AW19" s="2">
        <v>0.0</v>
      </c>
      <c r="AX19" s="2">
        <v>0.0</v>
      </c>
      <c r="AY19" s="2">
        <v>0.0</v>
      </c>
      <c r="AZ19" s="2">
        <v>0.0</v>
      </c>
    </row>
    <row r="20">
      <c r="A20" s="2" t="s">
        <v>52</v>
      </c>
      <c r="B20" s="2" t="s">
        <v>109</v>
      </c>
      <c r="C20" s="2" t="s">
        <v>59</v>
      </c>
      <c r="D20" s="2" t="s">
        <v>60</v>
      </c>
      <c r="E20" s="2">
        <v>51.0</v>
      </c>
      <c r="F20" s="3" t="s">
        <v>110</v>
      </c>
      <c r="G20" s="3" t="s">
        <v>111</v>
      </c>
      <c r="H20" s="2">
        <v>2.0</v>
      </c>
      <c r="I20" s="2">
        <v>2.0</v>
      </c>
      <c r="J20" s="2">
        <v>2.0</v>
      </c>
      <c r="K20" s="2">
        <v>3.0</v>
      </c>
      <c r="L20" s="2">
        <v>2.0</v>
      </c>
      <c r="M20" s="2">
        <v>3.0</v>
      </c>
      <c r="N20" s="2">
        <v>2.0</v>
      </c>
      <c r="O20" s="2">
        <v>3.0</v>
      </c>
      <c r="P20" s="2">
        <v>3.0</v>
      </c>
      <c r="Q20" s="2">
        <v>3.0</v>
      </c>
      <c r="R20" s="2">
        <v>3.0</v>
      </c>
      <c r="S20" s="2">
        <v>3.0</v>
      </c>
      <c r="T20" s="2">
        <v>2.0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2.0</v>
      </c>
      <c r="AA20" s="2">
        <v>0.0</v>
      </c>
      <c r="AB20" s="2">
        <v>0.0</v>
      </c>
      <c r="AC20" s="2">
        <v>2.0</v>
      </c>
      <c r="AD20" s="2">
        <v>2.0</v>
      </c>
      <c r="AE20" s="2">
        <v>2.0</v>
      </c>
      <c r="AF20" s="2">
        <v>1.0</v>
      </c>
      <c r="AG20" s="2">
        <v>0.0</v>
      </c>
      <c r="AH20" s="2">
        <v>3.0</v>
      </c>
      <c r="AI20" s="2">
        <v>3.0</v>
      </c>
      <c r="AJ20" s="2">
        <v>3.0</v>
      </c>
      <c r="AK20" s="2">
        <v>0.0</v>
      </c>
      <c r="AL20" s="2">
        <v>11.0</v>
      </c>
      <c r="AM20" s="2">
        <v>5.0</v>
      </c>
      <c r="AN20" s="2">
        <v>5.0</v>
      </c>
      <c r="AO20" s="2">
        <v>9.0</v>
      </c>
      <c r="AP20" s="2">
        <v>0.0</v>
      </c>
      <c r="AQ20" s="2">
        <v>0.0</v>
      </c>
      <c r="AR20" s="2">
        <v>0.0</v>
      </c>
      <c r="AS20" s="2">
        <v>2.0</v>
      </c>
      <c r="AT20" s="2">
        <v>0.0</v>
      </c>
      <c r="AU20" s="2">
        <v>2.0</v>
      </c>
      <c r="AV20" s="2">
        <v>4.0</v>
      </c>
      <c r="AW20" s="2">
        <v>1.0</v>
      </c>
      <c r="AX20" s="2">
        <v>3.0</v>
      </c>
      <c r="AY20" s="2">
        <v>3.0</v>
      </c>
      <c r="AZ20" s="2">
        <v>3.0</v>
      </c>
    </row>
    <row r="21">
      <c r="A21" s="2" t="s">
        <v>52</v>
      </c>
      <c r="B21" s="2" t="s">
        <v>112</v>
      </c>
      <c r="C21" s="2" t="s">
        <v>59</v>
      </c>
      <c r="D21" s="2" t="s">
        <v>67</v>
      </c>
      <c r="E21" s="2">
        <v>56.0</v>
      </c>
      <c r="F21" s="3" t="s">
        <v>113</v>
      </c>
      <c r="G21" s="3" t="s">
        <v>114</v>
      </c>
      <c r="H21" s="2">
        <v>2.0</v>
      </c>
      <c r="I21" s="2">
        <v>2.0</v>
      </c>
      <c r="J21" s="2">
        <v>2.0</v>
      </c>
      <c r="K21" s="2">
        <v>1.0</v>
      </c>
      <c r="L21" s="2">
        <v>2.0</v>
      </c>
      <c r="M21" s="2">
        <v>4.0</v>
      </c>
      <c r="N21" s="2">
        <v>4.0</v>
      </c>
      <c r="O21" s="2">
        <v>4.0</v>
      </c>
      <c r="P21" s="2">
        <v>4.0</v>
      </c>
      <c r="Q21" s="2">
        <v>3.0</v>
      </c>
      <c r="R21" s="2">
        <v>3.0</v>
      </c>
      <c r="S21" s="2">
        <v>3.0</v>
      </c>
      <c r="T21" s="2">
        <v>2.0</v>
      </c>
      <c r="U21" s="2">
        <v>0.0</v>
      </c>
      <c r="V21" s="2">
        <v>2.0</v>
      </c>
      <c r="W21" s="2">
        <v>0.0</v>
      </c>
      <c r="X21" s="2">
        <v>0.0</v>
      </c>
      <c r="Y21" s="2">
        <v>0.0</v>
      </c>
      <c r="Z21" s="2">
        <v>2.0</v>
      </c>
      <c r="AA21" s="2">
        <v>0.0</v>
      </c>
      <c r="AB21" s="2">
        <v>0.0</v>
      </c>
      <c r="AC21" s="2">
        <v>0.0</v>
      </c>
      <c r="AD21" s="2">
        <v>3.0</v>
      </c>
      <c r="AE21" s="2">
        <v>3.0</v>
      </c>
      <c r="AF21" s="2">
        <v>3.0</v>
      </c>
      <c r="AG21" s="2">
        <v>2.0</v>
      </c>
      <c r="AH21" s="2">
        <v>3.0</v>
      </c>
      <c r="AI21" s="2">
        <v>0.0</v>
      </c>
      <c r="AJ21" s="2">
        <v>0.0</v>
      </c>
      <c r="AK21" s="2">
        <v>0.0</v>
      </c>
      <c r="AL21" s="2">
        <v>9.0</v>
      </c>
      <c r="AM21" s="2">
        <v>6.0</v>
      </c>
      <c r="AN21" s="2">
        <v>8.0</v>
      </c>
      <c r="AO21" s="2">
        <v>9.0</v>
      </c>
      <c r="AP21" s="2">
        <v>2.0</v>
      </c>
      <c r="AQ21" s="2">
        <v>0.0</v>
      </c>
      <c r="AR21" s="2">
        <v>0.0</v>
      </c>
      <c r="AS21" s="2">
        <v>2.0</v>
      </c>
      <c r="AT21" s="2">
        <v>0.0</v>
      </c>
      <c r="AU21" s="2">
        <v>0.0</v>
      </c>
      <c r="AV21" s="2">
        <v>6.0</v>
      </c>
      <c r="AW21" s="2">
        <v>5.0</v>
      </c>
      <c r="AX21" s="2">
        <v>3.0</v>
      </c>
      <c r="AY21" s="2">
        <v>0.0</v>
      </c>
      <c r="AZ21" s="2">
        <v>0.0</v>
      </c>
    </row>
    <row r="22">
      <c r="A22" s="2" t="s">
        <v>52</v>
      </c>
      <c r="B22" s="2" t="s">
        <v>115</v>
      </c>
      <c r="C22" s="2" t="s">
        <v>59</v>
      </c>
      <c r="D22" s="2" t="s">
        <v>60</v>
      </c>
      <c r="E22" s="2">
        <v>16.0</v>
      </c>
      <c r="F22" s="3" t="s">
        <v>116</v>
      </c>
      <c r="G22" s="3" t="s">
        <v>117</v>
      </c>
      <c r="H22" s="2">
        <v>4.0</v>
      </c>
      <c r="I22" s="2">
        <v>4.0</v>
      </c>
      <c r="J22" s="2">
        <v>3.0</v>
      </c>
      <c r="K22" s="2">
        <v>3.0</v>
      </c>
      <c r="L22" s="2">
        <v>3.0</v>
      </c>
      <c r="M22" s="2">
        <v>4.0</v>
      </c>
      <c r="N22" s="2">
        <v>2.0</v>
      </c>
      <c r="O22" s="2">
        <v>3.0</v>
      </c>
      <c r="P22" s="2">
        <v>1.0</v>
      </c>
      <c r="Q22" s="2">
        <v>4.0</v>
      </c>
      <c r="R22" s="2">
        <v>4.0</v>
      </c>
      <c r="S22" s="2">
        <v>4.0</v>
      </c>
      <c r="T22" s="2">
        <v>3.0</v>
      </c>
      <c r="U22" s="2">
        <v>0.0</v>
      </c>
      <c r="V22" s="2">
        <v>3.0</v>
      </c>
      <c r="W22" s="2">
        <v>3.0</v>
      </c>
      <c r="X22" s="2">
        <v>4.0</v>
      </c>
      <c r="Y22" s="2">
        <v>0.0</v>
      </c>
      <c r="Z22" s="2">
        <v>4.0</v>
      </c>
      <c r="AA22" s="2">
        <v>0.0</v>
      </c>
      <c r="AB22" s="2">
        <v>0.0</v>
      </c>
      <c r="AC22" s="2">
        <v>2.0</v>
      </c>
      <c r="AD22" s="2">
        <v>2.0</v>
      </c>
      <c r="AE22" s="2">
        <v>3.0</v>
      </c>
      <c r="AF22" s="2">
        <v>4.0</v>
      </c>
      <c r="AG22" s="2">
        <v>3.0</v>
      </c>
      <c r="AH22" s="2">
        <v>3.0</v>
      </c>
      <c r="AI22" s="2">
        <v>0.0</v>
      </c>
      <c r="AJ22" s="2">
        <v>0.0</v>
      </c>
      <c r="AK22" s="2">
        <v>4.0</v>
      </c>
      <c r="AL22" s="2">
        <v>17.0</v>
      </c>
      <c r="AM22" s="2">
        <v>4.0</v>
      </c>
      <c r="AN22" s="2">
        <v>6.0</v>
      </c>
      <c r="AO22" s="2">
        <v>12.0</v>
      </c>
      <c r="AP22" s="2">
        <v>6.0</v>
      </c>
      <c r="AQ22" s="2">
        <v>8.0</v>
      </c>
      <c r="AR22" s="2">
        <v>0.0</v>
      </c>
      <c r="AS22" s="2">
        <v>4.0</v>
      </c>
      <c r="AT22" s="2">
        <v>0.0</v>
      </c>
      <c r="AU22" s="2">
        <v>2.0</v>
      </c>
      <c r="AV22" s="2">
        <v>5.0</v>
      </c>
      <c r="AW22" s="2">
        <v>7.0</v>
      </c>
      <c r="AX22" s="2">
        <v>3.0</v>
      </c>
      <c r="AY22" s="2">
        <v>0.0</v>
      </c>
      <c r="AZ22" s="2">
        <v>0.0</v>
      </c>
    </row>
    <row r="23">
      <c r="A23" s="2" t="s">
        <v>52</v>
      </c>
      <c r="B23" s="2" t="s">
        <v>118</v>
      </c>
      <c r="C23" s="2" t="s">
        <v>59</v>
      </c>
      <c r="D23" s="2" t="s">
        <v>93</v>
      </c>
      <c r="E23" s="2">
        <v>41.0</v>
      </c>
      <c r="F23" s="3" t="s">
        <v>119</v>
      </c>
      <c r="G23" s="3" t="s">
        <v>120</v>
      </c>
      <c r="H23" s="2">
        <v>2.0</v>
      </c>
      <c r="I23" s="2">
        <v>1.0</v>
      </c>
      <c r="J23" s="2">
        <v>3.0</v>
      </c>
      <c r="K23" s="2">
        <v>2.0</v>
      </c>
      <c r="L23" s="2">
        <v>2.0</v>
      </c>
      <c r="M23" s="2">
        <v>4.0</v>
      </c>
      <c r="N23" s="2">
        <v>4.0</v>
      </c>
      <c r="O23" s="2">
        <v>4.0</v>
      </c>
      <c r="P23" s="2">
        <v>4.0</v>
      </c>
      <c r="Q23" s="2">
        <v>3.0</v>
      </c>
      <c r="R23" s="2">
        <v>3.0</v>
      </c>
      <c r="S23" s="2">
        <v>3.0</v>
      </c>
      <c r="T23" s="2">
        <v>4.0</v>
      </c>
      <c r="U23" s="2">
        <v>0.0</v>
      </c>
      <c r="V23" s="2">
        <v>4.0</v>
      </c>
      <c r="W23" s="2">
        <v>4.0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2.0</v>
      </c>
      <c r="AE23" s="2">
        <v>2.0</v>
      </c>
      <c r="AF23" s="2">
        <v>4.0</v>
      </c>
      <c r="AG23" s="2">
        <v>3.0</v>
      </c>
      <c r="AH23" s="2">
        <v>4.0</v>
      </c>
      <c r="AI23" s="2">
        <v>0.0</v>
      </c>
      <c r="AJ23" s="2">
        <v>0.0</v>
      </c>
      <c r="AK23" s="2">
        <v>0.0</v>
      </c>
      <c r="AL23" s="2">
        <v>10.0</v>
      </c>
      <c r="AM23" s="2">
        <v>8.0</v>
      </c>
      <c r="AN23" s="2">
        <v>8.0</v>
      </c>
      <c r="AO23" s="2">
        <v>9.0</v>
      </c>
      <c r="AP23" s="2">
        <v>8.0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4.0</v>
      </c>
      <c r="AW23" s="2">
        <v>7.0</v>
      </c>
      <c r="AX23" s="2">
        <v>4.0</v>
      </c>
      <c r="AY23" s="2">
        <v>0.0</v>
      </c>
      <c r="AZ23" s="2">
        <v>0.0</v>
      </c>
    </row>
    <row r="24">
      <c r="A24" s="2" t="s">
        <v>52</v>
      </c>
      <c r="B24" s="2" t="s">
        <v>121</v>
      </c>
      <c r="C24" s="2" t="s">
        <v>54</v>
      </c>
      <c r="D24" s="2" t="s">
        <v>60</v>
      </c>
      <c r="E24" s="2">
        <v>26.0</v>
      </c>
      <c r="F24" s="3" t="s">
        <v>122</v>
      </c>
      <c r="G24" s="3" t="s">
        <v>123</v>
      </c>
      <c r="H24" s="2">
        <v>2.0</v>
      </c>
      <c r="I24" s="2">
        <v>1.0</v>
      </c>
      <c r="J24" s="2">
        <v>1.0</v>
      </c>
      <c r="K24" s="2">
        <v>1.0</v>
      </c>
      <c r="L24" s="2">
        <v>0.0</v>
      </c>
      <c r="M24" s="2">
        <v>0.0</v>
      </c>
      <c r="N24" s="2">
        <v>0.0</v>
      </c>
      <c r="O24" s="2">
        <v>1.0</v>
      </c>
      <c r="P24" s="2">
        <v>0.0</v>
      </c>
      <c r="Q24" s="2">
        <v>3.0</v>
      </c>
      <c r="R24" s="2">
        <v>3.0</v>
      </c>
      <c r="S24" s="2">
        <v>3.0</v>
      </c>
      <c r="T24" s="2">
        <v>2.0</v>
      </c>
      <c r="U24" s="2">
        <v>0.0</v>
      </c>
      <c r="V24" s="2">
        <v>1.0</v>
      </c>
      <c r="W24" s="2">
        <v>0.0</v>
      </c>
      <c r="X24" s="2">
        <v>1.0</v>
      </c>
      <c r="Y24" s="2">
        <v>0.0</v>
      </c>
      <c r="Z24" s="2">
        <v>0.0</v>
      </c>
      <c r="AA24" s="2">
        <v>0.0</v>
      </c>
      <c r="AB24" s="2">
        <v>0.0</v>
      </c>
      <c r="AC24" s="2">
        <v>3.0</v>
      </c>
      <c r="AD24" s="2">
        <v>0.0</v>
      </c>
      <c r="AE24" s="2">
        <v>0.0</v>
      </c>
      <c r="AF24" s="2">
        <v>0.0</v>
      </c>
      <c r="AG24" s="2">
        <v>0.0</v>
      </c>
      <c r="AH24" s="2">
        <v>1.0</v>
      </c>
      <c r="AI24" s="2">
        <v>0.0</v>
      </c>
      <c r="AJ24" s="2">
        <v>2.0</v>
      </c>
      <c r="AK24" s="2">
        <v>0.0</v>
      </c>
      <c r="AL24" s="2">
        <v>5.0</v>
      </c>
      <c r="AM24" s="2">
        <v>2.0</v>
      </c>
      <c r="AN24" s="2">
        <v>0.0</v>
      </c>
      <c r="AO24" s="2">
        <v>9.0</v>
      </c>
      <c r="AP24" s="2">
        <v>1.0</v>
      </c>
      <c r="AQ24" s="2">
        <v>1.0</v>
      </c>
      <c r="AR24" s="2">
        <v>0.0</v>
      </c>
      <c r="AS24" s="2">
        <v>0.0</v>
      </c>
      <c r="AT24" s="2">
        <v>0.0</v>
      </c>
      <c r="AU24" s="2">
        <v>3.0</v>
      </c>
      <c r="AV24" s="2">
        <v>0.0</v>
      </c>
      <c r="AW24" s="2">
        <v>0.0</v>
      </c>
      <c r="AX24" s="2">
        <v>1.0</v>
      </c>
      <c r="AY24" s="2">
        <v>0.0</v>
      </c>
      <c r="AZ24" s="2">
        <v>2.0</v>
      </c>
    </row>
    <row r="25">
      <c r="A25" s="2" t="s">
        <v>52</v>
      </c>
      <c r="B25" s="2" t="s">
        <v>124</v>
      </c>
      <c r="C25" s="2" t="s">
        <v>54</v>
      </c>
      <c r="D25" s="2" t="s">
        <v>67</v>
      </c>
      <c r="E25" s="2">
        <v>46.0</v>
      </c>
      <c r="F25" s="3" t="s">
        <v>125</v>
      </c>
      <c r="G25" s="3" t="s">
        <v>126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</row>
    <row r="26">
      <c r="A26" s="2" t="s">
        <v>52</v>
      </c>
      <c r="B26" s="2" t="s">
        <v>127</v>
      </c>
      <c r="C26" s="2" t="s">
        <v>54</v>
      </c>
      <c r="D26" s="2" t="s">
        <v>93</v>
      </c>
      <c r="E26" s="2">
        <v>48.0</v>
      </c>
      <c r="F26" s="3" t="s">
        <v>128</v>
      </c>
      <c r="G26" s="3" t="s">
        <v>126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</row>
    <row r="27">
      <c r="A27" s="2" t="s">
        <v>52</v>
      </c>
      <c r="B27" s="2" t="s">
        <v>129</v>
      </c>
      <c r="C27" s="2" t="s">
        <v>54</v>
      </c>
      <c r="D27" s="2" t="s">
        <v>55</v>
      </c>
      <c r="E27" s="2">
        <v>30.0</v>
      </c>
      <c r="F27" s="3" t="s">
        <v>130</v>
      </c>
      <c r="G27" s="3" t="s">
        <v>126</v>
      </c>
      <c r="H27" s="2">
        <v>0.0</v>
      </c>
      <c r="I27" s="2">
        <v>1.0</v>
      </c>
      <c r="J27" s="2">
        <v>1.0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1.0</v>
      </c>
      <c r="R27" s="2">
        <v>0.0</v>
      </c>
      <c r="S27" s="2">
        <v>0.0</v>
      </c>
      <c r="T27" s="2">
        <v>0.0</v>
      </c>
      <c r="U27" s="2">
        <v>0.0</v>
      </c>
      <c r="V27" s="2">
        <v>1.0</v>
      </c>
      <c r="W27" s="2">
        <v>0.0</v>
      </c>
      <c r="X27" s="2">
        <v>0.0</v>
      </c>
      <c r="Y27" s="2">
        <v>0.0</v>
      </c>
      <c r="Z27" s="2">
        <v>1.0</v>
      </c>
      <c r="AA27" s="2">
        <v>0.0</v>
      </c>
      <c r="AB27" s="2">
        <v>0.0</v>
      </c>
      <c r="AC27" s="2">
        <v>1.0</v>
      </c>
      <c r="AD27" s="2">
        <v>1.0</v>
      </c>
      <c r="AE27" s="2">
        <v>1.0</v>
      </c>
      <c r="AF27" s="2">
        <v>0.0</v>
      </c>
      <c r="AG27" s="2">
        <v>0.0</v>
      </c>
      <c r="AH27" s="2">
        <v>2.0</v>
      </c>
      <c r="AI27" s="2">
        <v>0.0</v>
      </c>
      <c r="AJ27" s="2">
        <v>0.0</v>
      </c>
      <c r="AK27" s="2">
        <v>0.0</v>
      </c>
      <c r="AL27" s="2">
        <v>2.0</v>
      </c>
      <c r="AM27" s="2">
        <v>0.0</v>
      </c>
      <c r="AN27" s="2">
        <v>0.0</v>
      </c>
      <c r="AO27" s="2">
        <v>1.0</v>
      </c>
      <c r="AP27" s="2">
        <v>1.0</v>
      </c>
      <c r="AQ27" s="2">
        <v>0.0</v>
      </c>
      <c r="AR27" s="2">
        <v>0.0</v>
      </c>
      <c r="AS27" s="2">
        <v>1.0</v>
      </c>
      <c r="AT27" s="2">
        <v>0.0</v>
      </c>
      <c r="AU27" s="2">
        <v>1.0</v>
      </c>
      <c r="AV27" s="2">
        <v>2.0</v>
      </c>
      <c r="AW27" s="2">
        <v>0.0</v>
      </c>
      <c r="AX27" s="2">
        <v>2.0</v>
      </c>
      <c r="AY27" s="2">
        <v>0.0</v>
      </c>
      <c r="AZ27" s="2">
        <v>0.0</v>
      </c>
    </row>
    <row r="28">
      <c r="A28" s="2" t="s">
        <v>52</v>
      </c>
      <c r="B28" s="2" t="s">
        <v>131</v>
      </c>
      <c r="C28" s="2" t="s">
        <v>54</v>
      </c>
      <c r="D28" s="2" t="s">
        <v>67</v>
      </c>
      <c r="E28" s="2">
        <v>55.0</v>
      </c>
      <c r="F28" s="3" t="s">
        <v>132</v>
      </c>
      <c r="G28" s="3" t="s">
        <v>126</v>
      </c>
      <c r="H28" s="2">
        <v>1.0</v>
      </c>
      <c r="I28" s="2">
        <v>1.0</v>
      </c>
      <c r="J28" s="2">
        <v>0.0</v>
      </c>
      <c r="K28" s="2">
        <v>1.0</v>
      </c>
      <c r="L28" s="2">
        <v>1.0</v>
      </c>
      <c r="M28" s="2">
        <v>1.0</v>
      </c>
      <c r="N28" s="2">
        <v>0.0</v>
      </c>
      <c r="O28" s="2">
        <v>0.0</v>
      </c>
      <c r="P28" s="2">
        <v>0.0</v>
      </c>
      <c r="Q28" s="2">
        <v>0.0</v>
      </c>
      <c r="R28" s="2">
        <v>1.0</v>
      </c>
      <c r="S28" s="2">
        <v>0.0</v>
      </c>
      <c r="T28" s="2">
        <v>0.0</v>
      </c>
      <c r="U28" s="2">
        <v>1.0</v>
      </c>
      <c r="V28" s="2">
        <v>1.0</v>
      </c>
      <c r="W28" s="2">
        <v>1.0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1.0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4.0</v>
      </c>
      <c r="AM28" s="2">
        <v>0.0</v>
      </c>
      <c r="AN28" s="2">
        <v>1.0</v>
      </c>
      <c r="AO28" s="2">
        <v>1.0</v>
      </c>
      <c r="AP28" s="2">
        <v>3.0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1.0</v>
      </c>
      <c r="AW28" s="2">
        <v>0.0</v>
      </c>
      <c r="AX28" s="2">
        <v>0.0</v>
      </c>
      <c r="AY28" s="2">
        <v>0.0</v>
      </c>
      <c r="AZ28" s="2">
        <v>0.0</v>
      </c>
    </row>
    <row r="29">
      <c r="A29" s="2" t="s">
        <v>52</v>
      </c>
      <c r="B29" s="2" t="s">
        <v>133</v>
      </c>
      <c r="C29" s="2" t="s">
        <v>54</v>
      </c>
      <c r="D29" s="2" t="s">
        <v>55</v>
      </c>
      <c r="E29" s="2">
        <v>35.0</v>
      </c>
      <c r="F29" s="3" t="s">
        <v>134</v>
      </c>
      <c r="G29" s="3" t="s">
        <v>126</v>
      </c>
      <c r="H29" s="2">
        <v>1.0</v>
      </c>
      <c r="I29" s="2">
        <v>0.0</v>
      </c>
      <c r="J29" s="2">
        <v>1.0</v>
      </c>
      <c r="K29" s="2">
        <v>0.0</v>
      </c>
      <c r="L29" s="2">
        <v>0.0</v>
      </c>
      <c r="M29" s="2">
        <v>1.0</v>
      </c>
      <c r="N29" s="2">
        <v>1.0</v>
      </c>
      <c r="O29" s="2">
        <v>1.0</v>
      </c>
      <c r="P29" s="2">
        <v>1.0</v>
      </c>
      <c r="Q29" s="2">
        <v>1.0</v>
      </c>
      <c r="R29" s="2">
        <v>1.0</v>
      </c>
      <c r="S29" s="2">
        <v>1.0</v>
      </c>
      <c r="T29" s="2">
        <v>1.0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1.0</v>
      </c>
      <c r="AE29" s="2">
        <v>0.0</v>
      </c>
      <c r="AF29" s="2">
        <v>1.0</v>
      </c>
      <c r="AG29" s="2">
        <v>0.0</v>
      </c>
      <c r="AH29" s="2">
        <v>1.0</v>
      </c>
      <c r="AI29" s="2">
        <v>0.0</v>
      </c>
      <c r="AJ29" s="2">
        <v>0.0</v>
      </c>
      <c r="AK29" s="2">
        <v>0.0</v>
      </c>
      <c r="AL29" s="2">
        <v>2.0</v>
      </c>
      <c r="AM29" s="2">
        <v>2.0</v>
      </c>
      <c r="AN29" s="2">
        <v>2.0</v>
      </c>
      <c r="AO29" s="2">
        <v>3.0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1.0</v>
      </c>
      <c r="AW29" s="2">
        <v>1.0</v>
      </c>
      <c r="AX29" s="2">
        <v>1.0</v>
      </c>
      <c r="AY29" s="2">
        <v>0.0</v>
      </c>
      <c r="AZ29" s="2">
        <v>0.0</v>
      </c>
    </row>
    <row r="30">
      <c r="A30" s="2" t="s">
        <v>52</v>
      </c>
      <c r="B30" s="2" t="s">
        <v>135</v>
      </c>
      <c r="C30" s="2" t="s">
        <v>54</v>
      </c>
      <c r="D30" s="2" t="s">
        <v>67</v>
      </c>
      <c r="E30" s="2">
        <v>40.0</v>
      </c>
      <c r="F30" s="3" t="s">
        <v>136</v>
      </c>
      <c r="G30" s="3" t="s">
        <v>126</v>
      </c>
      <c r="H30" s="2">
        <v>2.0</v>
      </c>
      <c r="I30" s="2">
        <v>1.0</v>
      </c>
      <c r="J30" s="2">
        <v>2.0</v>
      </c>
      <c r="K30" s="2">
        <v>1.0</v>
      </c>
      <c r="L30" s="2">
        <v>1.0</v>
      </c>
      <c r="M30" s="2">
        <v>1.0</v>
      </c>
      <c r="N30" s="2">
        <v>1.0</v>
      </c>
      <c r="O30" s="2">
        <v>1.0</v>
      </c>
      <c r="P30" s="2">
        <v>1.0</v>
      </c>
      <c r="Q30" s="2">
        <v>1.0</v>
      </c>
      <c r="R30" s="2">
        <v>1.0</v>
      </c>
      <c r="S30" s="2">
        <v>1.0</v>
      </c>
      <c r="T30" s="2">
        <v>1.0</v>
      </c>
      <c r="U30" s="2">
        <v>1.0</v>
      </c>
      <c r="V30" s="2">
        <v>1.0</v>
      </c>
      <c r="W30" s="2">
        <v>1.0</v>
      </c>
      <c r="X30" s="2">
        <v>0.0</v>
      </c>
      <c r="Y30" s="2">
        <v>0.0</v>
      </c>
      <c r="Z30" s="2">
        <v>1.0</v>
      </c>
      <c r="AA30" s="2">
        <v>0.0</v>
      </c>
      <c r="AB30" s="2">
        <v>0.0</v>
      </c>
      <c r="AC30" s="2">
        <v>1.0</v>
      </c>
      <c r="AD30" s="2">
        <v>3.0</v>
      </c>
      <c r="AE30" s="2">
        <v>3.0</v>
      </c>
      <c r="AF30" s="2">
        <v>1.0</v>
      </c>
      <c r="AG30" s="2">
        <v>1.0</v>
      </c>
      <c r="AH30" s="2">
        <v>1.0</v>
      </c>
      <c r="AI30" s="2">
        <v>0.0</v>
      </c>
      <c r="AJ30" s="2">
        <v>0.0</v>
      </c>
      <c r="AK30" s="2">
        <v>0.0</v>
      </c>
      <c r="AL30" s="2">
        <v>7.0</v>
      </c>
      <c r="AM30" s="2">
        <v>2.0</v>
      </c>
      <c r="AN30" s="2">
        <v>2.0</v>
      </c>
      <c r="AO30" s="2">
        <v>3.0</v>
      </c>
      <c r="AP30" s="2">
        <v>3.0</v>
      </c>
      <c r="AQ30" s="2">
        <v>0.0</v>
      </c>
      <c r="AR30" s="2">
        <v>0.0</v>
      </c>
      <c r="AS30" s="2">
        <v>1.0</v>
      </c>
      <c r="AT30" s="2">
        <v>0.0</v>
      </c>
      <c r="AU30" s="2">
        <v>1.0</v>
      </c>
      <c r="AV30" s="2">
        <v>6.0</v>
      </c>
      <c r="AW30" s="2">
        <v>2.0</v>
      </c>
      <c r="AX30" s="2">
        <v>1.0</v>
      </c>
      <c r="AY30" s="2">
        <v>0.0</v>
      </c>
      <c r="AZ30" s="2">
        <v>0.0</v>
      </c>
    </row>
    <row r="31">
      <c r="A31" s="2" t="s">
        <v>52</v>
      </c>
      <c r="B31" s="2" t="s">
        <v>137</v>
      </c>
      <c r="C31" s="2" t="s">
        <v>54</v>
      </c>
      <c r="D31" s="2" t="s">
        <v>60</v>
      </c>
      <c r="E31" s="2">
        <v>28.0</v>
      </c>
      <c r="F31" s="3" t="s">
        <v>138</v>
      </c>
      <c r="G31" s="3" t="s">
        <v>138</v>
      </c>
      <c r="H31" s="2">
        <v>3.0</v>
      </c>
      <c r="I31" s="2">
        <v>3.0</v>
      </c>
      <c r="J31" s="2">
        <v>3.0</v>
      </c>
      <c r="K31" s="2">
        <v>3.0</v>
      </c>
      <c r="L31" s="2">
        <v>2.0</v>
      </c>
      <c r="M31" s="2">
        <v>2.0</v>
      </c>
      <c r="N31" s="2">
        <v>4.0</v>
      </c>
      <c r="O31" s="2">
        <v>2.0</v>
      </c>
      <c r="P31" s="2">
        <v>1.0</v>
      </c>
      <c r="Q31" s="2">
        <v>3.0</v>
      </c>
      <c r="R31" s="2">
        <v>2.0</v>
      </c>
      <c r="S31" s="2">
        <v>2.0</v>
      </c>
      <c r="T31" s="2">
        <v>2.0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1.0</v>
      </c>
      <c r="AI31" s="2">
        <v>0.0</v>
      </c>
      <c r="AJ31" s="2">
        <v>0.0</v>
      </c>
      <c r="AK31" s="2">
        <v>0.0</v>
      </c>
      <c r="AL31" s="2">
        <v>14.0</v>
      </c>
      <c r="AM31" s="2">
        <v>3.0</v>
      </c>
      <c r="AN31" s="2">
        <v>6.0</v>
      </c>
      <c r="AO31" s="2">
        <v>7.0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1.0</v>
      </c>
      <c r="AY31" s="2">
        <v>0.0</v>
      </c>
      <c r="AZ31" s="2">
        <v>0.0</v>
      </c>
    </row>
    <row r="32">
      <c r="A32" s="2" t="s">
        <v>52</v>
      </c>
      <c r="B32" s="2" t="s">
        <v>139</v>
      </c>
      <c r="C32" s="2" t="s">
        <v>54</v>
      </c>
      <c r="D32" s="2" t="s">
        <v>67</v>
      </c>
      <c r="E32" s="2">
        <v>33.0</v>
      </c>
      <c r="F32" s="3" t="s">
        <v>140</v>
      </c>
      <c r="G32" s="3" t="s">
        <v>138</v>
      </c>
      <c r="H32" s="2">
        <v>4.0</v>
      </c>
      <c r="I32" s="2">
        <v>4.0</v>
      </c>
      <c r="J32" s="2">
        <v>4.0</v>
      </c>
      <c r="K32" s="2">
        <v>4.0</v>
      </c>
      <c r="L32" s="2">
        <v>4.0</v>
      </c>
      <c r="M32" s="2">
        <v>2.0</v>
      </c>
      <c r="N32" s="2">
        <v>1.0</v>
      </c>
      <c r="O32" s="2">
        <v>3.0</v>
      </c>
      <c r="P32" s="2">
        <v>2.0</v>
      </c>
      <c r="Q32" s="2">
        <v>3.0</v>
      </c>
      <c r="R32" s="2">
        <v>4.0</v>
      </c>
      <c r="S32" s="2">
        <v>3.0</v>
      </c>
      <c r="T32" s="2">
        <v>2.0</v>
      </c>
      <c r="U32" s="2">
        <v>0.0</v>
      </c>
      <c r="V32" s="2">
        <v>1.0</v>
      </c>
      <c r="W32" s="2">
        <v>1.0</v>
      </c>
      <c r="X32" s="2">
        <v>1.0</v>
      </c>
      <c r="Y32" s="2">
        <v>0.0</v>
      </c>
      <c r="Z32" s="2">
        <v>3.0</v>
      </c>
      <c r="AA32" s="2">
        <v>0.0</v>
      </c>
      <c r="AB32" s="2">
        <v>0.0</v>
      </c>
      <c r="AC32" s="2">
        <v>3.0</v>
      </c>
      <c r="AD32" s="2">
        <v>3.0</v>
      </c>
      <c r="AE32" s="2">
        <v>3.0</v>
      </c>
      <c r="AF32" s="2">
        <v>3.0</v>
      </c>
      <c r="AG32" s="2">
        <v>2.0</v>
      </c>
      <c r="AH32" s="2">
        <v>4.0</v>
      </c>
      <c r="AI32" s="2">
        <v>0.0</v>
      </c>
      <c r="AJ32" s="2">
        <v>0.0</v>
      </c>
      <c r="AK32" s="2">
        <v>0.0</v>
      </c>
      <c r="AL32" s="2">
        <v>20.0</v>
      </c>
      <c r="AM32" s="2">
        <v>4.0</v>
      </c>
      <c r="AN32" s="2">
        <v>3.0</v>
      </c>
      <c r="AO32" s="2">
        <v>10.0</v>
      </c>
      <c r="AP32" s="2">
        <v>2.0</v>
      </c>
      <c r="AQ32" s="2">
        <v>1.0</v>
      </c>
      <c r="AR32" s="2">
        <v>0.0</v>
      </c>
      <c r="AS32" s="2">
        <v>3.0</v>
      </c>
      <c r="AT32" s="2">
        <v>0.0</v>
      </c>
      <c r="AU32" s="2">
        <v>3.0</v>
      </c>
      <c r="AV32" s="2">
        <v>6.0</v>
      </c>
      <c r="AW32" s="2">
        <v>5.0</v>
      </c>
      <c r="AX32" s="2">
        <v>4.0</v>
      </c>
      <c r="AY32" s="2">
        <v>0.0</v>
      </c>
      <c r="AZ32" s="2">
        <v>0.0</v>
      </c>
    </row>
    <row r="33">
      <c r="A33" s="2" t="s">
        <v>52</v>
      </c>
      <c r="B33" s="2" t="s">
        <v>141</v>
      </c>
      <c r="C33" s="2" t="s">
        <v>59</v>
      </c>
      <c r="D33" s="2" t="s">
        <v>67</v>
      </c>
      <c r="E33" s="2">
        <v>59.0</v>
      </c>
      <c r="F33" s="3" t="s">
        <v>142</v>
      </c>
      <c r="G33" s="3" t="s">
        <v>143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1.0</v>
      </c>
      <c r="AE33" s="2">
        <v>1.0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2.0</v>
      </c>
      <c r="AW33" s="2">
        <v>0.0</v>
      </c>
      <c r="AX33" s="2">
        <v>0.0</v>
      </c>
      <c r="AY33" s="2">
        <v>0.0</v>
      </c>
      <c r="AZ33" s="2">
        <v>0.0</v>
      </c>
    </row>
    <row r="34">
      <c r="A34" s="2" t="s">
        <v>52</v>
      </c>
      <c r="B34" s="2" t="s">
        <v>144</v>
      </c>
      <c r="C34" s="2" t="s">
        <v>59</v>
      </c>
      <c r="D34" s="2" t="s">
        <v>60</v>
      </c>
      <c r="E34" s="2">
        <v>39.0</v>
      </c>
      <c r="F34" s="3" t="s">
        <v>145</v>
      </c>
      <c r="G34" s="3" t="s">
        <v>146</v>
      </c>
      <c r="H34" s="2">
        <v>3.0</v>
      </c>
      <c r="I34" s="2">
        <v>3.0</v>
      </c>
      <c r="J34" s="2">
        <v>4.0</v>
      </c>
      <c r="K34" s="2">
        <v>2.0</v>
      </c>
      <c r="L34" s="2">
        <v>2.0</v>
      </c>
      <c r="M34" s="2">
        <v>2.0</v>
      </c>
      <c r="N34" s="2">
        <v>3.0</v>
      </c>
      <c r="O34" s="2">
        <v>3.0</v>
      </c>
      <c r="P34" s="2">
        <v>4.0</v>
      </c>
      <c r="Q34" s="2">
        <v>4.0</v>
      </c>
      <c r="R34" s="2">
        <v>4.0</v>
      </c>
      <c r="S34" s="2">
        <v>4.0</v>
      </c>
      <c r="T34" s="2">
        <v>3.0</v>
      </c>
      <c r="U34" s="2">
        <v>2.0</v>
      </c>
      <c r="V34" s="2">
        <v>4.0</v>
      </c>
      <c r="W34" s="2">
        <v>2.0</v>
      </c>
      <c r="X34" s="2">
        <v>2.0</v>
      </c>
      <c r="Y34" s="3" t="s">
        <v>147</v>
      </c>
      <c r="Z34" s="2">
        <v>4.0</v>
      </c>
      <c r="AA34" s="3" t="s">
        <v>147</v>
      </c>
      <c r="AB34" s="3" t="s">
        <v>147</v>
      </c>
      <c r="AC34" s="2">
        <v>1.0</v>
      </c>
      <c r="AD34" s="2">
        <v>4.0</v>
      </c>
      <c r="AE34" s="2">
        <v>2.0</v>
      </c>
      <c r="AF34" s="2">
        <v>4.0</v>
      </c>
      <c r="AG34" s="2">
        <v>2.0</v>
      </c>
      <c r="AH34" s="2">
        <v>3.0</v>
      </c>
      <c r="AI34" s="3" t="s">
        <v>147</v>
      </c>
      <c r="AJ34" s="2">
        <v>4.0</v>
      </c>
      <c r="AK34" s="2">
        <v>2.0</v>
      </c>
      <c r="AL34" s="2">
        <v>14.0</v>
      </c>
      <c r="AM34" s="2">
        <v>7.0</v>
      </c>
      <c r="AN34" s="2">
        <v>5.0</v>
      </c>
      <c r="AO34" s="2">
        <v>12.0</v>
      </c>
      <c r="AP34" s="2">
        <v>8.0</v>
      </c>
      <c r="AQ34" s="2">
        <v>4.0</v>
      </c>
      <c r="AR34" s="3" t="s">
        <v>147</v>
      </c>
      <c r="AS34" s="2">
        <v>4.0</v>
      </c>
      <c r="AT34" s="3" t="s">
        <v>147</v>
      </c>
      <c r="AU34" s="2">
        <v>1.0</v>
      </c>
      <c r="AV34" s="2">
        <v>6.0</v>
      </c>
      <c r="AW34" s="2">
        <v>6.0</v>
      </c>
      <c r="AX34" s="2">
        <v>3.0</v>
      </c>
      <c r="AY34" s="3" t="s">
        <v>147</v>
      </c>
      <c r="AZ34" s="2">
        <v>4.0</v>
      </c>
    </row>
    <row r="35">
      <c r="A35" s="2" t="s">
        <v>52</v>
      </c>
      <c r="B35" s="2" t="s">
        <v>148</v>
      </c>
      <c r="C35" s="2" t="s">
        <v>59</v>
      </c>
      <c r="D35" s="2" t="s">
        <v>55</v>
      </c>
      <c r="E35" s="2">
        <v>43.0</v>
      </c>
      <c r="F35" s="3" t="s">
        <v>149</v>
      </c>
      <c r="G35" s="3" t="s">
        <v>150</v>
      </c>
      <c r="H35" s="2">
        <v>2.0</v>
      </c>
      <c r="I35" s="2">
        <v>3.0</v>
      </c>
      <c r="J35" s="2">
        <v>2.0</v>
      </c>
      <c r="K35" s="2">
        <v>3.0</v>
      </c>
      <c r="L35" s="2">
        <v>2.0</v>
      </c>
      <c r="M35" s="3" t="s">
        <v>147</v>
      </c>
      <c r="N35" s="3" t="s">
        <v>147</v>
      </c>
      <c r="O35" s="3" t="s">
        <v>147</v>
      </c>
      <c r="P35" s="3" t="s">
        <v>147</v>
      </c>
      <c r="Q35" s="2">
        <v>1.0</v>
      </c>
      <c r="R35" s="2">
        <v>1.0</v>
      </c>
      <c r="S35" s="2">
        <v>1.0</v>
      </c>
      <c r="T35" s="2">
        <v>1.0</v>
      </c>
      <c r="U35" s="2">
        <v>3.0</v>
      </c>
      <c r="V35" s="2">
        <v>1.0</v>
      </c>
      <c r="W35" s="3" t="s">
        <v>147</v>
      </c>
      <c r="X35" s="3" t="s">
        <v>147</v>
      </c>
      <c r="Y35" s="3" t="s">
        <v>147</v>
      </c>
      <c r="Z35" s="3" t="s">
        <v>147</v>
      </c>
      <c r="AA35" s="3" t="s">
        <v>147</v>
      </c>
      <c r="AB35" s="3" t="s">
        <v>147</v>
      </c>
      <c r="AC35" s="2">
        <v>2.0</v>
      </c>
      <c r="AD35" s="2">
        <v>1.0</v>
      </c>
      <c r="AE35" s="3" t="s">
        <v>147</v>
      </c>
      <c r="AF35" s="2">
        <v>1.0</v>
      </c>
      <c r="AG35" s="3" t="s">
        <v>147</v>
      </c>
      <c r="AH35" s="2">
        <v>3.0</v>
      </c>
      <c r="AI35" s="3" t="s">
        <v>147</v>
      </c>
      <c r="AJ35" s="3" t="s">
        <v>147</v>
      </c>
      <c r="AK35" s="3" t="s">
        <v>147</v>
      </c>
      <c r="AL35" s="2">
        <v>12.0</v>
      </c>
      <c r="AM35" s="2">
        <v>1.0</v>
      </c>
      <c r="AN35" s="3" t="s">
        <v>147</v>
      </c>
      <c r="AO35" s="2">
        <v>3.0</v>
      </c>
      <c r="AP35" s="2">
        <v>4.0</v>
      </c>
      <c r="AQ35" s="3" t="s">
        <v>147</v>
      </c>
      <c r="AR35" s="3" t="s">
        <v>147</v>
      </c>
      <c r="AS35" s="3" t="s">
        <v>147</v>
      </c>
      <c r="AT35" s="3" t="s">
        <v>147</v>
      </c>
      <c r="AU35" s="2">
        <v>2.0</v>
      </c>
      <c r="AV35" s="2">
        <v>1.0</v>
      </c>
      <c r="AW35" s="2">
        <v>1.0</v>
      </c>
      <c r="AX35" s="2">
        <v>3.0</v>
      </c>
      <c r="AY35" s="3" t="s">
        <v>147</v>
      </c>
      <c r="AZ35" s="3" t="s">
        <v>147</v>
      </c>
    </row>
    <row r="36">
      <c r="A36" s="2" t="s">
        <v>52</v>
      </c>
      <c r="B36" s="2" t="s">
        <v>151</v>
      </c>
      <c r="C36" s="2" t="s">
        <v>59</v>
      </c>
      <c r="D36" s="2" t="s">
        <v>60</v>
      </c>
      <c r="E36" s="2">
        <v>9.0</v>
      </c>
      <c r="F36" s="3" t="s">
        <v>152</v>
      </c>
      <c r="G36" s="3" t="s">
        <v>153</v>
      </c>
      <c r="H36" s="2">
        <v>3.0</v>
      </c>
      <c r="I36" s="2">
        <v>2.0</v>
      </c>
      <c r="J36" s="2">
        <v>1.0</v>
      </c>
      <c r="K36" s="2">
        <v>1.0</v>
      </c>
      <c r="L36" s="2">
        <v>2.0</v>
      </c>
      <c r="M36" s="2">
        <v>3.0</v>
      </c>
      <c r="N36" s="2">
        <v>3.0</v>
      </c>
      <c r="O36" s="2">
        <v>3.0</v>
      </c>
      <c r="P36" s="2">
        <v>3.0</v>
      </c>
      <c r="Q36" s="2">
        <v>3.0</v>
      </c>
      <c r="R36" s="2">
        <v>2.0</v>
      </c>
      <c r="S36" s="2">
        <v>4.0</v>
      </c>
      <c r="T36" s="2">
        <v>3.0</v>
      </c>
      <c r="U36" s="3" t="s">
        <v>147</v>
      </c>
      <c r="V36" s="3" t="s">
        <v>147</v>
      </c>
      <c r="W36" s="3" t="s">
        <v>147</v>
      </c>
      <c r="X36" s="2">
        <v>4.0</v>
      </c>
      <c r="Y36" s="2">
        <v>3.0</v>
      </c>
      <c r="Z36" s="2">
        <v>3.0</v>
      </c>
      <c r="AA36" s="2">
        <v>4.0</v>
      </c>
      <c r="AB36" s="2">
        <v>4.0</v>
      </c>
      <c r="AC36" s="2">
        <v>4.0</v>
      </c>
      <c r="AD36" s="3" t="s">
        <v>147</v>
      </c>
      <c r="AE36" s="3" t="s">
        <v>147</v>
      </c>
      <c r="AF36" s="2">
        <v>3.0</v>
      </c>
      <c r="AG36" s="3" t="s">
        <v>147</v>
      </c>
      <c r="AH36" s="2">
        <v>3.0</v>
      </c>
      <c r="AI36" s="3" t="s">
        <v>147</v>
      </c>
      <c r="AJ36" s="3" t="s">
        <v>147</v>
      </c>
      <c r="AK36" s="2">
        <v>3.0</v>
      </c>
      <c r="AL36" s="2">
        <v>9.0</v>
      </c>
      <c r="AM36" s="2">
        <v>6.0</v>
      </c>
      <c r="AN36" s="2">
        <v>6.0</v>
      </c>
      <c r="AO36" s="2">
        <v>9.0</v>
      </c>
      <c r="AP36" s="3" t="s">
        <v>147</v>
      </c>
      <c r="AQ36" s="2">
        <v>7.0</v>
      </c>
      <c r="AR36" s="2">
        <v>3.0</v>
      </c>
      <c r="AS36" s="2">
        <v>3.0</v>
      </c>
      <c r="AT36" s="2">
        <v>8.0</v>
      </c>
      <c r="AU36" s="2">
        <v>4.0</v>
      </c>
      <c r="AV36" s="3" t="s">
        <v>147</v>
      </c>
      <c r="AW36" s="2">
        <v>3.0</v>
      </c>
      <c r="AX36" s="2">
        <v>3.0</v>
      </c>
      <c r="AY36" s="3" t="s">
        <v>147</v>
      </c>
      <c r="AZ36" s="3" t="s">
        <v>147</v>
      </c>
    </row>
    <row r="37">
      <c r="A37" s="2" t="s">
        <v>52</v>
      </c>
      <c r="B37" s="2" t="s">
        <v>154</v>
      </c>
      <c r="C37" s="2" t="s">
        <v>54</v>
      </c>
      <c r="D37" s="2" t="s">
        <v>60</v>
      </c>
      <c r="E37" s="2">
        <v>20.0</v>
      </c>
      <c r="F37" s="3" t="s">
        <v>155</v>
      </c>
      <c r="G37" s="3" t="s">
        <v>156</v>
      </c>
      <c r="H37" s="2">
        <v>3.0</v>
      </c>
      <c r="I37" s="2">
        <v>3.0</v>
      </c>
      <c r="J37" s="2">
        <v>4.0</v>
      </c>
      <c r="K37" s="2">
        <v>4.0</v>
      </c>
      <c r="L37" s="2">
        <v>4.0</v>
      </c>
      <c r="M37" s="2">
        <v>1.0</v>
      </c>
      <c r="N37" s="3" t="s">
        <v>147</v>
      </c>
      <c r="O37" s="2">
        <v>1.0</v>
      </c>
      <c r="P37" s="3" t="s">
        <v>147</v>
      </c>
      <c r="Q37" s="3" t="s">
        <v>147</v>
      </c>
      <c r="R37" s="3" t="s">
        <v>147</v>
      </c>
      <c r="S37" s="3" t="s">
        <v>147</v>
      </c>
      <c r="T37" s="3" t="s">
        <v>147</v>
      </c>
      <c r="U37" s="3" t="s">
        <v>147</v>
      </c>
      <c r="V37" s="3" t="s">
        <v>147</v>
      </c>
      <c r="W37" s="3" t="s">
        <v>147</v>
      </c>
      <c r="X37" s="2">
        <v>2.0</v>
      </c>
      <c r="Y37" s="3" t="s">
        <v>147</v>
      </c>
      <c r="Z37" s="2">
        <v>3.0</v>
      </c>
      <c r="AA37" s="2">
        <v>2.0</v>
      </c>
      <c r="AB37" s="2">
        <v>2.0</v>
      </c>
      <c r="AC37" s="2">
        <v>3.0</v>
      </c>
      <c r="AD37" s="2">
        <v>3.0</v>
      </c>
      <c r="AE37" s="2">
        <v>3.0</v>
      </c>
      <c r="AF37" s="3" t="s">
        <v>147</v>
      </c>
      <c r="AG37" s="2">
        <v>1.0</v>
      </c>
      <c r="AH37" s="2">
        <v>2.0</v>
      </c>
      <c r="AI37" s="3" t="s">
        <v>147</v>
      </c>
      <c r="AJ37" s="3" t="s">
        <v>147</v>
      </c>
      <c r="AK37" s="2">
        <v>3.0</v>
      </c>
      <c r="AL37" s="2">
        <v>18.0</v>
      </c>
      <c r="AM37" s="3" t="s">
        <v>147</v>
      </c>
      <c r="AN37" s="2">
        <v>1.0</v>
      </c>
      <c r="AO37" s="3" t="s">
        <v>147</v>
      </c>
      <c r="AP37" s="3" t="s">
        <v>147</v>
      </c>
      <c r="AQ37" s="2">
        <v>5.0</v>
      </c>
      <c r="AR37" s="3" t="s">
        <v>147</v>
      </c>
      <c r="AS37" s="2">
        <v>3.0</v>
      </c>
      <c r="AT37" s="2">
        <v>4.0</v>
      </c>
      <c r="AU37" s="2">
        <v>3.0</v>
      </c>
      <c r="AV37" s="2">
        <v>6.0</v>
      </c>
      <c r="AW37" s="2">
        <v>1.0</v>
      </c>
      <c r="AX37" s="2">
        <v>2.0</v>
      </c>
      <c r="AY37" s="3" t="s">
        <v>147</v>
      </c>
      <c r="AZ37" s="3" t="s">
        <v>147</v>
      </c>
    </row>
    <row r="38">
      <c r="A38" s="2" t="s">
        <v>52</v>
      </c>
      <c r="B38" s="2" t="s">
        <v>157</v>
      </c>
      <c r="C38" s="2" t="s">
        <v>54</v>
      </c>
      <c r="D38" s="2" t="s">
        <v>60</v>
      </c>
      <c r="E38" s="2">
        <v>7.0</v>
      </c>
      <c r="F38" s="3" t="s">
        <v>158</v>
      </c>
      <c r="G38" s="3" t="s">
        <v>159</v>
      </c>
      <c r="H38" s="2">
        <v>2.0</v>
      </c>
      <c r="I38" s="2">
        <v>2.0</v>
      </c>
      <c r="J38" s="2">
        <v>2.0</v>
      </c>
      <c r="K38" s="2">
        <v>1.0</v>
      </c>
      <c r="L38" s="2">
        <v>2.0</v>
      </c>
      <c r="M38" s="2">
        <v>2.0</v>
      </c>
      <c r="N38" s="2">
        <v>2.0</v>
      </c>
      <c r="O38" s="2">
        <v>1.0</v>
      </c>
      <c r="P38" s="2">
        <v>1.0</v>
      </c>
      <c r="Q38" s="2">
        <v>3.0</v>
      </c>
      <c r="R38" s="2">
        <v>4.0</v>
      </c>
      <c r="S38" s="2">
        <v>4.0</v>
      </c>
      <c r="T38" s="2">
        <v>4.0</v>
      </c>
      <c r="U38" s="2">
        <v>3.0</v>
      </c>
      <c r="V38" s="2">
        <v>1.0</v>
      </c>
      <c r="W38" s="2">
        <v>2.0</v>
      </c>
      <c r="X38" s="3" t="s">
        <v>147</v>
      </c>
      <c r="Y38" s="2">
        <v>3.0</v>
      </c>
      <c r="Z38" s="2">
        <v>4.0</v>
      </c>
      <c r="AA38" s="3" t="s">
        <v>147</v>
      </c>
      <c r="AB38" s="3" t="s">
        <v>147</v>
      </c>
      <c r="AC38" s="2">
        <v>4.0</v>
      </c>
      <c r="AD38" s="2">
        <v>3.0</v>
      </c>
      <c r="AE38" s="2">
        <v>3.0</v>
      </c>
      <c r="AF38" s="3" t="s">
        <v>147</v>
      </c>
      <c r="AG38" s="3" t="s">
        <v>147</v>
      </c>
      <c r="AH38" s="2">
        <v>3.0</v>
      </c>
      <c r="AI38" s="3" t="s">
        <v>147</v>
      </c>
      <c r="AJ38" s="2">
        <v>4.0</v>
      </c>
      <c r="AK38" s="3" t="s">
        <v>147</v>
      </c>
      <c r="AL38" s="2">
        <v>9.0</v>
      </c>
      <c r="AM38" s="2">
        <v>5.0</v>
      </c>
      <c r="AN38" s="2">
        <v>4.0</v>
      </c>
      <c r="AO38" s="2">
        <v>11.0</v>
      </c>
      <c r="AP38" s="2">
        <v>6.0</v>
      </c>
      <c r="AQ38" s="3" t="s">
        <v>147</v>
      </c>
      <c r="AR38" s="2">
        <v>3.0</v>
      </c>
      <c r="AS38" s="2">
        <v>4.0</v>
      </c>
      <c r="AT38" s="3" t="s">
        <v>147</v>
      </c>
      <c r="AU38" s="2">
        <v>4.0</v>
      </c>
      <c r="AV38" s="2">
        <v>6.0</v>
      </c>
      <c r="AW38" s="3" t="s">
        <v>147</v>
      </c>
      <c r="AX38" s="2">
        <v>3.0</v>
      </c>
      <c r="AY38" s="3" t="s">
        <v>147</v>
      </c>
      <c r="AZ38" s="2">
        <v>4.0</v>
      </c>
    </row>
    <row r="39">
      <c r="A39" s="2" t="s">
        <v>52</v>
      </c>
      <c r="B39" s="2" t="s">
        <v>160</v>
      </c>
      <c r="C39" s="2" t="s">
        <v>54</v>
      </c>
      <c r="D39" s="2" t="s">
        <v>60</v>
      </c>
      <c r="E39" s="2">
        <v>7.0</v>
      </c>
      <c r="F39" s="3" t="s">
        <v>158</v>
      </c>
      <c r="G39" s="3" t="s">
        <v>159</v>
      </c>
      <c r="H39" s="2">
        <v>2.0</v>
      </c>
      <c r="I39" s="2">
        <v>2.0</v>
      </c>
      <c r="J39" s="2">
        <v>3.0</v>
      </c>
      <c r="K39" s="2">
        <v>3.0</v>
      </c>
      <c r="L39" s="2">
        <v>3.0</v>
      </c>
      <c r="M39" s="2">
        <v>1.0</v>
      </c>
      <c r="N39" s="2">
        <v>2.0</v>
      </c>
      <c r="O39" s="2">
        <v>2.0</v>
      </c>
      <c r="P39" s="2">
        <v>1.0</v>
      </c>
      <c r="Q39" s="2">
        <v>1.0</v>
      </c>
      <c r="R39" s="2">
        <v>1.0</v>
      </c>
      <c r="S39" s="2">
        <v>2.0</v>
      </c>
      <c r="T39" s="2">
        <v>2.0</v>
      </c>
      <c r="U39" s="3" t="s">
        <v>147</v>
      </c>
      <c r="V39" s="2">
        <v>2.0</v>
      </c>
      <c r="W39" s="2">
        <v>2.0</v>
      </c>
      <c r="X39" s="3" t="s">
        <v>147</v>
      </c>
      <c r="Y39" s="2">
        <v>1.0</v>
      </c>
      <c r="Z39" s="2">
        <v>3.0</v>
      </c>
      <c r="AA39" s="2">
        <v>1.0</v>
      </c>
      <c r="AB39" s="2">
        <v>1.0</v>
      </c>
      <c r="AC39" s="2">
        <v>1.0</v>
      </c>
      <c r="AD39" s="2">
        <v>1.0</v>
      </c>
      <c r="AE39" s="2">
        <v>1.0</v>
      </c>
      <c r="AF39" s="3" t="s">
        <v>147</v>
      </c>
      <c r="AG39" s="3" t="s">
        <v>147</v>
      </c>
      <c r="AH39" s="2">
        <v>1.0</v>
      </c>
      <c r="AI39" s="3" t="s">
        <v>147</v>
      </c>
      <c r="AJ39" s="2">
        <v>4.0</v>
      </c>
      <c r="AK39" s="3" t="s">
        <v>147</v>
      </c>
      <c r="AL39" s="2">
        <v>13.0</v>
      </c>
      <c r="AM39" s="2">
        <v>3.0</v>
      </c>
      <c r="AN39" s="2">
        <v>3.0</v>
      </c>
      <c r="AO39" s="2">
        <v>4.0</v>
      </c>
      <c r="AP39" s="2">
        <v>4.0</v>
      </c>
      <c r="AQ39" s="3" t="s">
        <v>147</v>
      </c>
      <c r="AR39" s="2">
        <v>1.0</v>
      </c>
      <c r="AS39" s="2">
        <v>3.0</v>
      </c>
      <c r="AT39" s="2">
        <v>2.0</v>
      </c>
      <c r="AU39" s="2">
        <v>1.0</v>
      </c>
      <c r="AV39" s="2">
        <v>2.0</v>
      </c>
      <c r="AW39" s="3" t="s">
        <v>147</v>
      </c>
      <c r="AX39" s="2">
        <v>1.0</v>
      </c>
      <c r="AY39" s="3" t="s">
        <v>147</v>
      </c>
      <c r="AZ39" s="2">
        <v>4.0</v>
      </c>
    </row>
    <row r="40">
      <c r="A40" s="2" t="s">
        <v>52</v>
      </c>
      <c r="B40" s="2" t="s">
        <v>161</v>
      </c>
      <c r="C40" s="2" t="s">
        <v>59</v>
      </c>
      <c r="D40" s="2" t="s">
        <v>60</v>
      </c>
      <c r="E40" s="2">
        <v>12.0</v>
      </c>
      <c r="F40" s="3" t="s">
        <v>162</v>
      </c>
      <c r="G40" s="3" t="s">
        <v>163</v>
      </c>
      <c r="H40" s="2">
        <v>3.0</v>
      </c>
      <c r="I40" s="2">
        <v>3.0</v>
      </c>
      <c r="J40" s="2">
        <v>2.0</v>
      </c>
      <c r="K40" s="2">
        <v>2.0</v>
      </c>
      <c r="L40" s="2">
        <v>2.0</v>
      </c>
      <c r="M40" s="2">
        <v>2.0</v>
      </c>
      <c r="N40" s="2">
        <v>3.0</v>
      </c>
      <c r="O40" s="2">
        <v>2.0</v>
      </c>
      <c r="P40" s="2">
        <v>1.0</v>
      </c>
      <c r="Q40" s="2">
        <v>4.0</v>
      </c>
      <c r="R40" s="2">
        <v>4.0</v>
      </c>
      <c r="S40" s="2">
        <v>4.0</v>
      </c>
      <c r="T40" s="2">
        <v>2.0</v>
      </c>
      <c r="U40" s="2">
        <v>1.0</v>
      </c>
      <c r="V40" s="3" t="s">
        <v>147</v>
      </c>
      <c r="W40" s="2">
        <v>1.0</v>
      </c>
      <c r="X40" s="2">
        <v>4.0</v>
      </c>
      <c r="Y40" s="3" t="s">
        <v>147</v>
      </c>
      <c r="Z40" s="2">
        <v>3.0</v>
      </c>
      <c r="AA40" s="3" t="s">
        <v>147</v>
      </c>
      <c r="AB40" s="3" t="s">
        <v>147</v>
      </c>
      <c r="AC40" s="2">
        <v>2.0</v>
      </c>
      <c r="AD40" s="2">
        <v>1.0</v>
      </c>
      <c r="AE40" s="2">
        <v>1.0</v>
      </c>
      <c r="AF40" s="2">
        <v>3.0</v>
      </c>
      <c r="AG40" s="2">
        <v>2.0</v>
      </c>
      <c r="AH40" s="2">
        <v>3.0</v>
      </c>
      <c r="AI40" s="3" t="s">
        <v>147</v>
      </c>
      <c r="AJ40" s="2">
        <v>1.0</v>
      </c>
      <c r="AK40" s="2">
        <v>3.0</v>
      </c>
      <c r="AL40" s="2">
        <v>12.0</v>
      </c>
      <c r="AM40" s="2">
        <v>3.0</v>
      </c>
      <c r="AN40" s="2">
        <v>5.0</v>
      </c>
      <c r="AO40" s="2">
        <v>12.0</v>
      </c>
      <c r="AP40" s="2">
        <v>2.0</v>
      </c>
      <c r="AQ40" s="2">
        <v>7.0</v>
      </c>
      <c r="AR40" s="3" t="s">
        <v>147</v>
      </c>
      <c r="AS40" s="2">
        <v>3.0</v>
      </c>
      <c r="AT40" s="3" t="s">
        <v>147</v>
      </c>
      <c r="AU40" s="2">
        <v>2.0</v>
      </c>
      <c r="AV40" s="2">
        <v>2.0</v>
      </c>
      <c r="AW40" s="2">
        <v>5.0</v>
      </c>
      <c r="AX40" s="2">
        <v>3.0</v>
      </c>
      <c r="AY40" s="3" t="s">
        <v>147</v>
      </c>
      <c r="AZ40" s="2">
        <v>1.0</v>
      </c>
    </row>
    <row r="41">
      <c r="A41" s="2" t="s">
        <v>52</v>
      </c>
      <c r="B41" s="2" t="s">
        <v>164</v>
      </c>
      <c r="C41" s="2" t="s">
        <v>59</v>
      </c>
      <c r="D41" s="2" t="s">
        <v>60</v>
      </c>
      <c r="E41" s="2">
        <v>5.0</v>
      </c>
      <c r="F41" s="3" t="s">
        <v>165</v>
      </c>
      <c r="G41" s="3" t="s">
        <v>166</v>
      </c>
      <c r="H41" s="2">
        <v>3.0</v>
      </c>
      <c r="I41" s="2">
        <v>3.0</v>
      </c>
      <c r="J41" s="2">
        <v>3.0</v>
      </c>
      <c r="K41" s="2">
        <v>2.0</v>
      </c>
      <c r="L41" s="2">
        <v>1.0</v>
      </c>
      <c r="M41" s="3" t="s">
        <v>147</v>
      </c>
      <c r="N41" s="2">
        <v>3.0</v>
      </c>
      <c r="O41" s="2">
        <v>4.0</v>
      </c>
      <c r="P41" s="3" t="s">
        <v>147</v>
      </c>
      <c r="Q41" s="2">
        <v>3.0</v>
      </c>
      <c r="R41" s="2">
        <v>3.0</v>
      </c>
      <c r="S41" s="2">
        <v>4.0</v>
      </c>
      <c r="T41" s="2">
        <v>3.0</v>
      </c>
      <c r="U41" s="3" t="s">
        <v>147</v>
      </c>
      <c r="V41" s="3" t="s">
        <v>147</v>
      </c>
      <c r="W41" s="3" t="s">
        <v>147</v>
      </c>
      <c r="X41" s="3" t="s">
        <v>147</v>
      </c>
      <c r="Y41" s="2">
        <v>4.0</v>
      </c>
      <c r="Z41" s="2">
        <v>4.0</v>
      </c>
      <c r="AA41" s="3" t="s">
        <v>147</v>
      </c>
      <c r="AB41" s="3" t="s">
        <v>147</v>
      </c>
      <c r="AC41" s="2">
        <v>3.0</v>
      </c>
      <c r="AD41" s="3" t="s">
        <v>147</v>
      </c>
      <c r="AE41" s="3" t="s">
        <v>147</v>
      </c>
      <c r="AF41" s="3" t="s">
        <v>147</v>
      </c>
      <c r="AG41" s="3" t="s">
        <v>147</v>
      </c>
      <c r="AH41" s="2">
        <v>2.0</v>
      </c>
      <c r="AI41" s="3" t="s">
        <v>147</v>
      </c>
      <c r="AJ41" s="3" t="s">
        <v>147</v>
      </c>
      <c r="AK41" s="3" t="s">
        <v>147</v>
      </c>
      <c r="AL41" s="2">
        <v>12.0</v>
      </c>
      <c r="AM41" s="2">
        <v>3.0</v>
      </c>
      <c r="AN41" s="2">
        <v>3.0</v>
      </c>
      <c r="AO41" s="2">
        <v>10.0</v>
      </c>
      <c r="AP41" s="3" t="s">
        <v>147</v>
      </c>
      <c r="AQ41" s="3" t="s">
        <v>147</v>
      </c>
      <c r="AR41" s="2">
        <v>4.0</v>
      </c>
      <c r="AS41" s="2">
        <v>4.0</v>
      </c>
      <c r="AT41" s="3" t="s">
        <v>147</v>
      </c>
      <c r="AU41" s="2">
        <v>3.0</v>
      </c>
      <c r="AV41" s="3" t="s">
        <v>147</v>
      </c>
      <c r="AW41" s="3" t="s">
        <v>147</v>
      </c>
      <c r="AX41" s="2">
        <v>2.0</v>
      </c>
      <c r="AY41" s="3" t="s">
        <v>147</v>
      </c>
      <c r="AZ41" s="3" t="s">
        <v>147</v>
      </c>
    </row>
    <row r="42">
      <c r="A42" s="2" t="s">
        <v>52</v>
      </c>
      <c r="B42" s="2" t="s">
        <v>167</v>
      </c>
      <c r="C42" s="2" t="s">
        <v>59</v>
      </c>
      <c r="D42" s="2" t="s">
        <v>60</v>
      </c>
      <c r="E42" s="2">
        <v>23.0</v>
      </c>
      <c r="F42" s="3" t="s">
        <v>168</v>
      </c>
      <c r="G42" s="3" t="s">
        <v>169</v>
      </c>
      <c r="H42" s="2">
        <v>2.0</v>
      </c>
      <c r="I42" s="2">
        <v>2.0</v>
      </c>
      <c r="J42" s="2">
        <v>1.0</v>
      </c>
      <c r="K42" s="2">
        <v>1.0</v>
      </c>
      <c r="L42" s="2">
        <v>1.0</v>
      </c>
      <c r="M42" s="2">
        <v>2.0</v>
      </c>
      <c r="N42" s="2">
        <v>4.0</v>
      </c>
      <c r="O42" s="2">
        <v>2.0</v>
      </c>
      <c r="P42" s="2">
        <v>1.0</v>
      </c>
      <c r="Q42" s="2">
        <v>2.0</v>
      </c>
      <c r="R42" s="2">
        <v>1.0</v>
      </c>
      <c r="S42" s="2">
        <v>1.0</v>
      </c>
      <c r="T42" s="2">
        <v>2.0</v>
      </c>
      <c r="U42" s="3" t="s">
        <v>147</v>
      </c>
      <c r="V42" s="3" t="s">
        <v>147</v>
      </c>
      <c r="W42" s="3" t="s">
        <v>147</v>
      </c>
      <c r="X42" s="3" t="s">
        <v>147</v>
      </c>
      <c r="Y42" s="3" t="s">
        <v>147</v>
      </c>
      <c r="Z42" s="3" t="s">
        <v>147</v>
      </c>
      <c r="AA42" s="3" t="s">
        <v>147</v>
      </c>
      <c r="AB42" s="3" t="s">
        <v>147</v>
      </c>
      <c r="AC42" s="3" t="s">
        <v>147</v>
      </c>
      <c r="AD42" s="2">
        <v>2.0</v>
      </c>
      <c r="AE42" s="2">
        <v>1.0</v>
      </c>
      <c r="AF42" s="2">
        <v>1.0</v>
      </c>
      <c r="AG42" s="3" t="s">
        <v>147</v>
      </c>
      <c r="AH42" s="2">
        <v>1.0</v>
      </c>
      <c r="AI42" s="3" t="s">
        <v>147</v>
      </c>
      <c r="AJ42" s="2">
        <v>2.0</v>
      </c>
      <c r="AK42" s="3" t="s">
        <v>147</v>
      </c>
      <c r="AL42" s="2">
        <v>7.0</v>
      </c>
      <c r="AM42" s="2">
        <v>3.0</v>
      </c>
      <c r="AN42" s="2">
        <v>6.0</v>
      </c>
      <c r="AO42" s="2">
        <v>4.0</v>
      </c>
      <c r="AP42" s="3" t="s">
        <v>147</v>
      </c>
      <c r="AQ42" s="3" t="s">
        <v>147</v>
      </c>
      <c r="AR42" s="3" t="s">
        <v>147</v>
      </c>
      <c r="AS42" s="3" t="s">
        <v>147</v>
      </c>
      <c r="AT42" s="3" t="s">
        <v>147</v>
      </c>
      <c r="AU42" s="3" t="s">
        <v>147</v>
      </c>
      <c r="AV42" s="2">
        <v>3.0</v>
      </c>
      <c r="AW42" s="2">
        <v>1.0</v>
      </c>
      <c r="AX42" s="2">
        <v>1.0</v>
      </c>
      <c r="AY42" s="3" t="s">
        <v>147</v>
      </c>
      <c r="AZ42" s="2">
        <v>2.0</v>
      </c>
    </row>
    <row r="43">
      <c r="A43" s="2" t="s">
        <v>52</v>
      </c>
      <c r="B43" s="2" t="s">
        <v>170</v>
      </c>
      <c r="C43" s="2" t="s">
        <v>59</v>
      </c>
      <c r="D43" s="2" t="s">
        <v>67</v>
      </c>
      <c r="E43" s="2">
        <v>43.0</v>
      </c>
      <c r="F43" s="3" t="s">
        <v>171</v>
      </c>
      <c r="G43" s="3" t="s">
        <v>171</v>
      </c>
      <c r="H43" s="3" t="s">
        <v>147</v>
      </c>
      <c r="I43" s="3" t="s">
        <v>147</v>
      </c>
      <c r="J43" s="3" t="s">
        <v>147</v>
      </c>
      <c r="K43" s="3" t="s">
        <v>147</v>
      </c>
      <c r="L43" s="3" t="s">
        <v>147</v>
      </c>
      <c r="M43" s="2">
        <v>4.0</v>
      </c>
      <c r="N43" s="2">
        <v>4.0</v>
      </c>
      <c r="O43" s="2">
        <v>4.0</v>
      </c>
      <c r="P43" s="2">
        <v>4.0</v>
      </c>
      <c r="Q43" s="2">
        <v>4.0</v>
      </c>
      <c r="R43" s="2">
        <v>4.0</v>
      </c>
      <c r="S43" s="2">
        <v>4.0</v>
      </c>
      <c r="T43" s="2">
        <v>4.0</v>
      </c>
      <c r="U43" s="3" t="s">
        <v>147</v>
      </c>
      <c r="V43" s="3" t="s">
        <v>147</v>
      </c>
      <c r="W43" s="3" t="s">
        <v>147</v>
      </c>
      <c r="X43" s="3" t="s">
        <v>147</v>
      </c>
      <c r="Y43" s="3" t="s">
        <v>147</v>
      </c>
      <c r="Z43" s="2">
        <v>3.0</v>
      </c>
      <c r="AA43" s="3" t="s">
        <v>147</v>
      </c>
      <c r="AB43" s="3" t="s">
        <v>147</v>
      </c>
      <c r="AC43" s="2">
        <v>2.0</v>
      </c>
      <c r="AD43" s="2">
        <v>2.0</v>
      </c>
      <c r="AE43" s="2">
        <v>2.0</v>
      </c>
      <c r="AF43" s="2">
        <v>2.0</v>
      </c>
      <c r="AG43" s="2">
        <v>2.0</v>
      </c>
      <c r="AH43" s="2">
        <v>2.0</v>
      </c>
      <c r="AI43" s="3" t="s">
        <v>147</v>
      </c>
      <c r="AJ43" s="3" t="s">
        <v>147</v>
      </c>
      <c r="AK43" s="3" t="s">
        <v>147</v>
      </c>
      <c r="AL43" s="3" t="s">
        <v>147</v>
      </c>
      <c r="AM43" s="2">
        <v>8.0</v>
      </c>
      <c r="AN43" s="2">
        <v>8.0</v>
      </c>
      <c r="AO43" s="2">
        <v>12.0</v>
      </c>
      <c r="AP43" s="3" t="s">
        <v>147</v>
      </c>
      <c r="AQ43" s="3" t="s">
        <v>147</v>
      </c>
      <c r="AR43" s="3" t="s">
        <v>147</v>
      </c>
      <c r="AS43" s="2">
        <v>3.0</v>
      </c>
      <c r="AT43" s="3" t="s">
        <v>147</v>
      </c>
      <c r="AU43" s="2">
        <v>2.0</v>
      </c>
      <c r="AV43" s="2">
        <v>4.0</v>
      </c>
      <c r="AW43" s="2">
        <v>4.0</v>
      </c>
      <c r="AX43" s="2">
        <v>2.0</v>
      </c>
      <c r="AY43" s="3" t="s">
        <v>147</v>
      </c>
      <c r="AZ43" s="3" t="s">
        <v>147</v>
      </c>
    </row>
    <row r="44">
      <c r="A44" s="2" t="s">
        <v>52</v>
      </c>
      <c r="B44" s="2" t="s">
        <v>172</v>
      </c>
      <c r="C44" s="2" t="s">
        <v>54</v>
      </c>
      <c r="D44" s="2" t="s">
        <v>67</v>
      </c>
      <c r="E44" s="2">
        <v>42.0</v>
      </c>
      <c r="F44" s="3" t="s">
        <v>173</v>
      </c>
      <c r="G44" s="3" t="s">
        <v>174</v>
      </c>
      <c r="H44" s="2">
        <v>2.0</v>
      </c>
      <c r="I44" s="2">
        <v>2.0</v>
      </c>
      <c r="J44" s="2">
        <v>2.0</v>
      </c>
      <c r="K44" s="2">
        <v>2.0</v>
      </c>
      <c r="L44" s="2">
        <v>1.0</v>
      </c>
      <c r="M44" s="2">
        <v>1.0</v>
      </c>
      <c r="N44" s="2">
        <v>1.0</v>
      </c>
      <c r="O44" s="2">
        <v>2.0</v>
      </c>
      <c r="P44" s="2">
        <v>1.0</v>
      </c>
      <c r="Q44" s="2">
        <v>3.0</v>
      </c>
      <c r="R44" s="2">
        <v>3.0</v>
      </c>
      <c r="S44" s="2">
        <v>3.0</v>
      </c>
      <c r="T44" s="2">
        <v>3.0</v>
      </c>
      <c r="U44" s="3" t="s">
        <v>147</v>
      </c>
      <c r="V44" s="3" t="s">
        <v>147</v>
      </c>
      <c r="W44" s="3" t="s">
        <v>147</v>
      </c>
      <c r="X44" s="3" t="s">
        <v>147</v>
      </c>
      <c r="Y44" s="3" t="s">
        <v>147</v>
      </c>
      <c r="Z44" s="3" t="s">
        <v>147</v>
      </c>
      <c r="AA44" s="3" t="s">
        <v>147</v>
      </c>
      <c r="AB44" s="3" t="s">
        <v>147</v>
      </c>
      <c r="AC44" s="2">
        <v>1.0</v>
      </c>
      <c r="AD44" s="2">
        <v>2.0</v>
      </c>
      <c r="AE44" s="2">
        <v>2.0</v>
      </c>
      <c r="AF44" s="3" t="s">
        <v>147</v>
      </c>
      <c r="AG44" s="3" t="s">
        <v>147</v>
      </c>
      <c r="AH44" s="3" t="s">
        <v>147</v>
      </c>
      <c r="AI44" s="3" t="s">
        <v>147</v>
      </c>
      <c r="AJ44" s="3" t="s">
        <v>147</v>
      </c>
      <c r="AK44" s="3" t="s">
        <v>147</v>
      </c>
      <c r="AL44" s="2">
        <v>9.0</v>
      </c>
      <c r="AM44" s="2">
        <v>4.0</v>
      </c>
      <c r="AN44" s="2">
        <v>2.0</v>
      </c>
      <c r="AO44" s="2">
        <v>9.0</v>
      </c>
      <c r="AP44" s="3" t="s">
        <v>147</v>
      </c>
      <c r="AQ44" s="3" t="s">
        <v>147</v>
      </c>
      <c r="AR44" s="3" t="s">
        <v>147</v>
      </c>
      <c r="AS44" s="3" t="s">
        <v>147</v>
      </c>
      <c r="AT44" s="3" t="s">
        <v>147</v>
      </c>
      <c r="AU44" s="2">
        <v>1.0</v>
      </c>
      <c r="AV44" s="2">
        <v>4.0</v>
      </c>
      <c r="AW44" s="3" t="s">
        <v>147</v>
      </c>
      <c r="AX44" s="3" t="s">
        <v>147</v>
      </c>
      <c r="AY44" s="3" t="s">
        <v>147</v>
      </c>
      <c r="AZ44" s="3" t="s">
        <v>147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4.75"/>
    <col customWidth="1" min="3" max="3" width="22.5"/>
    <col customWidth="1" min="4" max="4" width="32.75"/>
    <col customWidth="1" min="5" max="5" width="19.5"/>
    <col customWidth="1" min="6" max="6" width="11.63"/>
    <col customWidth="1" hidden="1" min="7" max="7" width="28.25"/>
    <col customWidth="1" hidden="1" min="8" max="8" width="6.0"/>
    <col customWidth="1" min="9" max="9" width="17.75"/>
    <col customWidth="1" hidden="1" min="10" max="12" width="17.75"/>
  </cols>
  <sheetData>
    <row r="1">
      <c r="A1" s="4"/>
      <c r="B1" s="5"/>
      <c r="C1" s="6"/>
      <c r="D1" s="6"/>
      <c r="E1" s="6"/>
      <c r="F1" s="6"/>
      <c r="G1" s="7"/>
      <c r="H1" s="8"/>
      <c r="I1" s="9"/>
      <c r="J1" s="9"/>
      <c r="K1" s="9"/>
      <c r="L1" s="9"/>
    </row>
    <row r="2">
      <c r="A2" s="4"/>
      <c r="B2" s="10" t="s">
        <v>175</v>
      </c>
      <c r="C2" s="11"/>
      <c r="D2" s="11"/>
      <c r="E2" s="11"/>
      <c r="F2" s="11"/>
      <c r="G2" s="11"/>
      <c r="H2" s="11"/>
      <c r="I2" s="12"/>
      <c r="J2" s="9"/>
      <c r="K2" s="9"/>
      <c r="L2" s="9"/>
    </row>
    <row r="3">
      <c r="A3" s="4"/>
      <c r="B3" s="5"/>
      <c r="C3" s="8"/>
      <c r="D3" s="8"/>
      <c r="E3" s="8"/>
      <c r="F3" s="8"/>
      <c r="G3" s="13"/>
      <c r="H3" s="8"/>
      <c r="I3" s="9"/>
      <c r="J3" s="14"/>
      <c r="K3" s="14"/>
      <c r="L3" s="14"/>
    </row>
    <row r="4">
      <c r="A4" s="4"/>
      <c r="B4" s="15" t="s">
        <v>176</v>
      </c>
      <c r="D4" s="16" t="s">
        <v>172</v>
      </c>
      <c r="J4" s="14"/>
      <c r="K4" s="14"/>
      <c r="L4" s="14"/>
    </row>
    <row r="5">
      <c r="A5" s="4"/>
      <c r="B5" s="5"/>
      <c r="C5" s="17"/>
      <c r="D5" s="8"/>
      <c r="E5" s="8"/>
      <c r="F5" s="8"/>
      <c r="G5" s="13"/>
      <c r="H5" s="8"/>
      <c r="I5" s="9"/>
      <c r="J5" s="14"/>
      <c r="K5" s="14"/>
      <c r="L5" s="14"/>
    </row>
    <row r="6" ht="29.25" customHeight="1">
      <c r="A6" s="4"/>
      <c r="B6" s="18" t="s">
        <v>177</v>
      </c>
      <c r="C6" s="19"/>
      <c r="D6" s="19"/>
      <c r="E6" s="19"/>
      <c r="F6" s="20"/>
      <c r="G6" s="21">
        <f>L19</f>
        <v>6</v>
      </c>
      <c r="H6" s="19"/>
      <c r="I6" s="20"/>
      <c r="J6" s="22"/>
      <c r="K6" s="22"/>
      <c r="L6" s="22"/>
    </row>
    <row r="7" ht="15.0" customHeight="1">
      <c r="A7" s="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ht="29.25" customHeight="1">
      <c r="A8" s="4"/>
      <c r="B8" s="18" t="s">
        <v>178</v>
      </c>
      <c r="C8" s="23"/>
      <c r="D8" s="23"/>
      <c r="E8" s="23"/>
      <c r="F8" s="24"/>
      <c r="G8" s="25">
        <f t="shared" ref="G8:G11" si="1">L15</f>
        <v>2</v>
      </c>
      <c r="H8" s="23"/>
      <c r="I8" s="24"/>
      <c r="J8" s="22"/>
      <c r="K8" s="22"/>
      <c r="L8" s="22"/>
    </row>
    <row r="9" ht="29.25" customHeight="1">
      <c r="A9" s="4"/>
      <c r="B9" s="18" t="s">
        <v>179</v>
      </c>
      <c r="C9" s="26"/>
      <c r="D9" s="26"/>
      <c r="E9" s="26"/>
      <c r="F9" s="27"/>
      <c r="G9" s="28">
        <f t="shared" si="1"/>
        <v>3</v>
      </c>
      <c r="H9" s="26"/>
      <c r="I9" s="27"/>
      <c r="J9" s="22"/>
      <c r="K9" s="22"/>
      <c r="L9" s="22"/>
    </row>
    <row r="10" ht="29.25" customHeight="1">
      <c r="A10" s="4"/>
      <c r="B10" s="18" t="s">
        <v>180</v>
      </c>
      <c r="C10" s="23"/>
      <c r="D10" s="23"/>
      <c r="E10" s="23"/>
      <c r="F10" s="24"/>
      <c r="G10" s="29">
        <f t="shared" si="1"/>
        <v>1</v>
      </c>
      <c r="H10" s="23"/>
      <c r="I10" s="24"/>
      <c r="J10" s="22"/>
      <c r="K10" s="22"/>
      <c r="L10" s="22"/>
    </row>
    <row r="11" ht="29.25" customHeight="1">
      <c r="A11" s="4"/>
      <c r="B11" s="18" t="s">
        <v>181</v>
      </c>
      <c r="C11" s="26"/>
      <c r="D11" s="26"/>
      <c r="E11" s="26"/>
      <c r="F11" s="27"/>
      <c r="G11" s="30">
        <f t="shared" si="1"/>
        <v>0</v>
      </c>
      <c r="H11" s="26"/>
      <c r="I11" s="27"/>
      <c r="J11" s="22"/>
      <c r="K11" s="22"/>
      <c r="L11" s="22"/>
    </row>
    <row r="12">
      <c r="A12" s="4"/>
      <c r="B12" s="5"/>
      <c r="C12" s="17"/>
      <c r="D12" s="8"/>
      <c r="E12" s="8"/>
      <c r="F12" s="8"/>
      <c r="G12" s="13"/>
      <c r="H12" s="8"/>
      <c r="I12" s="9"/>
      <c r="J12" s="14"/>
      <c r="K12" s="14"/>
      <c r="L12" s="14"/>
    </row>
    <row r="13">
      <c r="A13" s="4"/>
      <c r="B13" s="10" t="s">
        <v>182</v>
      </c>
      <c r="C13" s="19"/>
      <c r="D13" s="19"/>
      <c r="E13" s="19"/>
      <c r="F13" s="20"/>
      <c r="G13" s="31"/>
      <c r="H13" s="31"/>
      <c r="I13" s="32" t="s">
        <v>183</v>
      </c>
      <c r="J13" s="22"/>
      <c r="K13" s="22"/>
      <c r="L13" s="22"/>
    </row>
    <row r="14" ht="45.0" customHeight="1">
      <c r="A14" s="4"/>
      <c r="B14" s="33">
        <v>1.0</v>
      </c>
      <c r="C14" s="34" t="s">
        <v>184</v>
      </c>
      <c r="D14" s="26"/>
      <c r="E14" s="26"/>
      <c r="F14" s="27"/>
      <c r="G14" s="35" t="str">
        <f>IFERROR(VLOOKUP($D$4,DATOS!B:AZ,41,FALSE),"-")</f>
        <v>0</v>
      </c>
      <c r="H14" s="35" t="s">
        <v>185</v>
      </c>
      <c r="I14" s="36">
        <f>G14*0.0833</f>
        <v>0</v>
      </c>
      <c r="J14" s="37" t="str">
        <f t="shared" ref="J14:J28" si="2">IFS(I14 = 0,"NULO", I14 &lt;= 0.25, "BAJO", I14 &lt;= 0.5, "MEDIO", I14 &lt;= 0.75, "ALTO", I14 &lt;= 1, "MUY ALTO")</f>
        <v>NULO</v>
      </c>
      <c r="K14" s="37" t="s">
        <v>186</v>
      </c>
      <c r="L14" s="37">
        <f t="shared" ref="L14:L18" si="3">COUNTIF($J$14:$J$28,K14)</f>
        <v>9</v>
      </c>
    </row>
    <row r="15" ht="45.0" customHeight="1">
      <c r="A15" s="4"/>
      <c r="B15" s="38">
        <v>2.0</v>
      </c>
      <c r="C15" s="39" t="s">
        <v>187</v>
      </c>
      <c r="D15" s="23"/>
      <c r="E15" s="23"/>
      <c r="F15" s="24"/>
      <c r="G15" s="40" t="str">
        <f>IFERROR(VLOOKUP($D$4,DATOS!B:AZ,44,FALSE),"-")</f>
        <v>0</v>
      </c>
      <c r="H15" s="40" t="s">
        <v>188</v>
      </c>
      <c r="I15" s="41">
        <f t="shared" ref="I15:I16" si="4">G15*0.25</f>
        <v>0</v>
      </c>
      <c r="J15" s="42" t="str">
        <f t="shared" si="2"/>
        <v>NULO</v>
      </c>
      <c r="K15" s="42" t="s">
        <v>189</v>
      </c>
      <c r="L15" s="42">
        <f t="shared" si="3"/>
        <v>2</v>
      </c>
    </row>
    <row r="16" ht="45.0" customHeight="1">
      <c r="A16" s="4"/>
      <c r="B16" s="33">
        <v>3.0</v>
      </c>
      <c r="C16" s="34" t="s">
        <v>190</v>
      </c>
      <c r="D16" s="26"/>
      <c r="E16" s="26"/>
      <c r="F16" s="27"/>
      <c r="G16" s="35" t="str">
        <f>IFERROR(VLOOKUP($D$4,DATOS!B:AZ,43,FALSE),"-")</f>
        <v>0</v>
      </c>
      <c r="H16" s="35" t="s">
        <v>188</v>
      </c>
      <c r="I16" s="36">
        <f t="shared" si="4"/>
        <v>0</v>
      </c>
      <c r="J16" s="37" t="str">
        <f t="shared" si="2"/>
        <v>NULO</v>
      </c>
      <c r="K16" s="37" t="s">
        <v>191</v>
      </c>
      <c r="L16" s="37">
        <f t="shared" si="3"/>
        <v>3</v>
      </c>
    </row>
    <row r="17" ht="45.0" customHeight="1">
      <c r="A17" s="4"/>
      <c r="B17" s="38">
        <v>4.0</v>
      </c>
      <c r="C17" s="39" t="s">
        <v>192</v>
      </c>
      <c r="D17" s="23"/>
      <c r="E17" s="23"/>
      <c r="F17" s="24"/>
      <c r="G17" s="40">
        <f>IFERROR(VLOOKUP($D$4,DATOS!B:AZ,40,FALSE),"-")</f>
        <v>9</v>
      </c>
      <c r="H17" s="40" t="s">
        <v>185</v>
      </c>
      <c r="I17" s="41">
        <f>G17*0.0833</f>
        <v>0.7497</v>
      </c>
      <c r="J17" s="42" t="str">
        <f t="shared" si="2"/>
        <v>ALTO</v>
      </c>
      <c r="K17" s="42" t="s">
        <v>193</v>
      </c>
      <c r="L17" s="42">
        <f t="shared" si="3"/>
        <v>1</v>
      </c>
    </row>
    <row r="18" ht="45.0" customHeight="1">
      <c r="A18" s="4"/>
      <c r="B18" s="33">
        <v>5.0</v>
      </c>
      <c r="C18" s="34" t="s">
        <v>194</v>
      </c>
      <c r="D18" s="26"/>
      <c r="E18" s="26"/>
      <c r="F18" s="27"/>
      <c r="G18" s="35">
        <f>IFERROR(VLOOKUP($D$4,DATOS!B:AZ,38,FALSE),"-")</f>
        <v>4</v>
      </c>
      <c r="H18" s="35" t="s">
        <v>195</v>
      </c>
      <c r="I18" s="36">
        <f t="shared" ref="I18:I20" si="5">G18*0.125</f>
        <v>0.5</v>
      </c>
      <c r="J18" s="37" t="str">
        <f t="shared" si="2"/>
        <v>MEDIO</v>
      </c>
      <c r="K18" s="37" t="s">
        <v>196</v>
      </c>
      <c r="L18" s="37">
        <f t="shared" si="3"/>
        <v>0</v>
      </c>
    </row>
    <row r="19" ht="45.0" customHeight="1">
      <c r="A19" s="4"/>
      <c r="B19" s="38">
        <v>6.0</v>
      </c>
      <c r="C19" s="39" t="s">
        <v>197</v>
      </c>
      <c r="D19" s="23"/>
      <c r="E19" s="23"/>
      <c r="F19" s="24"/>
      <c r="G19" s="40">
        <f>IFERROR(VLOOKUP($D$4,DATOS!B:AZ,39,FALSE),"-")</f>
        <v>2</v>
      </c>
      <c r="H19" s="40" t="s">
        <v>195</v>
      </c>
      <c r="I19" s="41">
        <f t="shared" si="5"/>
        <v>0.25</v>
      </c>
      <c r="J19" s="42" t="str">
        <f t="shared" si="2"/>
        <v>BAJO</v>
      </c>
      <c r="K19" s="42"/>
      <c r="L19" s="42">
        <f>SUM(L15:L18)</f>
        <v>6</v>
      </c>
    </row>
    <row r="20" ht="45.0" customHeight="1">
      <c r="A20" s="4"/>
      <c r="B20" s="33">
        <v>7.0</v>
      </c>
      <c r="C20" s="34" t="s">
        <v>198</v>
      </c>
      <c r="D20" s="26"/>
      <c r="E20" s="26"/>
      <c r="F20" s="27"/>
      <c r="G20" s="35" t="str">
        <f>IFERROR(VLOOKUP($D$4,DATOS!B:AZ,42,FALSE),"-")</f>
        <v>0</v>
      </c>
      <c r="H20" s="35" t="s">
        <v>195</v>
      </c>
      <c r="I20" s="36">
        <f t="shared" si="5"/>
        <v>0</v>
      </c>
      <c r="J20" s="37" t="str">
        <f t="shared" si="2"/>
        <v>NULO</v>
      </c>
      <c r="K20" s="37"/>
      <c r="L20" s="37"/>
    </row>
    <row r="21" ht="45.0" customHeight="1">
      <c r="A21" s="4"/>
      <c r="B21" s="38">
        <v>8.0</v>
      </c>
      <c r="C21" s="39" t="s">
        <v>199</v>
      </c>
      <c r="D21" s="23"/>
      <c r="E21" s="23"/>
      <c r="F21" s="24"/>
      <c r="G21" s="40" t="str">
        <f>IFERROR(VLOOKUP($D$4,DATOS!B:AZ,49,FALSE),"-")</f>
        <v>0</v>
      </c>
      <c r="H21" s="40" t="s">
        <v>188</v>
      </c>
      <c r="I21" s="41">
        <f>G21*0.25</f>
        <v>0</v>
      </c>
      <c r="J21" s="42" t="str">
        <f t="shared" si="2"/>
        <v>NULO</v>
      </c>
      <c r="K21" s="42"/>
      <c r="L21" s="42">
        <f t="shared" ref="L21:L28" si="6">SUM(L17:L20)</f>
        <v>7</v>
      </c>
    </row>
    <row r="22" ht="45.0" customHeight="1">
      <c r="A22" s="4"/>
      <c r="B22" s="33">
        <v>9.0</v>
      </c>
      <c r="C22" s="34" t="s">
        <v>200</v>
      </c>
      <c r="D22" s="26"/>
      <c r="E22" s="26"/>
      <c r="F22" s="27"/>
      <c r="G22" s="35">
        <f>IFERROR(VLOOKUP($D$4,DATOS!B:AZ,47,FALSE),"-")</f>
        <v>4</v>
      </c>
      <c r="H22" s="35" t="s">
        <v>195</v>
      </c>
      <c r="I22" s="36">
        <f t="shared" ref="I22:I23" si="7">G22*0.125</f>
        <v>0.5</v>
      </c>
      <c r="J22" s="37" t="str">
        <f t="shared" si="2"/>
        <v>MEDIO</v>
      </c>
      <c r="K22" s="37"/>
      <c r="L22" s="37">
        <f t="shared" si="6"/>
        <v>13</v>
      </c>
    </row>
    <row r="23" ht="45.0" customHeight="1">
      <c r="A23" s="4"/>
      <c r="B23" s="38">
        <v>10.0</v>
      </c>
      <c r="C23" s="39" t="s">
        <v>201</v>
      </c>
      <c r="D23" s="23"/>
      <c r="E23" s="23"/>
      <c r="F23" s="24"/>
      <c r="G23" s="40" t="str">
        <f>IFERROR(VLOOKUP($D$4,DATOS!B:AZ,48,FALSE),"-")</f>
        <v>0</v>
      </c>
      <c r="H23" s="40" t="s">
        <v>195</v>
      </c>
      <c r="I23" s="41">
        <f t="shared" si="7"/>
        <v>0</v>
      </c>
      <c r="J23" s="42" t="str">
        <f t="shared" si="2"/>
        <v>NULO</v>
      </c>
      <c r="K23" s="42"/>
      <c r="L23" s="42">
        <f t="shared" si="6"/>
        <v>26</v>
      </c>
    </row>
    <row r="24" ht="45.0" customHeight="1">
      <c r="A24" s="4"/>
      <c r="B24" s="33">
        <v>11.0</v>
      </c>
      <c r="C24" s="34" t="s">
        <v>202</v>
      </c>
      <c r="D24" s="26"/>
      <c r="E24" s="26"/>
      <c r="F24" s="27"/>
      <c r="G24" s="35">
        <f>IFERROR(VLOOKUP($D$4,DATOS!B:AZ,46,FALSE),"-")</f>
        <v>1</v>
      </c>
      <c r="H24" s="35" t="s">
        <v>188</v>
      </c>
      <c r="I24" s="36">
        <f>G24*0.25</f>
        <v>0.25</v>
      </c>
      <c r="J24" s="37" t="str">
        <f t="shared" si="2"/>
        <v>BAJO</v>
      </c>
      <c r="K24" s="37"/>
      <c r="L24" s="37">
        <f t="shared" si="6"/>
        <v>46</v>
      </c>
    </row>
    <row r="25" ht="45.0" customHeight="1">
      <c r="A25" s="4"/>
      <c r="B25" s="38">
        <v>12.0</v>
      </c>
      <c r="C25" s="39" t="s">
        <v>203</v>
      </c>
      <c r="D25" s="23"/>
      <c r="E25" s="23"/>
      <c r="F25" s="24"/>
      <c r="G25" s="40">
        <f>IFERROR(VLOOKUP($D$4,DATOS!B:AZ,37,FALSE),"-")</f>
        <v>9</v>
      </c>
      <c r="H25" s="40" t="s">
        <v>204</v>
      </c>
      <c r="I25" s="41">
        <f>G25*0.05</f>
        <v>0.45</v>
      </c>
      <c r="J25" s="42" t="str">
        <f t="shared" si="2"/>
        <v>MEDIO</v>
      </c>
      <c r="K25" s="42"/>
      <c r="L25" s="42">
        <f t="shared" si="6"/>
        <v>92</v>
      </c>
    </row>
    <row r="26" ht="45.0" customHeight="1">
      <c r="A26" s="4"/>
      <c r="B26" s="33">
        <v>13.0</v>
      </c>
      <c r="C26" s="34" t="s">
        <v>205</v>
      </c>
      <c r="D26" s="26"/>
      <c r="E26" s="26"/>
      <c r="F26" s="27"/>
      <c r="G26" s="35" t="str">
        <f>IFERROR(VLOOKUP($D$4,DATOS!B:AZ,45,FALSE),"-")</f>
        <v>0</v>
      </c>
      <c r="H26" s="35" t="s">
        <v>195</v>
      </c>
      <c r="I26" s="36">
        <f>G26*0.125</f>
        <v>0</v>
      </c>
      <c r="J26" s="37" t="str">
        <f t="shared" si="2"/>
        <v>NULO</v>
      </c>
      <c r="K26" s="37"/>
      <c r="L26" s="37">
        <f t="shared" si="6"/>
        <v>177</v>
      </c>
    </row>
    <row r="27" ht="45.0" customHeight="1">
      <c r="A27" s="4"/>
      <c r="B27" s="38">
        <v>14.0</v>
      </c>
      <c r="C27" s="39" t="s">
        <v>206</v>
      </c>
      <c r="D27" s="23"/>
      <c r="E27" s="23"/>
      <c r="F27" s="24"/>
      <c r="G27" s="40" t="str">
        <f>IFERROR(VLOOKUP($D$4,DATOS!B:AZ,51,FALSE),"-")</f>
        <v>0</v>
      </c>
      <c r="H27" s="40" t="s">
        <v>188</v>
      </c>
      <c r="I27" s="41">
        <f t="shared" ref="I27:I28" si="8">G27*0.25</f>
        <v>0</v>
      </c>
      <c r="J27" s="42" t="str">
        <f t="shared" si="2"/>
        <v>NULO</v>
      </c>
      <c r="K27" s="42"/>
      <c r="L27" s="42">
        <f t="shared" si="6"/>
        <v>341</v>
      </c>
    </row>
    <row r="28" ht="45.0" customHeight="1">
      <c r="A28" s="4"/>
      <c r="B28" s="33">
        <v>15.0</v>
      </c>
      <c r="C28" s="34" t="s">
        <v>207</v>
      </c>
      <c r="D28" s="26"/>
      <c r="E28" s="26"/>
      <c r="F28" s="27"/>
      <c r="G28" s="35" t="str">
        <f>IFERROR(VLOOKUP($D$4,DATOS!B:AZ,50,FALSE),"-")</f>
        <v>0</v>
      </c>
      <c r="H28" s="35" t="s">
        <v>188</v>
      </c>
      <c r="I28" s="36">
        <f t="shared" si="8"/>
        <v>0</v>
      </c>
      <c r="J28" s="37" t="str">
        <f t="shared" si="2"/>
        <v>NULO</v>
      </c>
      <c r="K28" s="37"/>
      <c r="L28" s="37">
        <f t="shared" si="6"/>
        <v>656</v>
      </c>
    </row>
    <row r="29">
      <c r="A29" s="4"/>
      <c r="B29" s="5"/>
      <c r="C29" s="8"/>
      <c r="D29" s="8"/>
      <c r="E29" s="8"/>
      <c r="F29" s="8"/>
      <c r="G29" s="43"/>
      <c r="H29" s="8"/>
      <c r="I29" s="9"/>
      <c r="J29" s="14"/>
      <c r="K29" s="44"/>
      <c r="L29" s="44"/>
    </row>
  </sheetData>
  <mergeCells count="29">
    <mergeCell ref="B2:I2"/>
    <mergeCell ref="B4:C4"/>
    <mergeCell ref="D4:I4"/>
    <mergeCell ref="B6:F6"/>
    <mergeCell ref="G6:I6"/>
    <mergeCell ref="B8:F8"/>
    <mergeCell ref="G8:I8"/>
    <mergeCell ref="B9:F9"/>
    <mergeCell ref="G9:I9"/>
    <mergeCell ref="B10:F10"/>
    <mergeCell ref="G10:I10"/>
    <mergeCell ref="B11:F11"/>
    <mergeCell ref="G11:I11"/>
    <mergeCell ref="B13:F13"/>
    <mergeCell ref="C21:F21"/>
    <mergeCell ref="C22:F22"/>
    <mergeCell ref="C23:F23"/>
    <mergeCell ref="C24:F24"/>
    <mergeCell ref="C25:F25"/>
    <mergeCell ref="C26:F26"/>
    <mergeCell ref="C27:F27"/>
    <mergeCell ref="C28:F28"/>
    <mergeCell ref="C14:F14"/>
    <mergeCell ref="C15:F15"/>
    <mergeCell ref="C16:F16"/>
    <mergeCell ref="C17:F17"/>
    <mergeCell ref="C18:F18"/>
    <mergeCell ref="C19:F19"/>
    <mergeCell ref="C20:F20"/>
  </mergeCells>
  <conditionalFormatting sqref="J6:L11 B7:I7 J13:L13 I14:I28">
    <cfRule type="cellIs" dxfId="1" priority="1" operator="equal">
      <formula>0</formula>
    </cfRule>
  </conditionalFormatting>
  <conditionalFormatting sqref="J6:L11 B7:I7 J13:L13 I14:I28">
    <cfRule type="cellIs" dxfId="2" priority="2" operator="lessThanOrEqual">
      <formula>0.25</formula>
    </cfRule>
  </conditionalFormatting>
  <conditionalFormatting sqref="J6:L11 B7:I7 J13:L13 I14:I28">
    <cfRule type="cellIs" dxfId="3" priority="3" operator="lessThanOrEqual">
      <formula>0.5</formula>
    </cfRule>
  </conditionalFormatting>
  <conditionalFormatting sqref="J6:L11 B7:I7 J13:L13 I14:I28">
    <cfRule type="cellIs" dxfId="4" priority="4" operator="lessThanOrEqual">
      <formula>0.75</formula>
    </cfRule>
  </conditionalFormatting>
  <conditionalFormatting sqref="J6:L11 B7:I7 J13:L13 I14:I28">
    <cfRule type="cellIs" dxfId="5" priority="5" operator="lessThanOrEqual">
      <formula>1</formula>
    </cfRule>
  </conditionalFormatting>
  <dataValidations>
    <dataValidation type="list" allowBlank="1" sqref="D4">
      <formula1>DATOS!$B$2:$B29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