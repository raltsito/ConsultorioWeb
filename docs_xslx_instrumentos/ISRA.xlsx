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cioMc\PROYECTOINTRA\"/>
    </mc:Choice>
  </mc:AlternateContent>
  <xr:revisionPtr revIDLastSave="0" documentId="13_ncr:1_{A77A3428-734C-4334-AAD4-B3CBB79E849E}" xr6:coauthVersionLast="47" xr6:coauthVersionMax="47" xr10:uidLastSave="{00000000-0000-0000-0000-000000000000}"/>
  <bookViews>
    <workbookView xWindow="-108" yWindow="-108" windowWidth="23256" windowHeight="12456" xr2:uid="{00000000-000D-0000-FFFF-FFFF00000000}"/>
  </bookViews>
  <sheets>
    <sheet name="DISRA" sheetId="1" r:id="rId1"/>
    <sheet name="ISRA" sheetId="2" r:id="rId2"/>
    <sheet name="RESPUESTAS" sheetId="3" r:id="rId3"/>
    <sheet name="BAREM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3" i="2" l="1"/>
  <c r="U25" i="3" s="1"/>
  <c r="C122" i="2"/>
  <c r="T25" i="3" s="1"/>
  <c r="C121" i="2"/>
  <c r="S25" i="3" s="1"/>
  <c r="C120" i="2"/>
  <c r="R25" i="3" s="1"/>
  <c r="C119" i="2"/>
  <c r="Q25" i="3" s="1"/>
  <c r="C118" i="2"/>
  <c r="P25" i="3" s="1"/>
  <c r="C117" i="2"/>
  <c r="O25" i="3" s="1"/>
  <c r="C116" i="2"/>
  <c r="N25" i="3" s="1"/>
  <c r="C115" i="2"/>
  <c r="M25" i="3" s="1"/>
  <c r="C114" i="2"/>
  <c r="L25" i="3" s="1"/>
  <c r="C112" i="2"/>
  <c r="O24" i="3" s="1"/>
  <c r="V24" i="3" s="1"/>
  <c r="C111" i="2"/>
  <c r="T23" i="3" s="1"/>
  <c r="C110" i="2"/>
  <c r="S23" i="3" s="1"/>
  <c r="C109" i="2"/>
  <c r="R23" i="3" s="1"/>
  <c r="C108" i="2"/>
  <c r="Q23" i="3" s="1"/>
  <c r="C107" i="2"/>
  <c r="O23" i="3" s="1"/>
  <c r="C106" i="2"/>
  <c r="N23" i="3" s="1"/>
  <c r="C105" i="2"/>
  <c r="L23" i="3" s="1"/>
  <c r="C104" i="2"/>
  <c r="S22" i="3" s="1"/>
  <c r="C103" i="2"/>
  <c r="R22" i="3" s="1"/>
  <c r="C102" i="2"/>
  <c r="Q22" i="3" s="1"/>
  <c r="C101" i="2"/>
  <c r="L22" i="3" s="1"/>
  <c r="C100" i="2"/>
  <c r="U21" i="3" s="1"/>
  <c r="C99" i="2"/>
  <c r="T21" i="3" s="1"/>
  <c r="C98" i="2"/>
  <c r="S21" i="3" s="1"/>
  <c r="C97" i="2"/>
  <c r="R21" i="3" s="1"/>
  <c r="C96" i="2"/>
  <c r="Q21" i="3" s="1"/>
  <c r="C95" i="2"/>
  <c r="N21" i="3" s="1"/>
  <c r="V21" i="3" s="1"/>
  <c r="C94" i="2"/>
  <c r="T20" i="3" s="1"/>
  <c r="C93" i="2"/>
  <c r="R20" i="3" s="1"/>
  <c r="C92" i="2"/>
  <c r="O20" i="3" s="1"/>
  <c r="C91" i="2"/>
  <c r="N20" i="3" s="1"/>
  <c r="C90" i="2"/>
  <c r="L20" i="3" s="1"/>
  <c r="V20" i="3" s="1"/>
  <c r="C89" i="2"/>
  <c r="R19" i="3" s="1"/>
  <c r="C88" i="2"/>
  <c r="O19" i="3" s="1"/>
  <c r="C87" i="2"/>
  <c r="N19" i="3" s="1"/>
  <c r="C86" i="2"/>
  <c r="M19" i="3" s="1"/>
  <c r="C85" i="2"/>
  <c r="L19" i="3" s="1"/>
  <c r="C84" i="2"/>
  <c r="T18" i="3" s="1"/>
  <c r="C83" i="2"/>
  <c r="R18" i="3" s="1"/>
  <c r="C82" i="2"/>
  <c r="P18" i="3" s="1"/>
  <c r="C81" i="2"/>
  <c r="O18" i="3" s="1"/>
  <c r="C80" i="2"/>
  <c r="N18" i="3" s="1"/>
  <c r="C79" i="2"/>
  <c r="M18" i="3" s="1"/>
  <c r="C78" i="2"/>
  <c r="T17" i="3" s="1"/>
  <c r="C77" i="2"/>
  <c r="R17" i="3" s="1"/>
  <c r="C76" i="2"/>
  <c r="O17" i="3" s="1"/>
  <c r="C75" i="2"/>
  <c r="N17" i="3" s="1"/>
  <c r="V17" i="3" s="1"/>
  <c r="C74" i="2"/>
  <c r="U16" i="3" s="1"/>
  <c r="C73" i="2"/>
  <c r="R16" i="3" s="1"/>
  <c r="C72" i="2"/>
  <c r="O16" i="3" s="1"/>
  <c r="C71" i="2"/>
  <c r="U15" i="3" s="1"/>
  <c r="C70" i="2"/>
  <c r="R15" i="3" s="1"/>
  <c r="C69" i="2"/>
  <c r="O15" i="3" s="1"/>
  <c r="C68" i="2"/>
  <c r="N15" i="3" s="1"/>
  <c r="C67" i="2"/>
  <c r="M15" i="3" s="1"/>
  <c r="C66" i="2"/>
  <c r="T14" i="3" s="1"/>
  <c r="C65" i="2"/>
  <c r="S14" i="3" s="1"/>
  <c r="D64" i="2"/>
  <c r="AE25" i="3" s="1"/>
  <c r="C64" i="2"/>
  <c r="R14" i="3" s="1"/>
  <c r="B64" i="2"/>
  <c r="H25" i="3" s="1"/>
  <c r="D63" i="2"/>
  <c r="AD25" i="3" s="1"/>
  <c r="C63" i="2"/>
  <c r="Q14" i="3" s="1"/>
  <c r="B63" i="2"/>
  <c r="G25" i="3" s="1"/>
  <c r="D62" i="2"/>
  <c r="AC25" i="3" s="1"/>
  <c r="C62" i="2"/>
  <c r="O14" i="3" s="1"/>
  <c r="B62" i="2"/>
  <c r="F25" i="3" s="1"/>
  <c r="D61" i="2"/>
  <c r="AB25" i="3" s="1"/>
  <c r="C61" i="2"/>
  <c r="N14" i="3" s="1"/>
  <c r="B61" i="2"/>
  <c r="E25" i="3" s="1"/>
  <c r="D60" i="2"/>
  <c r="AA25" i="3" s="1"/>
  <c r="C60" i="2"/>
  <c r="M14" i="3" s="1"/>
  <c r="B60" i="2"/>
  <c r="D25" i="3" s="1"/>
  <c r="D59" i="2"/>
  <c r="Z25" i="3" s="1"/>
  <c r="C59" i="2"/>
  <c r="U13" i="3" s="1"/>
  <c r="B59" i="2"/>
  <c r="C25" i="3" s="1"/>
  <c r="D58" i="2"/>
  <c r="Y25" i="3" s="1"/>
  <c r="C58" i="2"/>
  <c r="R13" i="3" s="1"/>
  <c r="B58" i="2"/>
  <c r="B25" i="3" s="1"/>
  <c r="D57" i="2"/>
  <c r="C57" i="2"/>
  <c r="Q13" i="3" s="1"/>
  <c r="D56" i="2"/>
  <c r="AC24" i="3" s="1"/>
  <c r="AF24" i="3" s="1"/>
  <c r="C56" i="2"/>
  <c r="P13" i="3" s="1"/>
  <c r="B56" i="2"/>
  <c r="H24" i="3" s="1"/>
  <c r="D55" i="2"/>
  <c r="AE23" i="3" s="1"/>
  <c r="AF23" i="3" s="1"/>
  <c r="C55" i="2"/>
  <c r="U12" i="3" s="1"/>
  <c r="B55" i="2"/>
  <c r="C24" i="3" s="1"/>
  <c r="D54" i="2"/>
  <c r="AC22" i="3" s="1"/>
  <c r="C54" i="2"/>
  <c r="T12" i="3" s="1"/>
  <c r="B54" i="2"/>
  <c r="B24" i="3" s="1"/>
  <c r="D53" i="2"/>
  <c r="AA22" i="3" s="1"/>
  <c r="AF22" i="3" s="1"/>
  <c r="C53" i="2"/>
  <c r="S12" i="3" s="1"/>
  <c r="B53" i="2"/>
  <c r="F23" i="3" s="1"/>
  <c r="D52" i="2"/>
  <c r="AD21" i="3" s="1"/>
  <c r="AF21" i="3" s="1"/>
  <c r="C52" i="2"/>
  <c r="R12" i="3" s="1"/>
  <c r="B52" i="2"/>
  <c r="E23" i="3" s="1"/>
  <c r="D51" i="2"/>
  <c r="AE20" i="3" s="1"/>
  <c r="C51" i="2"/>
  <c r="Q12" i="3" s="1"/>
  <c r="B51" i="2"/>
  <c r="D23" i="3" s="1"/>
  <c r="D50" i="2"/>
  <c r="AD20" i="3" s="1"/>
  <c r="C50" i="2"/>
  <c r="O12" i="3" s="1"/>
  <c r="B50" i="2"/>
  <c r="C23" i="3" s="1"/>
  <c r="D49" i="2"/>
  <c r="AB20" i="3" s="1"/>
  <c r="C49" i="2"/>
  <c r="N12" i="3" s="1"/>
  <c r="B49" i="2"/>
  <c r="B23" i="3" s="1"/>
  <c r="I23" i="3" s="1"/>
  <c r="D48" i="2"/>
  <c r="AA20" i="3" s="1"/>
  <c r="C48" i="2"/>
  <c r="L12" i="3" s="1"/>
  <c r="V12" i="3" s="1"/>
  <c r="B48" i="2"/>
  <c r="F22" i="3" s="1"/>
  <c r="D47" i="2"/>
  <c r="Y20" i="3" s="1"/>
  <c r="C47" i="2"/>
  <c r="T11" i="3" s="1"/>
  <c r="B47" i="2"/>
  <c r="C22" i="3" s="1"/>
  <c r="D46" i="2"/>
  <c r="AD19" i="3" s="1"/>
  <c r="C46" i="2"/>
  <c r="S11" i="3" s="1"/>
  <c r="B46" i="2"/>
  <c r="B22" i="3" s="1"/>
  <c r="D45" i="2"/>
  <c r="AC19" i="3" s="1"/>
  <c r="C45" i="2"/>
  <c r="R11" i="3" s="1"/>
  <c r="B45" i="2"/>
  <c r="H21" i="3" s="1"/>
  <c r="D44" i="2"/>
  <c r="AA19" i="3" s="1"/>
  <c r="C44" i="2"/>
  <c r="N11" i="3" s="1"/>
  <c r="B44" i="2"/>
  <c r="F21" i="3" s="1"/>
  <c r="D43" i="2"/>
  <c r="Z19" i="3" s="1"/>
  <c r="C43" i="2"/>
  <c r="T10" i="3" s="1"/>
  <c r="B43" i="2"/>
  <c r="D21" i="3" s="1"/>
  <c r="D42" i="2"/>
  <c r="Y19" i="3" s="1"/>
  <c r="AF19" i="3" s="1"/>
  <c r="C42" i="2"/>
  <c r="S10" i="3" s="1"/>
  <c r="B42" i="2"/>
  <c r="C21" i="3" s="1"/>
  <c r="D41" i="2"/>
  <c r="AA18" i="3" s="1"/>
  <c r="C41" i="2"/>
  <c r="R10" i="3" s="1"/>
  <c r="B41" i="2"/>
  <c r="B21" i="3" s="1"/>
  <c r="I21" i="3" s="1"/>
  <c r="D40" i="2"/>
  <c r="Z18" i="3" s="1"/>
  <c r="AF18" i="3" s="1"/>
  <c r="C40" i="2"/>
  <c r="Q10" i="3" s="1"/>
  <c r="B40" i="2"/>
  <c r="G20" i="3" s="1"/>
  <c r="D39" i="2"/>
  <c r="AB17" i="3" s="1"/>
  <c r="AF17" i="3" s="1"/>
  <c r="C39" i="2"/>
  <c r="O10" i="3" s="1"/>
  <c r="B39" i="2"/>
  <c r="D20" i="3" s="1"/>
  <c r="I20" i="3" s="1"/>
  <c r="D38" i="2"/>
  <c r="AE16" i="3" s="1"/>
  <c r="C38" i="2"/>
  <c r="N10" i="3" s="1"/>
  <c r="B38" i="2"/>
  <c r="H19" i="3" s="1"/>
  <c r="D37" i="2"/>
  <c r="AC16" i="3" s="1"/>
  <c r="C37" i="2"/>
  <c r="L10" i="3" s="1"/>
  <c r="B37" i="2"/>
  <c r="G19" i="3" s="1"/>
  <c r="D36" i="2"/>
  <c r="AA15" i="3" s="1"/>
  <c r="C36" i="2"/>
  <c r="T9" i="3" s="1"/>
  <c r="B36" i="2"/>
  <c r="F19" i="3" s="1"/>
  <c r="D35" i="2"/>
  <c r="Y15" i="3" s="1"/>
  <c r="AF15" i="3" s="1"/>
  <c r="C35" i="2"/>
  <c r="S9" i="3" s="1"/>
  <c r="B35" i="2"/>
  <c r="C19" i="3" s="1"/>
  <c r="D34" i="2"/>
  <c r="AD14" i="3" s="1"/>
  <c r="C34" i="2"/>
  <c r="R9" i="3" s="1"/>
  <c r="B34" i="2"/>
  <c r="B19" i="3" s="1"/>
  <c r="D33" i="2"/>
  <c r="AC14" i="3" s="1"/>
  <c r="C33" i="2"/>
  <c r="Q9" i="3" s="1"/>
  <c r="B33" i="2"/>
  <c r="G18" i="3" s="1"/>
  <c r="I18" i="3" s="1"/>
  <c r="D32" i="2"/>
  <c r="AB14" i="3" s="1"/>
  <c r="C32" i="2"/>
  <c r="N9" i="3" s="1"/>
  <c r="V9" i="3" s="1"/>
  <c r="B32" i="2"/>
  <c r="F17" i="3" s="1"/>
  <c r="I17" i="3" s="1"/>
  <c r="D31" i="2"/>
  <c r="Z14" i="3" s="1"/>
  <c r="C31" i="2"/>
  <c r="T8" i="3" s="1"/>
  <c r="B31" i="2"/>
  <c r="B16" i="3" s="1"/>
  <c r="I16" i="3" s="1"/>
  <c r="D30" i="2"/>
  <c r="AC13" i="3" s="1"/>
  <c r="C30" i="2"/>
  <c r="R8" i="3" s="1"/>
  <c r="B30" i="2"/>
  <c r="H15" i="3" s="1"/>
  <c r="D29" i="2"/>
  <c r="AA13" i="3" s="1"/>
  <c r="C29" i="2"/>
  <c r="P8" i="3" s="1"/>
  <c r="B29" i="2"/>
  <c r="G15" i="3" s="1"/>
  <c r="D28" i="2"/>
  <c r="Z13" i="3" s="1"/>
  <c r="C28" i="2"/>
  <c r="L8" i="3" s="1"/>
  <c r="B28" i="2"/>
  <c r="F15" i="3" s="1"/>
  <c r="D27" i="2"/>
  <c r="AA12" i="3" s="1"/>
  <c r="AF12" i="3" s="1"/>
  <c r="C27" i="2"/>
  <c r="T7" i="3" s="1"/>
  <c r="B27" i="2"/>
  <c r="E15" i="3" s="1"/>
  <c r="D26" i="2"/>
  <c r="AD11" i="3" s="1"/>
  <c r="C26" i="2"/>
  <c r="Q7" i="3" s="1"/>
  <c r="B26" i="2"/>
  <c r="G14" i="3" s="1"/>
  <c r="D25" i="2"/>
  <c r="AA11" i="3" s="1"/>
  <c r="C25" i="2"/>
  <c r="O7" i="3" s="1"/>
  <c r="B25" i="2"/>
  <c r="F14" i="3" s="1"/>
  <c r="D24" i="2"/>
  <c r="Z11" i="3" s="1"/>
  <c r="C24" i="2"/>
  <c r="L7" i="3" s="1"/>
  <c r="B24" i="2"/>
  <c r="D14" i="3" s="1"/>
  <c r="D23" i="2"/>
  <c r="AD10" i="3" s="1"/>
  <c r="C23" i="2"/>
  <c r="O6" i="3" s="1"/>
  <c r="V6" i="3" s="1"/>
  <c r="B23" i="2"/>
  <c r="G13" i="3" s="1"/>
  <c r="I13" i="3" s="1"/>
  <c r="D22" i="2"/>
  <c r="AA10" i="3" s="1"/>
  <c r="C22" i="2"/>
  <c r="T5" i="3" s="1"/>
  <c r="B22" i="2"/>
  <c r="H12" i="3" s="1"/>
  <c r="D21" i="2"/>
  <c r="Z10" i="3" s="1"/>
  <c r="C21" i="2"/>
  <c r="S5" i="3" s="1"/>
  <c r="B21" i="2"/>
  <c r="G12" i="3" s="1"/>
  <c r="D20" i="2"/>
  <c r="AA9" i="3" s="1"/>
  <c r="AF9" i="3" s="1"/>
  <c r="C20" i="2"/>
  <c r="R5" i="3" s="1"/>
  <c r="B20" i="2"/>
  <c r="E12" i="3" s="1"/>
  <c r="D19" i="2"/>
  <c r="AB8" i="3" s="1"/>
  <c r="C19" i="2"/>
  <c r="Q5" i="3" s="1"/>
  <c r="B19" i="2"/>
  <c r="B12" i="3" s="1"/>
  <c r="D18" i="2"/>
  <c r="AA8" i="3" s="1"/>
  <c r="C18" i="2"/>
  <c r="O5" i="3" s="1"/>
  <c r="B18" i="2"/>
  <c r="H11" i="3" s="1"/>
  <c r="D17" i="2"/>
  <c r="AD7" i="3" s="1"/>
  <c r="C17" i="2"/>
  <c r="N5" i="3" s="1"/>
  <c r="B17" i="2"/>
  <c r="G11" i="3" s="1"/>
  <c r="D16" i="2"/>
  <c r="AA7" i="3" s="1"/>
  <c r="C16" i="2"/>
  <c r="M5" i="3" s="1"/>
  <c r="B16" i="2"/>
  <c r="H10" i="3" s="1"/>
  <c r="D15" i="2"/>
  <c r="Y7" i="3" s="1"/>
  <c r="AF7" i="3" s="1"/>
  <c r="C15" i="2"/>
  <c r="L5" i="3" s="1"/>
  <c r="B15" i="2"/>
  <c r="C10" i="3" s="1"/>
  <c r="I10" i="3" s="1"/>
  <c r="D14" i="2"/>
  <c r="AE6" i="3" s="1"/>
  <c r="C14" i="2"/>
  <c r="T4" i="3" s="1"/>
  <c r="B14" i="2"/>
  <c r="E9" i="3" s="1"/>
  <c r="I9" i="3" s="1"/>
  <c r="D13" i="2"/>
  <c r="AC6" i="3" s="1"/>
  <c r="C13" i="2"/>
  <c r="R4" i="3" s="1"/>
  <c r="B13" i="2"/>
  <c r="H8" i="3" s="1"/>
  <c r="D12" i="2"/>
  <c r="AA6" i="3" s="1"/>
  <c r="C12" i="2"/>
  <c r="Q4" i="3" s="1"/>
  <c r="B12" i="2"/>
  <c r="E8" i="3" s="1"/>
  <c r="D11" i="2"/>
  <c r="AE5" i="3" s="1"/>
  <c r="C11" i="2"/>
  <c r="O4" i="3" s="1"/>
  <c r="B11" i="2"/>
  <c r="C8" i="3" s="1"/>
  <c r="D10" i="2"/>
  <c r="AD5" i="3" s="1"/>
  <c r="C10" i="2"/>
  <c r="N4" i="3" s="1"/>
  <c r="B10" i="2"/>
  <c r="B8" i="3" s="1"/>
  <c r="D9" i="2"/>
  <c r="AC5" i="3" s="1"/>
  <c r="C9" i="2"/>
  <c r="M4" i="3" s="1"/>
  <c r="B9" i="2"/>
  <c r="E7" i="3" s="1"/>
  <c r="D8" i="2"/>
  <c r="AA5" i="3" s="1"/>
  <c r="C8" i="2"/>
  <c r="L4" i="3" s="1"/>
  <c r="B8" i="2"/>
  <c r="D7" i="3" s="1"/>
  <c r="I7" i="3" s="1"/>
  <c r="D7" i="2"/>
  <c r="Z5" i="3" s="1"/>
  <c r="C7" i="2"/>
  <c r="U3" i="3" s="1"/>
  <c r="B7" i="2"/>
  <c r="G6" i="3" s="1"/>
  <c r="D6" i="2"/>
  <c r="Y5" i="3" s="1"/>
  <c r="AF5" i="3" s="1"/>
  <c r="C6" i="2"/>
  <c r="T3" i="3" s="1"/>
  <c r="B6" i="2"/>
  <c r="B6" i="3" s="1"/>
  <c r="D5" i="2"/>
  <c r="AC4" i="3" s="1"/>
  <c r="C5" i="2"/>
  <c r="S3" i="3" s="1"/>
  <c r="B5" i="2"/>
  <c r="G5" i="3" s="1"/>
  <c r="L4" i="2"/>
  <c r="D4" i="2"/>
  <c r="Z4" i="3" s="1"/>
  <c r="AF4" i="3" s="1"/>
  <c r="C4" i="2"/>
  <c r="R3" i="3" s="1"/>
  <c r="B4" i="2"/>
  <c r="E5" i="3" s="1"/>
  <c r="I5" i="3" s="1"/>
  <c r="D3" i="2"/>
  <c r="AD3" i="3" s="1"/>
  <c r="C3" i="2"/>
  <c r="P3" i="3" s="1"/>
  <c r="B3" i="2"/>
  <c r="B4" i="3" s="1"/>
  <c r="I4" i="3" s="1"/>
  <c r="D2" i="2"/>
  <c r="AC3" i="3" s="1"/>
  <c r="C2" i="2"/>
  <c r="O3" i="3" s="1"/>
  <c r="B2" i="2"/>
  <c r="G3" i="3" s="1"/>
  <c r="D1" i="2"/>
  <c r="D65" i="2" s="1"/>
  <c r="G9" i="2" s="1"/>
  <c r="C1" i="2"/>
  <c r="N3" i="3" s="1"/>
  <c r="B1" i="2"/>
  <c r="B3" i="3" s="1"/>
  <c r="V4" i="3" l="1"/>
  <c r="V7" i="3"/>
  <c r="M21" i="4"/>
  <c r="D21" i="4"/>
  <c r="D9" i="4"/>
  <c r="M8" i="4"/>
  <c r="D8" i="4"/>
  <c r="M7" i="4"/>
  <c r="D7" i="4"/>
  <c r="M6" i="4"/>
  <c r="D6" i="4"/>
  <c r="M5" i="4"/>
  <c r="D5" i="4"/>
  <c r="M4" i="4"/>
  <c r="D4" i="4"/>
  <c r="M3" i="4"/>
  <c r="D3" i="4"/>
  <c r="M2" i="4"/>
  <c r="D2" i="4"/>
  <c r="M20" i="4"/>
  <c r="M19" i="4"/>
  <c r="M18" i="4"/>
  <c r="M17" i="4"/>
  <c r="M16" i="4"/>
  <c r="M15" i="4"/>
  <c r="M14" i="4"/>
  <c r="M13" i="4"/>
  <c r="M12" i="4"/>
  <c r="M11" i="4"/>
  <c r="M10" i="4"/>
  <c r="M9" i="4"/>
  <c r="D20" i="4"/>
  <c r="D19" i="4"/>
  <c r="D18" i="4"/>
  <c r="D17" i="4"/>
  <c r="D16" i="4"/>
  <c r="D15" i="4"/>
  <c r="D14" i="4"/>
  <c r="D13" i="4"/>
  <c r="D12" i="4"/>
  <c r="D11" i="4"/>
  <c r="D10" i="4"/>
  <c r="I3" i="3"/>
  <c r="I6" i="3"/>
  <c r="AF6" i="3"/>
  <c r="V5" i="3"/>
  <c r="I19" i="3"/>
  <c r="V23" i="3"/>
  <c r="V15" i="3"/>
  <c r="V3" i="3"/>
  <c r="V18" i="3"/>
  <c r="I12" i="3"/>
  <c r="AF10" i="3"/>
  <c r="I15" i="3"/>
  <c r="V8" i="3"/>
  <c r="AF16" i="3"/>
  <c r="V11" i="3"/>
  <c r="V13" i="3"/>
  <c r="I25" i="3"/>
  <c r="C124" i="2"/>
  <c r="G8" i="2" s="1"/>
  <c r="B65" i="2"/>
  <c r="G7" i="2" s="1"/>
  <c r="I8" i="3"/>
  <c r="I11" i="3"/>
  <c r="AF14" i="3"/>
  <c r="AF20" i="3"/>
  <c r="AI3" i="3" s="1"/>
  <c r="G13" i="2" s="1"/>
  <c r="AF25" i="3"/>
  <c r="V16" i="3"/>
  <c r="Z3" i="3"/>
  <c r="AF3" i="3" s="1"/>
  <c r="AF26" i="3" s="1"/>
  <c r="AF11" i="3"/>
  <c r="AF13" i="3"/>
  <c r="I22" i="3"/>
  <c r="I24" i="3"/>
  <c r="AI5" i="3" s="1"/>
  <c r="G15" i="2" s="1"/>
  <c r="AF8" i="3"/>
  <c r="I14" i="3"/>
  <c r="AI4" i="3" s="1"/>
  <c r="G14" i="2" s="1"/>
  <c r="V10" i="3"/>
  <c r="V14" i="3"/>
  <c r="V19" i="3"/>
  <c r="V22" i="3"/>
  <c r="V25" i="3"/>
  <c r="R8" i="4" l="1"/>
  <c r="I8" i="4"/>
  <c r="R7" i="4"/>
  <c r="I7" i="4"/>
  <c r="R6" i="4"/>
  <c r="I6" i="4"/>
  <c r="R5" i="4"/>
  <c r="I5" i="4"/>
  <c r="R4" i="4"/>
  <c r="I4" i="4"/>
  <c r="R3" i="4"/>
  <c r="I3" i="4"/>
  <c r="R2" i="4"/>
  <c r="I2" i="4"/>
  <c r="I20" i="4"/>
  <c r="R19" i="4"/>
  <c r="I19" i="4"/>
  <c r="R18" i="4"/>
  <c r="I18" i="4"/>
  <c r="R17" i="4"/>
  <c r="I17" i="4"/>
  <c r="R16" i="4"/>
  <c r="I16" i="4"/>
  <c r="R15" i="4"/>
  <c r="I15" i="4"/>
  <c r="R14" i="4"/>
  <c r="I14" i="4"/>
  <c r="R13" i="4"/>
  <c r="I13" i="4"/>
  <c r="R12" i="4"/>
  <c r="I12" i="4"/>
  <c r="R11" i="4"/>
  <c r="I11" i="4"/>
  <c r="R10" i="4"/>
  <c r="I10" i="4"/>
  <c r="R9" i="4"/>
  <c r="I21" i="4"/>
  <c r="P20" i="4"/>
  <c r="G20" i="4"/>
  <c r="P19" i="4"/>
  <c r="G19" i="4"/>
  <c r="P18" i="4"/>
  <c r="G18" i="4"/>
  <c r="P17" i="4"/>
  <c r="G17" i="4"/>
  <c r="P16" i="4"/>
  <c r="G16" i="4"/>
  <c r="P15" i="4"/>
  <c r="G15" i="4"/>
  <c r="P14" i="4"/>
  <c r="G14" i="4"/>
  <c r="P13" i="4"/>
  <c r="G13" i="4"/>
  <c r="P12" i="4"/>
  <c r="G12" i="4"/>
  <c r="P11" i="4"/>
  <c r="G11" i="4"/>
  <c r="P10" i="4"/>
  <c r="G10" i="4"/>
  <c r="P9" i="4"/>
  <c r="P21" i="4"/>
  <c r="G21" i="4"/>
  <c r="G9" i="4"/>
  <c r="G8" i="4"/>
  <c r="G7" i="4"/>
  <c r="G6" i="4"/>
  <c r="G5" i="4"/>
  <c r="G4" i="4"/>
  <c r="G3" i="4"/>
  <c r="G2" i="4"/>
  <c r="P5" i="4"/>
  <c r="P8" i="4"/>
  <c r="P4" i="4"/>
  <c r="P7" i="4"/>
  <c r="P3" i="4"/>
  <c r="P6" i="4"/>
  <c r="P2" i="4"/>
  <c r="B9" i="4"/>
  <c r="K8" i="4"/>
  <c r="B8" i="4"/>
  <c r="K7" i="4"/>
  <c r="B7" i="4"/>
  <c r="K6" i="4"/>
  <c r="B6" i="4"/>
  <c r="K5" i="4"/>
  <c r="B5" i="4"/>
  <c r="K4" i="4"/>
  <c r="B4" i="4"/>
  <c r="K3" i="4"/>
  <c r="B3" i="4"/>
  <c r="K2" i="4"/>
  <c r="B2" i="4"/>
  <c r="K20" i="4"/>
  <c r="B20" i="4"/>
  <c r="K19" i="4"/>
  <c r="B19" i="4"/>
  <c r="K18" i="4"/>
  <c r="B18" i="4"/>
  <c r="K17" i="4"/>
  <c r="B17" i="4"/>
  <c r="K16" i="4"/>
  <c r="B16" i="4"/>
  <c r="K15" i="4"/>
  <c r="B15" i="4"/>
  <c r="K14" i="4"/>
  <c r="B14" i="4"/>
  <c r="K13" i="4"/>
  <c r="B13" i="4"/>
  <c r="K12" i="4"/>
  <c r="B12" i="4"/>
  <c r="K11" i="4"/>
  <c r="B11" i="4"/>
  <c r="K10" i="4"/>
  <c r="B10" i="4"/>
  <c r="K9" i="4"/>
  <c r="K21" i="4"/>
  <c r="B21" i="4"/>
  <c r="G10" i="2"/>
  <c r="I26" i="3"/>
  <c r="AI2" i="3"/>
  <c r="G12" i="2" s="1"/>
  <c r="D22" i="4"/>
  <c r="H9" i="2" s="1"/>
  <c r="I9" i="2" s="1"/>
  <c r="Q21" i="4"/>
  <c r="H21" i="4"/>
  <c r="H9" i="4"/>
  <c r="Q8" i="4"/>
  <c r="H8" i="4"/>
  <c r="Q7" i="4"/>
  <c r="H7" i="4"/>
  <c r="Q6" i="4"/>
  <c r="H6" i="4"/>
  <c r="Q5" i="4"/>
  <c r="H5" i="4"/>
  <c r="Q4" i="4"/>
  <c r="H4" i="4"/>
  <c r="Q3" i="4"/>
  <c r="H3" i="4"/>
  <c r="Q2" i="4"/>
  <c r="H2" i="4"/>
  <c r="H20" i="4"/>
  <c r="H19" i="4"/>
  <c r="H18" i="4"/>
  <c r="H17" i="4"/>
  <c r="H16" i="4"/>
  <c r="H15" i="4"/>
  <c r="H14" i="4"/>
  <c r="H13" i="4"/>
  <c r="H12" i="4"/>
  <c r="H11" i="4"/>
  <c r="H10" i="4"/>
  <c r="Q17" i="4"/>
  <c r="Q13" i="4"/>
  <c r="Q9" i="4"/>
  <c r="Q20" i="4"/>
  <c r="Q16" i="4"/>
  <c r="Q12" i="4"/>
  <c r="Q19" i="4"/>
  <c r="Q15" i="4"/>
  <c r="Q11" i="4"/>
  <c r="Q18" i="4"/>
  <c r="Q14" i="4"/>
  <c r="Q10" i="4"/>
  <c r="L20" i="4"/>
  <c r="C20" i="4"/>
  <c r="L19" i="4"/>
  <c r="C19" i="4"/>
  <c r="L18" i="4"/>
  <c r="C18" i="4"/>
  <c r="L17" i="4"/>
  <c r="C17" i="4"/>
  <c r="L16" i="4"/>
  <c r="C16" i="4"/>
  <c r="L15" i="4"/>
  <c r="C15" i="4"/>
  <c r="L14" i="4"/>
  <c r="C14" i="4"/>
  <c r="L13" i="4"/>
  <c r="C13" i="4"/>
  <c r="L12" i="4"/>
  <c r="C12" i="4"/>
  <c r="L11" i="4"/>
  <c r="C11" i="4"/>
  <c r="L10" i="4"/>
  <c r="C10" i="4"/>
  <c r="L9" i="4"/>
  <c r="L21" i="4"/>
  <c r="C21" i="4"/>
  <c r="L8" i="4"/>
  <c r="L7" i="4"/>
  <c r="L6" i="4"/>
  <c r="L5" i="4"/>
  <c r="L4" i="4"/>
  <c r="L3" i="4"/>
  <c r="L2" i="4"/>
  <c r="C9" i="4"/>
  <c r="C8" i="4"/>
  <c r="C7" i="4"/>
  <c r="C6" i="4"/>
  <c r="C5" i="4"/>
  <c r="C4" i="4"/>
  <c r="C3" i="4"/>
  <c r="C2" i="4"/>
  <c r="M22" i="4"/>
  <c r="V26" i="3"/>
  <c r="V27" i="3" s="1"/>
  <c r="F9" i="4" l="1"/>
  <c r="O8" i="4"/>
  <c r="F8" i="4"/>
  <c r="O7" i="4"/>
  <c r="F7" i="4"/>
  <c r="O6" i="4"/>
  <c r="F6" i="4"/>
  <c r="O5" i="4"/>
  <c r="F5" i="4"/>
  <c r="O4" i="4"/>
  <c r="F4" i="4"/>
  <c r="O3" i="4"/>
  <c r="F3" i="4"/>
  <c r="O2" i="4"/>
  <c r="F2" i="4"/>
  <c r="O20" i="4"/>
  <c r="F20" i="4"/>
  <c r="O19" i="4"/>
  <c r="F19" i="4"/>
  <c r="O18" i="4"/>
  <c r="F18" i="4"/>
  <c r="O17" i="4"/>
  <c r="F17" i="4"/>
  <c r="O16" i="4"/>
  <c r="F16" i="4"/>
  <c r="O15" i="4"/>
  <c r="F15" i="4"/>
  <c r="O14" i="4"/>
  <c r="F14" i="4"/>
  <c r="O13" i="4"/>
  <c r="F13" i="4"/>
  <c r="O12" i="4"/>
  <c r="F12" i="4"/>
  <c r="O11" i="4"/>
  <c r="F11" i="4"/>
  <c r="O10" i="4"/>
  <c r="F10" i="4"/>
  <c r="O9" i="4"/>
  <c r="O21" i="4"/>
  <c r="F21" i="4"/>
  <c r="K22" i="4"/>
  <c r="B22" i="4"/>
  <c r="H7" i="2" s="1"/>
  <c r="I7" i="2" s="1"/>
  <c r="H22" i="4"/>
  <c r="H14" i="2" s="1"/>
  <c r="I14" i="2" s="1"/>
  <c r="E9" i="4"/>
  <c r="N8" i="4"/>
  <c r="E8" i="4"/>
  <c r="N7" i="4"/>
  <c r="E7" i="4"/>
  <c r="N6" i="4"/>
  <c r="E6" i="4"/>
  <c r="N5" i="4"/>
  <c r="E5" i="4"/>
  <c r="N4" i="4"/>
  <c r="E4" i="4"/>
  <c r="N3" i="4"/>
  <c r="E3" i="4"/>
  <c r="N2" i="4"/>
  <c r="E2" i="4"/>
  <c r="N20" i="4"/>
  <c r="E20" i="4"/>
  <c r="N19" i="4"/>
  <c r="E19" i="4"/>
  <c r="N18" i="4"/>
  <c r="E18" i="4"/>
  <c r="N17" i="4"/>
  <c r="E17" i="4"/>
  <c r="N16" i="4"/>
  <c r="E16" i="4"/>
  <c r="N15" i="4"/>
  <c r="E15" i="4"/>
  <c r="N14" i="4"/>
  <c r="E14" i="4"/>
  <c r="N13" i="4"/>
  <c r="E13" i="4"/>
  <c r="N12" i="4"/>
  <c r="E12" i="4"/>
  <c r="N11" i="4"/>
  <c r="E11" i="4"/>
  <c r="N10" i="4"/>
  <c r="E10" i="4"/>
  <c r="N9" i="4"/>
  <c r="N21" i="4"/>
  <c r="E21" i="4"/>
  <c r="G22" i="4"/>
  <c r="H13" i="2" s="1"/>
  <c r="I13" i="2" s="1"/>
  <c r="I22" i="4"/>
  <c r="H15" i="2" s="1"/>
  <c r="I15" i="2" s="1"/>
  <c r="C22" i="4"/>
  <c r="H8" i="2" s="1"/>
  <c r="I8" i="2" s="1"/>
  <c r="L22" i="4"/>
  <c r="Q22" i="4"/>
  <c r="P22" i="4"/>
  <c r="R22" i="4"/>
  <c r="F22" i="4" l="1"/>
  <c r="H12" i="2" s="1"/>
  <c r="I12" i="2" s="1"/>
  <c r="E22" i="4"/>
  <c r="H10" i="2" s="1"/>
  <c r="I10" i="2" s="1"/>
  <c r="O22" i="4"/>
  <c r="N22" i="4"/>
</calcChain>
</file>

<file path=xl/sharedStrings.xml><?xml version="1.0" encoding="utf-8"?>
<sst xmlns="http://schemas.openxmlformats.org/spreadsheetml/2006/main" count="9733" uniqueCount="1239">
  <si>
    <t>ID|number-2</t>
  </si>
  <si>
    <t>Nombre completo|name-1</t>
  </si>
  <si>
    <t>Sexo|select-1</t>
  </si>
  <si>
    <t>Estado Civil|select-2</t>
  </si>
  <si>
    <t>Edad|number-1</t>
  </si>
  <si>
    <t>Fecha de nacimiento|date-1</t>
  </si>
  <si>
    <t>Fecha de realización de la encuesta|date-2</t>
  </si>
  <si>
    <t>Introduzca la hora y minuto en que comenzó la encuesta|time-1</t>
  </si>
  <si>
    <t>1.-Ante un examen en el que me juego mucho, o si voy a ser entrevistado para un trabajo importante, me preocupo facilmente.|radio-1</t>
  </si>
  <si>
    <t>2.-Ante un examen en el que me juego mucho, o si voy a ser entrevistado para un trabajo importante, me cuesta concentrarme.|radio-2</t>
  </si>
  <si>
    <t>3.-Cuando voy a llegar tarde a una cita, me preocupo facilmente.|radio-3</t>
  </si>
  <si>
    <t>4.-Cuando pienso en las muchas cosas que tengo que hacer doy demasiadas vueltas a las cosas sin llegar a decidirme.|radio-4</t>
  </si>
  <si>
    <t>5.-Cuando pienso en las muchas cosas que tengo que hacer me cuesta concentrarme.|radio-5</t>
  </si>
  <si>
    <t>6.-A la hora de tomar una decisión o resolver un problema difícil me preocupo facilmente.|radio-6</t>
  </si>
  <si>
    <t>7.-A la hora de tomar una decisión o resolver un problema difícil me cuesta concentrarme.|radio-7</t>
  </si>
  <si>
    <t>8.-En mi trabajo o cuando estudio me siento inseguro de mí mismo.|radio-8</t>
  </si>
  <si>
    <t>9.-En mi trabajo o cuando estudio doy demasiadas vueltas a las cosas sin llegar a decidirme.|radio-9</t>
  </si>
  <si>
    <t>10.-Cuando espero a alguien en un lugar un concurrido me preocupo facilmente.|radio-10</t>
  </si>
  <si>
    <t>11.-Cuando espero a alguien en un lugar un concurrido tengo pensamientos o sentimientos negativos sobre mí, tales como "inferior" a los demás, "torpe", etc|radio-11</t>
  </si>
  <si>
    <t>12.-Cuando espero a alguien en un lugar un concurrido doy demasiadas vueltas a las cosas sin llegar a decidirme.|radio-12</t>
  </si>
  <si>
    <t>13.-Cuando espero a alguien en un lugar un concurrido pienso que la gente se dará cuenta de mis problemas o de la torpeza de mis actos.|radio-13</t>
  </si>
  <si>
    <t>14.-Si una persona del otro sexo está muy cerca de mí, rozándome , o si estoy en una situación sexual íntima doy demasiadas vueltas a las cosas sin llegar a decidirme.|radio-14</t>
  </si>
  <si>
    <t>15.-Cuando alguien me molesta o cuando discuto tengo pensamientos o sentimientos negativos sobre mí, tales como "inferior" a los demás, "torpe", etc|radio-15</t>
  </si>
  <si>
    <t>16.-Cuando alguien me molesta o cuando discuto pienso que la gente se dará cuenta de mis problemas o de la torpeza de mis actos.|radio-16</t>
  </si>
  <si>
    <t>17.-Cuando soy observado o mi trabajo es supervisado, cuando recibo críticas, o siempre que pueda ser evaluado negativamente me cuesta concentrarme.|radio-17</t>
  </si>
  <si>
    <t>18.-Cuando soy observado o mi trabajo es supervisado, cuando recibo críticas, o siempre que pueda ser evaluado negativamente pienso que la gente se dará cuenta de mis problemas o de la torpeza de mis actos.|radio-18</t>
  </si>
  <si>
    <t>19.-Si tengo que hablar en público me preocupo facilmente.|radio-19</t>
  </si>
  <si>
    <t>20.-Si tengo que hablar en público doy demasiadas vueltas a las cosas sin llegar a decidirme.|radio-20</t>
  </si>
  <si>
    <t>21.-Si tengo que hablar en público me cuesta concentrarme.|radio-21</t>
  </si>
  <si>
    <t>22.-Si tengo que hablar en público pienso que la gente se dará cuenta de mis problemas o de la torpeza de mis actos.|radio-22</t>
  </si>
  <si>
    <t>23.-Cuando pienso en experiencias recientes en las que me he sentido ridículo, tímido, humillado, solo o rechazado me cuesta concentrarme.|radio-23</t>
  </si>
  <si>
    <t>24.-Cuando tengo que viajar en avión o en barco me siento inseguro de mí mismo.|radio-24</t>
  </si>
  <si>
    <t>25.-Cuando tengo que viajar en avión o en barco siento miedo.|radio-25</t>
  </si>
  <si>
    <t>26.-Cuando tengo que viajar en avión o en barco me cuesta concentrarme.|radio-26</t>
  </si>
  <si>
    <t>27.-Después de haber cometido algún error doy demasiadas vueltas a las cosas sin llegar a decidirme.|radio-27</t>
  </si>
  <si>
    <t>28.-Después de haber cometido algún error siento miedo.|radio-28</t>
  </si>
  <si>
    <t>29.-Después de haber cometido algún error me cuesta concentrarme.|radio-29</t>
  </si>
  <si>
    <t>30.-Después de haber cometido algún error pienso que la gente se dará cuenta de mis problemas o de la torpeza de mis actos.|radio-30</t>
  </si>
  <si>
    <t>31.-Ante la consulta del dentista, las inyecciones, las heridas o la sangre me preocupo facilmente.|radio-31</t>
  </si>
  <si>
    <t>32.-Cuando voy a una cita con una persona del otro sexo siento miedo.|radio-32</t>
  </si>
  <si>
    <t>33.-Cuando pienso en mi futuro o en dificultades y problemas futuros me cuesta concentrarme.|radio-33</t>
  </si>
  <si>
    <t>34.-En medio de multitudes o en espacios cerrados me preocupo facilmente.|radio-34</t>
  </si>
  <si>
    <t>35.-En medio de multitudes o en espacios cerrados tengo pensamientos o sentimientos negativos sobre mí, tales como "inferior" a los demás, "torpe", etc|radio-35</t>
  </si>
  <si>
    <t>36.-En medio de multitudes o en espacios cerrados siento miedo.|radio-36</t>
  </si>
  <si>
    <t>37.-En medio de multitudes o en espacios cerrados me cuesta concentrarme.|radio-37</t>
  </si>
  <si>
    <t>38.-En medio de multitudes o en espacios cerrados pienso que la gente se dará cuenta de mis problemas o de la torpeza de mis actos.|radio-38</t>
  </si>
  <si>
    <t>39.-Cuando tengo que asistir a una reunión social o conocer gente nueva me siento inseguro de mí mismo.|radio-39</t>
  </si>
  <si>
    <t>40.-Cuando tengo que asistir a una reunión social o conocer gente nueva me cuesta concentrarme.|radio-40</t>
  </si>
  <si>
    <t>41.-En lugares altos, o ante aguas profundas me preocupo facilmente.|radio-41</t>
  </si>
  <si>
    <t>42.-En lugares altos, o ante aguas profundas tengo pensamientos o sentimientos negativos sobre mí, tales como "inferior" a los demás, "torpe", etc|radio-42</t>
  </si>
  <si>
    <t>43.-En lugares altos, o ante aguas profundas me siento inseguro de mí mismo.|radio-43</t>
  </si>
  <si>
    <t>44.-En lugares altos, o ante aguas profundas siento miedo.|radio-44</t>
  </si>
  <si>
    <t>45.-En lugares altos, o ante aguas profundas pienso que la gente se dará cuenta de mis problemas o de la torpeza de mis actos.|radio-45</t>
  </si>
  <si>
    <t>46.-Al observar escenas violentas me preocupo facilmente.|radio-46</t>
  </si>
  <si>
    <t>47.-Al observar escenas violentas tengo pensamientos o sentimientos negativos sobre mí, tales como "inferior" a los demás, "torpe", etc|radio-47</t>
  </si>
  <si>
    <t>48.-Al observar escenas violentas siento miedo.|radio-48</t>
  </si>
  <si>
    <t>49.-Por nada en concreto me preocupo facilmente.|radio-49</t>
  </si>
  <si>
    <t>50.-Por nada en concreto tengo pensamientos o sentimientos negativos sobre mí, tales como "inferior" a los demás, "torpe", etc|radio-50</t>
  </si>
  <si>
    <t>51.-Por nada en concreto me siento inseguro de mí mismo.|radio-51</t>
  </si>
  <si>
    <t>52.-Por nada en concreto doy demasiadas vueltas a las cosas sin llegar a decidirme.|radio-52</t>
  </si>
  <si>
    <t>53.-Por nada en concreto siento miedo.|radio-53</t>
  </si>
  <si>
    <t>54.-A la hora de dormir me preocupo facilmente.|radio-54</t>
  </si>
  <si>
    <t>55.-A la hora de dormir tengo pensamientos o sentimientos negativos sobre mí, tales como "inferior" a los demás, "torpe", etc|radio-55</t>
  </si>
  <si>
    <t>56.-A la hora de dormir pienso que la gente se dará cuenta de mis problemas o de la torpeza de mis actos.|radio-56</t>
  </si>
  <si>
    <t>57.- Escriba una situación en la que usted manifiesta frecuentemente alguna de estas respuestas o conductas.|text-1</t>
  </si>
  <si>
    <t>57.1 - Me preocupo facilmente.|radio-57</t>
  </si>
  <si>
    <t>57.2 - Tengo pensamientos o sentimientos negativos sobre mí, tales como "inferior" a los demás, "torpe", etc|radio-58</t>
  </si>
  <si>
    <t>57.3 - Me siento inseguro de mí mismo.|radio-59</t>
  </si>
  <si>
    <t>57.4 - Doy demasiadas vueltas a las cosas sin llegar a decidirme.|radio-60</t>
  </si>
  <si>
    <t>57.5 - Siento miedo.|radio-61</t>
  </si>
  <si>
    <t>57.6 - Me cuesta concentrarme.|radio-62</t>
  </si>
  <si>
    <t>57.7 - Pienso que la gente se dará cuenta de mis problemas o de la torpeza de mis actos.|radio-63</t>
  </si>
  <si>
    <t>1.- Ante un examen en el que me juego mucho, o si voy a ser entrevistado para un trabajo importante me tiemblan las manos o las piernas.|radio-64</t>
  </si>
  <si>
    <t>2.- Ante un examen en el que me juego mucho, o si voy a ser entrevistado para un trabajo importante me duele la cabeza.|radio-65</t>
  </si>
  <si>
    <t>3.- Ante un examen en el que me juego mucho, o si voy a ser entrevistado para un trabajo importante mi cuerpo está en tensión.|radio-66</t>
  </si>
  <si>
    <t>4.- Ante un examen en el que me juego mucho, o si voy a ser entrevistado para un trabajo importante me falta el aire y mi respiración es agitada.|radio-67</t>
  </si>
  <si>
    <t>5.- Ante un examen en el que me juego mucho, o si voy a ser entrevistado para un trabajo importante siento náuseas o mareo.|radio-68</t>
  </si>
  <si>
    <t>6.- Ante un examen en el que me juego mucho, o si voy a ser entrevistado para un trabajo importante se me seca la boca y tengo dificultades para tragar.|radio-69</t>
  </si>
  <si>
    <t>7.- Ante un examen en el que me juego mucho, o si voy a ser entrevistado para un trabajo importante tengo escalofríos y tirito aunque no haga mucho frío.|radio-70</t>
  </si>
  <si>
    <t>8.- Cuando voy a llegar tarde a una cita siento molestias en el estómago.|radio-71</t>
  </si>
  <si>
    <t>9.- Cuando voy a llegar tarde a una cita me sudan las manos u otra parte del cuerpo hasta en días fríos.|radio-72</t>
  </si>
  <si>
    <t>10.- Cuando voy a llegar tarde a una cita me tiemblan las manos o las piernas.|radio-73</t>
  </si>
  <si>
    <t>11.- Cuando voy a llegar tarde a una cita me duele la cabeza.|radio-74</t>
  </si>
  <si>
    <t>12.- Cuando voy a llegar tarde a una cita tengo palpitaciones, el corazón me late muy deprisa.|radio-75</t>
  </si>
  <si>
    <t>13.- Cuando voy a llegar tarde a una cita me falta el aire y mi respiración es agitada.|radio-76</t>
  </si>
  <si>
    <t>14.- Cuando voy a llegar tarde a una cita se me seca la boca y tengo dificultades para tragar.|radio-77</t>
  </si>
  <si>
    <t>15.- Cuando pienso en las muchas cosas que tengo que hacer siento molestias en el estómago.|radio-78</t>
  </si>
  <si>
    <t>16.- Cuando pienso en las muchas cosas que tengo que hacer me sudan las manos u otra parte del cuerpo hasta en días fríos.|radio-79</t>
  </si>
  <si>
    <t>17.- Cuando pienso en las muchas cosas que tengo que hacer me tiemblan las manos o las piernas.|radio-80</t>
  </si>
  <si>
    <t>18.- Cuando pienso en las muchas cosas que tengo que hacer me duele la cabeza.|radio-81</t>
  </si>
  <si>
    <t>19.- Cuando pienso en las muchas cosas que tengo que hacer tengo palpitaciones, el corazón me late muy deprisa.|radio-82</t>
  </si>
  <si>
    <t>20.- Cuando pienso en las muchas cosas que tengo que hacer me falta el aire y mi respiración es agitada.|radio-83</t>
  </si>
  <si>
    <t>21.- Cuando pienso en las muchas cosas que tengo que hacer siento náuseas o mareo.|radio-84</t>
  </si>
  <si>
    <t>22.- Cuando pienso en las muchas cosas que tengo que hacer se me seca la boca y tengo dificultades para tragar.|radio-85</t>
  </si>
  <si>
    <t>23.- A la hora de tomar una decisión o resolver un problema difícil me duele la cabeza.|radio-86</t>
  </si>
  <si>
    <t>24.- En mi trabajo o cuando estudio siento molestias en el estómago.|radio-87</t>
  </si>
  <si>
    <t>25.- En mi trabajo o cuando estudio me duele la cabeza.|radio-88</t>
  </si>
  <si>
    <t>26.- En mi trabajo o cuando estudio tengo palpitaciones, el corazón me late muy deprisa.|radio-89</t>
  </si>
  <si>
    <t>27.- En mi trabajo o cuando estudio se me seca la boca y tengo dificultades para tragar.|radio-90</t>
  </si>
  <si>
    <t>28.- Cuando espero a alguien en un lugar un concurrido siento molestias en el estómago.|radio-91</t>
  </si>
  <si>
    <t>29.- Cuando espero a alguien en un lugar un concurrido mi cuerpo está en tensión.|radio-92</t>
  </si>
  <si>
    <t>30.- Cuando espero a alguien en un lugar un concurrido me falta el aire y mi respiración es agitada.|radio-93</t>
  </si>
  <si>
    <t>31.- Cuando espero a alguien en un lugar un concurrido se me seca la boca y tengo dificultades para tragar.|radio-94</t>
  </si>
  <si>
    <t>32.- Si una persona del otro sexo está muy cerca de mí, rozándome , o si estoy en una situación sexual íntima me tiemblan las manos o las piernas.|radio-95</t>
  </si>
  <si>
    <t>33.- Si una persona del otro sexo está muy cerca de mí, rozándome , o si estoy en una situación sexual íntima tengo palpitaciones, el corazón me late muy deprisa.|radio-96</t>
  </si>
  <si>
    <t>34.- Si una persona del otro sexo está muy cerca de mí, rozándome , o si estoy en una situación sexual íntima me falta el aire y mi respiración es agitada.|radio-97</t>
  </si>
  <si>
    <t>35.- Si una persona del otro sexo está muy cerca de mí, rozándome , o si estoy en una situación sexual íntima siento náuseas o mareo.|radio-98</t>
  </si>
  <si>
    <t>36.- Si una persona del otro sexo está muy cerca de mí, rozándome , o si estoy en una situación sexual íntima se me seca la boca y tengo dificultades para tragar.|radio-99</t>
  </si>
  <si>
    <t>37.- Cuando alguien me molesta o cuando discuto siento molestias en el estómago.|radio-100</t>
  </si>
  <si>
    <t>38.- Cuando alguien me molesta o cuando discuto me tiemblan las manos o las piernas.|radio-101</t>
  </si>
  <si>
    <t>39.- Cuando alguien me molesta o cuando discuto me duele la cabeza.|radio-102</t>
  </si>
  <si>
    <t>40.- Cuando alguien me molesta o cuando discuto tengo palpitaciones, el corazón me late muy deprisa.|radio-103</t>
  </si>
  <si>
    <t>41.- Cuando alguien me molesta o cuando discuto me falta el aire y mi respiración es agitada.|radio-104</t>
  </si>
  <si>
    <t>42.- Cuando alguien me molesta o cuando discuto siento náuseas o mareo.|radio-105</t>
  </si>
  <si>
    <t>43.- Cuando alguien me molesta o cuando discuto se me seca la boca y tengo dificultades para tragar.|radio-106</t>
  </si>
  <si>
    <t>44.- Cuando soy observado o mi trabajo es supervisado, cuando recibo críticas, o siempre que pueda ser evaluado negativamente me tiemblan las manos o las piernas.|radio-107</t>
  </si>
  <si>
    <t>45.- Cuando soy observado o mi trabajo es supervisado, cuando recibo críticas, o siempre que pueda ser evaluado negativamente me falta el aire y mi respiración es agitada.|radio-108</t>
  </si>
  <si>
    <t>46.- Cuando soy observado o mi trabajo es supervisado, cuando recibo críticas, o siempre que pueda ser evaluado negativamente siento náuseas o mareo.|radio-109</t>
  </si>
  <si>
    <t>47.- Cuando soy observado o mi trabajo es supervisado, cuando recibo críticas, o siempre que pueda ser evaluado negativamente se me seca la boca y tengo dificultades para tragar.|radio-110</t>
  </si>
  <si>
    <t>48.- Si tengo que hablar en público siento molestias en el estómago.|radio-111</t>
  </si>
  <si>
    <t>49.- Si tengo que hablar en público me tiemblan las manos o las piernas.|radio-112</t>
  </si>
  <si>
    <t>50.- Si tengo que hablar en público me duele la cabeza.|radio-113</t>
  </si>
  <si>
    <t>51.- Si tengo que hablar en público tengo palpitaciones, el corazón me late muy deprisa.|radio-114</t>
  </si>
  <si>
    <t>52.- Si tengo que hablar en público me falta el aire y mi respiración es agitada.|radio-115</t>
  </si>
  <si>
    <t>53.- Si tengo que hablar en público siento náuseas o mareo.|radio-116</t>
  </si>
  <si>
    <t>54.- Si tengo que hablar en público se me seca la boca y tengo dificultades para tragar.|radio-117</t>
  </si>
  <si>
    <t>55.- Si tengo que hablar en público tengo escalofríos y tirito aunque no haga mucho frío.|radio-118</t>
  </si>
  <si>
    <t>56.- Cuando pienso en experiencias recientes en las que me he sentido ridículo, tímido, humillado, solo o rechazado mi cuerpo está en tensión.|radio-119</t>
  </si>
  <si>
    <t>57.- Cuando pienso en experiencias recientes en las que me he sentido ridículo, tímido, humillado, solo o rechazado tengo palpitaciones, el corazón me late muy deprisa.|radio-120</t>
  </si>
  <si>
    <t>58.- Cuando pienso en experiencias recientes en las que me he sentido ridículo, tímido, humillado, solo o rechazado me falta el aire y mi respiración es agitada.|radio-121</t>
  </si>
  <si>
    <t>59.- Cuando pienso en experiencias recientes en las que me he sentido ridículo, tímido, humillado, solo o rechazado tengo escalofríos y tirito aunque no haga mucho frío.|radio-122</t>
  </si>
  <si>
    <t>60.- Cuando tengo que viajar en avión o en barco me sudan las manos u otra parte del cuerpo hasta en días fríos.|radio-123</t>
  </si>
  <si>
    <t>61.- Cuando tengo que viajar en avión o en barco me tiemblan las manos o las piernas.|radio-124</t>
  </si>
  <si>
    <t>62.- Cuando tengo que viajar en avión o en barco me duele la cabeza.|radio-125</t>
  </si>
  <si>
    <t>63.- Cuando tengo que viajar en avión o en barco tengo palpitaciones, el corazón me late muy deprisa.|radio-126</t>
  </si>
  <si>
    <t>64.- Cuando tengo que viajar en avión o en barco me falta el aire y mi respiración es agitada.|radio-127</t>
  </si>
  <si>
    <t>65.- Cuando tengo que viajar en avión o en barco siento náuseas o mareo.|radio-128</t>
  </si>
  <si>
    <t>66.- Cuando tengo que viajar en avión o en barco se me seca la boca y tengo dificultades para tragar.|radio-129</t>
  </si>
  <si>
    <t>67.- Después de haber cometido algún error me sudan las manos u otra parte del cuerpo hasta en días fríos.|radio-130</t>
  </si>
  <si>
    <t>68.- Después de haber cometido algún error me tiemblan las manos o las piernas.|radio-131</t>
  </si>
  <si>
    <t>69.- Después de haber cometido algún error me duele la cabeza.|radio-132</t>
  </si>
  <si>
    <t>70.- Después de haber cometido algún error me falta el aire y mi respiración es agitada.|radio-133</t>
  </si>
  <si>
    <t>71.- Después de haber cometido algún error tengo escalofríos y tirito aunque no haga mucho frío.|radio-134</t>
  </si>
  <si>
    <t>72.- Ante la consulta del dentista, las inyecciones, las heridas o la sangre me duele la cabeza.|radio-135</t>
  </si>
  <si>
    <t>73.- Ante la consulta del dentista, las inyecciones, las heridas o la sangre me falta el aire y mi respiración es agitada.|radio-136</t>
  </si>
  <si>
    <t>74.- Ante la consulta del dentista, las inyecciones, las heridas o la sangre tengo escalofríos y tirito aunque no haga mucho frío.|radio-137</t>
  </si>
  <si>
    <t>75.- Cuando voy a una cita con una persona del otro sexo me tiemblan las manos o las piernas.|radio-138</t>
  </si>
  <si>
    <t>76.- Cuando voy a una cita con una persona del otro sexo me duele la cabeza.|radio-139</t>
  </si>
  <si>
    <t>77.- Cuando voy a una cita con una persona del otro sexo me falta el aire y mi respiración es agitada.|radio-140</t>
  </si>
  <si>
    <t>78.- Cuando voy a una cita con una persona del otro sexo se me seca la boca y tengo dificultades para tragar.|radio-141</t>
  </si>
  <si>
    <t>79.- Cuando pienso en mi futuro o en dificultades y problemas futuros me sudan las manos u otra parte del cuerpo hasta en días fríos.|radio-142</t>
  </si>
  <si>
    <t>80.- Cuando pienso en mi futuro o en dificultades y problemas futuros me tiemblan las manos o las piernas.|radio-143</t>
  </si>
  <si>
    <t>81.- Cuando pienso en mi futuro o en dificultades y problemas futuros me duele la cabeza.|radio-144</t>
  </si>
  <si>
    <t>82.- Cuando pienso en mi futuro o en dificultades y problemas futuros mi cuerpo está en tensión.|radio-145</t>
  </si>
  <si>
    <t>83.- Cuando pienso en mi futuro o en dificultades y problemas futuros me falta el aire y mi respiración es agitada.|radio-146</t>
  </si>
  <si>
    <t>84.- Cuando pienso en mi futuro o en dificultades y problemas futuros se me seca la boca y tengo dificultades para tragar.|radio-147</t>
  </si>
  <si>
    <t>85.- En medio de multitudes o en espacios cerrados siento molestias en el estómago.|radio-148</t>
  </si>
  <si>
    <t>86.- En medio de multitudes o en espacios cerrados me sudan las manos u otra parte del cuerpo hasta en días fríos.|radio-149</t>
  </si>
  <si>
    <t>87.- En medio de multitudes o en espacios cerrados me tiemblan las manos o las piernas.|radio-150</t>
  </si>
  <si>
    <t>88.- En medio de multitudes o en espacios cerrados me duele la cabeza.|radio-151</t>
  </si>
  <si>
    <t>89.- En medio de multitudes o en espacios cerrados me falta el aire y mi respiración es agitada.|radio-152</t>
  </si>
  <si>
    <t>90.- Cuando tengo que asistir a una reunión social o conocer gente nueva siento molestias en el estómago.|radio-153</t>
  </si>
  <si>
    <t>91.- Cuando tengo que asistir a una reunión social o conocer gente nueva me tiemblan las manos o las piernas.|radio-154</t>
  </si>
  <si>
    <t>92.- Cuando tengo que asistir a una reunión social o conocer gente nueva me duele la cabeza.|radio-155</t>
  </si>
  <si>
    <t>93.- Cuando tengo que asistir a una reunión social o conocer gente nueva me falta el aire y mi respiración es agitada.|radio-156</t>
  </si>
  <si>
    <t>94.- Cuando tengo que asistir a una reunión social o conocer gente nueva se me seca la boca y tengo dificultades para tragar.|radio-157</t>
  </si>
  <si>
    <t>95.- En lugares altos, o ante aguas profundas me tiemblan las manos o las piernas.|radio-158</t>
  </si>
  <si>
    <t>96.- En lugares altos, o ante aguas profundas tengo palpitaciones, el corazón me late muy deprisa.|radio-159</t>
  </si>
  <si>
    <t>97.- En lugares altos, o ante aguas profundas me falta el aire y mi respiración es agitada.|radio-160</t>
  </si>
  <si>
    <t>98.- En lugares altos, o ante aguas profundas siento náuseas o mareo.|radio-161</t>
  </si>
  <si>
    <t>99.- En lugares altos, o ante aguas profundas se me seca la boca y tengo dificultades para tragar.|radio-162</t>
  </si>
  <si>
    <t>100.- En lugares altos, o ante aguas profundas tengo escalofríos y tirito aunque no haga mucho frío.|radio-163</t>
  </si>
  <si>
    <t>101.- Al observar escenas violentas siento molestias en el estómago.|radio-164</t>
  </si>
  <si>
    <t>102.- Al observar escenas violentas tengo palpitaciones, el corazón me late muy deprisa.|radio-165</t>
  </si>
  <si>
    <t>103.- Al observar escenas violentas me falta el aire y mi respiración es agitada.|radio-166</t>
  </si>
  <si>
    <t>104.- Al observar escenas violentas siento náuseas o mareo.|radio-167</t>
  </si>
  <si>
    <t>105.- Por nada en concreto siento molestias en el estómago.|radio-168</t>
  </si>
  <si>
    <t>106.- Por nada en concreto me tiemblan las manos o las piernas.|radio-169</t>
  </si>
  <si>
    <t>107.- Por nada en concreto me duele la cabeza.|radio-170</t>
  </si>
  <si>
    <t>108.- Por nada en concreto tengo palpitaciones, el corazón me late muy deprisa.|radio-171</t>
  </si>
  <si>
    <t>109.- Por nada en concreto me falta el aire y mi respiración es agitada.|radio-172</t>
  </si>
  <si>
    <t>110.- Por nada en concreto siento náuseas o mareo.|radio-173</t>
  </si>
  <si>
    <t>111.- Por nada en concreto se me seca la boca y tengo dificultades para tragar.|radio-174</t>
  </si>
  <si>
    <t>112.- A la hora de dormir me duele la cabeza.|radio-175</t>
  </si>
  <si>
    <t>113.- Escriba una situación en la que usted manifiesta frecuentemente alguna de estas respuestas o conductas.|text-2</t>
  </si>
  <si>
    <t>113.1 - Siento molestias en el estómago.|radio-176</t>
  </si>
  <si>
    <t>113.2 - Me sudan las manos u otra parte del cuerpo hasta en días fríos.|radio-177</t>
  </si>
  <si>
    <t>113.3 - Me tiemblan las manos o las piernas.|radio-178</t>
  </si>
  <si>
    <t>113.4 - Me duele la cabeza.|radio-179</t>
  </si>
  <si>
    <t>113.5 - Mi cuerpo está en tensión.|radio-180</t>
  </si>
  <si>
    <t>113.6 - Tengo palpitaciones, el corazón me late muy deprisa.|radio-181</t>
  </si>
  <si>
    <t>113.7 - Me falta el aire y mi respiración es agitada.|radio-182</t>
  </si>
  <si>
    <t>113.8 - Siento náuseas o mareo.|radio-183</t>
  </si>
  <si>
    <t>113.9 - Se me seca la boca y tengo dificultades para tragar.|radio-184</t>
  </si>
  <si>
    <t>113.10 - Tengo escalofrios y tirito aunque no haga mucho frio.|radio-241</t>
  </si>
  <si>
    <t>1.- Ante un examen en el que me juego mucho, o si voy a ser entrevistado para un trabajo importante realizo movimientos repetitivos con alguna parte de mi cuerpo (rascarme, tocarme, movimientos rítmicos con pies o manos, etc.)|radio-185</t>
  </si>
  <si>
    <t>2.- Ante un examen en el que me juego mucho, o si voy a ser entrevistado para un trabajo importante me muevo y hago cosas sin una finalidad concreta.|radio-186</t>
  </si>
  <si>
    <t>3.- Ante un examen en el que me juego mucho, o si voy a ser entrevistado para un trabajo importante quedo paralizado o mis movimientos son torpes.|radio-187</t>
  </si>
  <si>
    <t>4.- Cuando voy a llegar tarde a una cita realizo movimientos repetitivos con alguna parte de mi cuerpo (rascarme, tocarme, movimientos rítmicos con pies o manos, etc.)|radio-188</t>
  </si>
  <si>
    <t>5.- Cuando voy a llegar tarde a una cita me muevo y hago cosas sin una finalidad concreta.|radio-189</t>
  </si>
  <si>
    <t>6.- Cuando pienso en las muchas cosas que tengo que hacer lloro con facilidad.|radio-190</t>
  </si>
  <si>
    <t>7.- Cuando pienso en las muchas cosas que tengo que hacer realizo movimientos repetitivos con alguna parte de mi cuerpo (rascarme, tocarme, movimientos rítmicos con pies o manos, etc.)|radio-191</t>
  </si>
  <si>
    <t>8.- Cuando pienso en las muchas cosas que tengo que hacer fumo, como o bebo demasiado.|radio-192</t>
  </si>
  <si>
    <t>9.- Cuando pienso en las muchas cosas que tengo que hacer me muevo y hago cosas sin una finalidad concreta.|radio-193</t>
  </si>
  <si>
    <t>10.- Cuando pienso en las muchas cosas que tengo que hacer quedo paralizado o mis movimientos son torpes.|radio-194</t>
  </si>
  <si>
    <t>11.- Cuando pienso en las muchas cosas que tengo que hacer tartamudeo o tengo otras dificultades de expresión verbal.|radio-195</t>
  </si>
  <si>
    <t>12.- A la hora de tomar una decisión o resolver un problema difícil fumo, como o bebo demasiado.|radio-196</t>
  </si>
  <si>
    <t>13.- A la hora de tomar una decisión o resolver un problema difícil me muevo y hago cosas sin una finalidad concreta.|radio-197</t>
  </si>
  <si>
    <t>14.- A la hora de tomar una decisión o resolver un problema difícil tartamudeo o tengo otras dificultades de expresión verbal.|radio-198</t>
  </si>
  <si>
    <t>15.- En mi trabajo o cuando estudio lloro con facilidad.|radio-199</t>
  </si>
  <si>
    <t>16.- En mi trabajo o cuando estudio fumo, como o bebo demasiado.|radio-200</t>
  </si>
  <si>
    <t>17.- En mi trabajo o cuando estudio quedo paralizado o mis movimientos son torpes.|radio-201</t>
  </si>
  <si>
    <t>18.- Cuando espero a alguien en un lugar un concurrido fumo, como o bebo demasiado.|radio-202</t>
  </si>
  <si>
    <t>19.- Cuando espero a alguien en un lugar un concurrido trato de evitar o rehuir la sítuación.|radio-203</t>
  </si>
  <si>
    <t>20.- Si una persona del otro sexo está muy cerca de mí, rozándome , o si estoy en una situación sexual íntima fumo, como o bebo demasiado.|radio-204</t>
  </si>
  <si>
    <t>21.- Cuando alguien me molesta o cuando discuto realizo movimientos repetitivos con alguna parte de mi cuerpo (rascarme, tocarme, movimientos rítmicos con pies o manos, etc.)|radio-205</t>
  </si>
  <si>
    <t>22.- Cuando alguien me molesta o cuando discuto fumo, como o bebo demasiado.|radio-206</t>
  </si>
  <si>
    <t>23.- Cuando alguien me molesta o cuando discuto quedo paralizado o mis movimientos son torpes.|radio-207</t>
  </si>
  <si>
    <t>24.- Cuando soy observado o mi trabajo es supervisado, cuando recibo críticas, o siempre que pueda ser evaluado negativamente realizo movimientos repetitivos con alguna parte de mi cuerpo (rascarme, tocarme, movimientos rítmicos con pies o manos, etc.)|radio-208</t>
  </si>
  <si>
    <t>25.- Cuando soy observado o mi trabajo es supervisado, cuando recibo críticas, o siempre que pueda ser evaluado negativamente fumo, como o bebo demasiado.|radio-209</t>
  </si>
  <si>
    <t>26.- Cuando soy observado o mi trabajo es supervisado, cuando recibo críticas, o siempre que pueda ser evaluado negativamente quedo paralizado o mis movimientos son torpes.|radio-210</t>
  </si>
  <si>
    <t>27.- Si tengo que hablar en público fumo, como o bebo demasiado.|radio-211</t>
  </si>
  <si>
    <t>28.- Cuando pienso en experiencias recientes en las que me he sentido ridículo, tímido, humillado, solo o rechazado realizo movimientos repetitivos con alguna parte de mi cuerpo (rascarme, tocarme, movimientos rítmicos con pies o manos, etc.)|radio-212</t>
  </si>
  <si>
    <t>29.- Cuando pienso en experiencias recientes en las que me he sentido ridículo, tímido, humillado, solo o rechazado fumo, como o bebo demasiado.|radio-213</t>
  </si>
  <si>
    <t>30.- Cuando pienso en experiencias recientes en las que me he sentido ridículo, tímido, humillado, solo o rechazado me muevo y hago cosas sin una finalidad concreta.|radio-214</t>
  </si>
  <si>
    <t>31.- Cuando tengo que viajar en avión o en barco realizo movimientos repetitivos con alguna parte de mi cuerpo (rascarme, tocarme, movimientos rítmicos con pies o manos, etc.)|radio-215</t>
  </si>
  <si>
    <t>32.- Cuando tengo que viajar en avión o en barco trato de evitar o rehuir la sítuación.|radio-216</t>
  </si>
  <si>
    <t>33.- Cuando tengo que viajar en avión o en barco me muevo y hago cosas sin una finalidad concreta.|radio-217</t>
  </si>
  <si>
    <t>34.- Cuando tengo que viajar en avión o en barco quedo paralizado o mis movimientos son torpes.|radio-218</t>
  </si>
  <si>
    <t>35.- Después de haber cometido algún error lloro con facilidad.|radio-219</t>
  </si>
  <si>
    <t>36.- Después de haber cometido algún error fumo, como o bebo demasiado.|radio-220</t>
  </si>
  <si>
    <t>37.- Ante la consulta del dentista, las inyecciones, las heridas o la sangre me muevo y hago cosas sin una finalidad concreta.|radio-221</t>
  </si>
  <si>
    <t>38.- Ante la consulta del dentista, las inyecciones, las heridas o la sangre tartamudeo o tengo otras dificultades de expresión verbal.|radio-222</t>
  </si>
  <si>
    <t>39.- Cuando voy a una cita con una persona del otro sexo trato de evitar o rehuir la sítuación.|radio-223</t>
  </si>
  <si>
    <t>40.- Cuando pienso en mi futuro o en dificultades y problemas futuros realizo movimientos repetitivos con alguna parte de mi cuerpo (rascarme, tocarme, movimientos rítmicos con pies o manos, etc.)|radio-224</t>
  </si>
  <si>
    <t>41.- Cuando pienso en mi futuro o en dificultades y problemas futuros fumo, como o bebo demasiado.|radio-225</t>
  </si>
  <si>
    <t>42.- En medio de multitudes o en espacios cerrados lloro con facilidad.|radio-226</t>
  </si>
  <si>
    <t>43.- En medio de multitudes o en espacios cerrados realizo movimientos repetitivos con alguna parte de mi cuerpo (rascarme, tocarme, movimientos rítmicos con pies o manos, etc.)|radio-227</t>
  </si>
  <si>
    <t>44.- En medio de multitudes o en espacios cerrados fumo, como o bebo demasiado.|radio-228</t>
  </si>
  <si>
    <t>45.- En medio de multitudes o en espacios cerrados me muevo y hago cosas sin una finalidad concreta.|radio-229</t>
  </si>
  <si>
    <t>46.- En medio de multitudes o en espacios cerrados quedo paralizado o mis movimientos son torpes.|radio-230</t>
  </si>
  <si>
    <t>47.- Cuando tengo que asistir a una reunión social o conocer gente nueva lloro con facilidad.|radio-231</t>
  </si>
  <si>
    <t>48.- Cuando tengo que asistir a una reunión social o conocer gente nueva fumo, como o bebo demasiado.|radio-232</t>
  </si>
  <si>
    <t>49.- Cuando tengo que asistir a una reunión social o conocer gente nueva trato de evitar o rehuir la sítuación.|radio-233</t>
  </si>
  <si>
    <t>50.- Cuando tengo que asistir a una reunión social o conocer gente nueva quedo paralizado o mis movimientos son torpes.|radio-234</t>
  </si>
  <si>
    <t>51.- Cuando tengo que asistir a una reunión social o conocer gente nueva tartamudeo o tengo otras dificultades de expresión verbal.|radio-235</t>
  </si>
  <si>
    <t>52.- En lugares altos, o ante aguas profundas quedo paralizado o mis movimientos son torpes.|radio-236</t>
  </si>
  <si>
    <t>53.- Al observar escenas violentas fumo, como o bebo demasiado.|radio-237</t>
  </si>
  <si>
    <t>54.- Al observar escenas violentas me muevo y hago cosas sin una finalidad concreta.|radio-238</t>
  </si>
  <si>
    <t>55.- Por nada en concreto tartamudeo o tengo otras dificultades de expresión verbal.|radio-239</t>
  </si>
  <si>
    <t>56.- A la hora de dormir me muevo y hago cosas sin una finalidad concreta.|radio-240</t>
  </si>
  <si>
    <t>57.- Escriba una situación en la que usted manifiesta frecuentemente alguna de estas respuestas o conductas.|text-3</t>
  </si>
  <si>
    <t>57.1.- Lloro con facilidad.|radio-242</t>
  </si>
  <si>
    <t>57.2.- Realizo movimientos repetitivos con alguna parte de mi cuerpo (rascarme, tocarme, movimientos rítmicos con pies o manos, etc.)|radio-243</t>
  </si>
  <si>
    <t>57.3.- Fumo, como o bebo demasiado.|radio-244</t>
  </si>
  <si>
    <t>57.4.- Trato de evitar o rehuir la sítuación.|radio-245</t>
  </si>
  <si>
    <t>57.5.- Me muevo y hago cosas sin una finalidad concreta.|radio-246</t>
  </si>
  <si>
    <t>57.6.- Quedo paralizado o mis movimientos son torpes.|radio-247</t>
  </si>
  <si>
    <t>57.7.- Tartamudeo o tengo otras dificultades de expresión verbal.|radio-248</t>
  </si>
  <si>
    <t>Las pruebas concluyeron ¿Acepta nuestros términos de uso?|consent-1</t>
  </si>
  <si>
    <t>Luis Ángel Tovar Vázquez</t>
  </si>
  <si>
    <t>Hombre</t>
  </si>
  <si>
    <t>two</t>
  </si>
  <si>
    <t>07-10-1989</t>
  </si>
  <si>
    <t>20-08-2023</t>
  </si>
  <si>
    <t>12:17 am</t>
  </si>
  <si>
    <t>Cuando pienso el futuro de mis hijos me siento algunas veces con miedo e inseguro de su futuro</t>
  </si>
  <si>
    <t>Preocupación y estrés por el futuro de mis hijo</t>
  </si>
  <si>
    <t>marcada</t>
  </si>
  <si>
    <t>Luis Emiliano Medina Hernández</t>
  </si>
  <si>
    <t>one</t>
  </si>
  <si>
    <t>19-07-2006</t>
  </si>
  <si>
    <t>23-08-2023</t>
  </si>
  <si>
    <t>05:13 pm</t>
  </si>
  <si>
    <t/>
  </si>
  <si>
    <t>Nicole Esmeralda De La Rosa Vazquez</t>
  </si>
  <si>
    <t>Mujer</t>
  </si>
  <si>
    <t>08-08-2002</t>
  </si>
  <si>
    <t>20-09-2023</t>
  </si>
  <si>
    <t>01:24 pm</t>
  </si>
  <si>
    <t>Tener ganas de vomitar</t>
  </si>
  <si>
    <t>Cuando veo a mi ex pareja o cuando siento ganas de vomitar</t>
  </si>
  <si>
    <t>Aldo Froylan Flores Flores</t>
  </si>
  <si>
    <t>19-10-2005</t>
  </si>
  <si>
    <t>11-10-2023</t>
  </si>
  <si>
    <t>03:10 pm</t>
  </si>
  <si>
    <t>Miedo al rachazo</t>
  </si>
  <si>
    <t>Sudoracion en manos</t>
  </si>
  <si>
    <t>Solía fumar despues de cometer un error</t>
  </si>
  <si>
    <t>DANTE HUMBERTO CANTU PACHICANO</t>
  </si>
  <si>
    <t>17-07-1994</t>
  </si>
  <si>
    <t>12-10-2023</t>
  </si>
  <si>
    <t>09:46 pm</t>
  </si>
  <si>
    <t>VIAJAR SOLO AL OTRO PAIS QUE NUNCA HE ESTADO</t>
  </si>
  <si>
    <t>VIAJAR SOLO AL OTRO PAIS EN DONDE NUNCA HE ESTADO</t>
  </si>
  <si>
    <t>VIAJAR SOLO AL OTRO PAIS DONDE NUNCA HE ESTADO</t>
  </si>
  <si>
    <t>DIANA LAURA GOMEZ MADRIGAL</t>
  </si>
  <si>
    <t>04-08-1997</t>
  </si>
  <si>
    <t>14-10-2023</t>
  </si>
  <si>
    <t>04:37 pm</t>
  </si>
  <si>
    <t>En el trabajo o cuando conozco a un gpo de gente nueva</t>
  </si>
  <si>
    <t>en el trabajo o con un gpo de gente que no conozco</t>
  </si>
  <si>
    <t>en el trabajo, reuniones o al conocer un gpo de gente nueva</t>
  </si>
  <si>
    <t>Jesus Humberto perales soto</t>
  </si>
  <si>
    <t>11-07-2008</t>
  </si>
  <si>
    <t>24-10-2023</t>
  </si>
  <si>
    <t>05:16 pm</t>
  </si>
  <si>
    <t>Fernanda Cortes</t>
  </si>
  <si>
    <t>25-07-2006</t>
  </si>
  <si>
    <t>07:35 pm</t>
  </si>
  <si>
    <t>cuando conozco a gente nueva pienso que piensan que soy fea, estupida, que lo les caigo bien, me siento insegura y me da miedo, o cuando pienso en mi futuro, me cuesta mucho concentrarme en la escuela y practicamente en cualquier situacion es como si estuviera pero no estuviera alli</t>
  </si>
  <si>
    <t>cuando no me siento real</t>
  </si>
  <si>
    <t>cuando tengo que hacer cosas nuevas o cuando tengo que enfrentarme a algo o alguien</t>
  </si>
  <si>
    <t>Gabriela Alejandra Zamora Casas</t>
  </si>
  <si>
    <t>18-04-1980</t>
  </si>
  <si>
    <t>31-10-2023</t>
  </si>
  <si>
    <t>03:15 pm</t>
  </si>
  <si>
    <t>Iridian Zurizaid Garcia de la Rosa</t>
  </si>
  <si>
    <t>20-12-2023</t>
  </si>
  <si>
    <t>01-11-2023</t>
  </si>
  <si>
    <t>08:17 am</t>
  </si>
  <si>
    <t>Cuando voy a un lugar con mucha gente, me siento incómoda, me cuesta concentrarme</t>
  </si>
  <si>
    <t>Cuando veo alguna película de terror o suspenso me duele mucho la cabeza, me siento muy nerviosa, me duele el estómago y tengo náuseas</t>
  </si>
  <si>
    <t>Cuando me siento muy tensa, tiendo a cortarme el cabello con las manos y a mover el pie</t>
  </si>
  <si>
    <t>Karen Sofia Macias Muñoz</t>
  </si>
  <si>
    <t>Unión-Libre</t>
  </si>
  <si>
    <t>24-03-1994</t>
  </si>
  <si>
    <t>15-11-2023</t>
  </si>
  <si>
    <t>11:58 pm</t>
  </si>
  <si>
    <t>Problemas economicos y con mi pareja</t>
  </si>
  <si>
    <t>Cuanto tengo muchas cosas que hacer o se me junta todo</t>
  </si>
  <si>
    <t>Cuando estoy estresada o discuto con mi pareja o me altero con mis hijos</t>
  </si>
  <si>
    <t>MARIA DEL CARMEN ACOSTA SOSA</t>
  </si>
  <si>
    <t>26-05-1967</t>
  </si>
  <si>
    <t>23-11-2023</t>
  </si>
  <si>
    <t>12:40 pm</t>
  </si>
  <si>
    <t>Alan Eduardo Torres Compeán</t>
  </si>
  <si>
    <t>26-09-2008</t>
  </si>
  <si>
    <t>09-09-2023</t>
  </si>
  <si>
    <t>04:26 pm</t>
  </si>
  <si>
    <t>Claudia isela Vasquez medina</t>
  </si>
  <si>
    <t>01-08-1979</t>
  </si>
  <si>
    <t>08-12-2023</t>
  </si>
  <si>
    <t>10:05 am</t>
  </si>
  <si>
    <t>Marisol Guadalupe Cepeda Soto</t>
  </si>
  <si>
    <t>07-10-2023</t>
  </si>
  <si>
    <t>29-12-2023</t>
  </si>
  <si>
    <t>10:54 am</t>
  </si>
  <si>
    <t>Cuando me veo quedarme sin trabajo</t>
  </si>
  <si>
    <t>Cuando pienso en el futuro</t>
  </si>
  <si>
    <t>Cuando hay algo nuevo que hacer</t>
  </si>
  <si>
    <t>Judith Nájera Corpi</t>
  </si>
  <si>
    <t>02-09-1970</t>
  </si>
  <si>
    <t>04:01 pm</t>
  </si>
  <si>
    <t>Después de una discusión o una desvelada</t>
  </si>
  <si>
    <t>Jesus Fernando Martinez Hernandez</t>
  </si>
  <si>
    <t>20-10-1994</t>
  </si>
  <si>
    <t>12-01-2024</t>
  </si>
  <si>
    <t>04:46 pm</t>
  </si>
  <si>
    <t>interacciones sociales con personas desconocidas en el dia a dia</t>
  </si>
  <si>
    <t>Luis Enrique Contreras Berino</t>
  </si>
  <si>
    <t>30-03-1990</t>
  </si>
  <si>
    <t>24-01-2024</t>
  </si>
  <si>
    <t>04:16 pm</t>
  </si>
  <si>
    <t>Ingrid vianey Cuellar sepulveda</t>
  </si>
  <si>
    <t>23-10-1998</t>
  </si>
  <si>
    <t>08-03-2024</t>
  </si>
  <si>
    <t>02:17 am</t>
  </si>
  <si>
    <t>JUAN MANUEL CABELLO ESPINOZA</t>
  </si>
  <si>
    <t>04-09-1972</t>
  </si>
  <si>
    <t>19-03-2024</t>
  </si>
  <si>
    <t>05:38 pm</t>
  </si>
  <si>
    <t>Luis braulio Rodríguez perez</t>
  </si>
  <si>
    <t>Divorciado-a</t>
  </si>
  <si>
    <t>23-06-1982</t>
  </si>
  <si>
    <t>02-04-2024</t>
  </si>
  <si>
    <t>12:20 pm</t>
  </si>
  <si>
    <t>Mateo Alvarado bucio</t>
  </si>
  <si>
    <t>25-08-2010</t>
  </si>
  <si>
    <t>10-04-2024</t>
  </si>
  <si>
    <t>12:21 pm</t>
  </si>
  <si>
    <t>Alexa Sarahi Herrera Gutierrez</t>
  </si>
  <si>
    <t>12:09 pm</t>
  </si>
  <si>
    <t>En multitudes</t>
  </si>
  <si>
    <t>Tener que salir</t>
  </si>
  <si>
    <t>Situaciones bajo mucho estrés</t>
  </si>
  <si>
    <t>Camila Alvarado bucio</t>
  </si>
  <si>
    <t>13-10-2011</t>
  </si>
  <si>
    <t>06:51 pm</t>
  </si>
  <si>
    <t>Fernando Rodríguez Martínez</t>
  </si>
  <si>
    <t>05-06-1994</t>
  </si>
  <si>
    <t>18-04-2024</t>
  </si>
  <si>
    <t>08:54 pm</t>
  </si>
  <si>
    <t>Al ir a trabajar</t>
  </si>
  <si>
    <t>Cuando sobre pienso las cosas o me acuerdo de algo del pasado</t>
  </si>
  <si>
    <t>William Miguel Mendoza Villegas</t>
  </si>
  <si>
    <t>11-07-2011</t>
  </si>
  <si>
    <t>23-04-2024</t>
  </si>
  <si>
    <t>03:11 pm</t>
  </si>
  <si>
    <t>Cuando me reportaron en la secundaria cuando mi hermano me regaña</t>
  </si>
  <si>
    <t>Mi hermano me regaña</t>
  </si>
  <si>
    <t>Pues cuando mi mamá discute con Raúl y mi para me regaña</t>
  </si>
  <si>
    <t>Dora Alicia Martinez Juarez</t>
  </si>
  <si>
    <t>23-06-1964</t>
  </si>
  <si>
    <t>28-04-2024</t>
  </si>
  <si>
    <t>Noe Javier Ramírez castorena</t>
  </si>
  <si>
    <t>13-06-1978</t>
  </si>
  <si>
    <t>09-05-2024</t>
  </si>
  <si>
    <t>06:02 pm</t>
  </si>
  <si>
    <t>Me gusta tener responsabilidades en mi trabajo y ser reconocido</t>
  </si>
  <si>
    <t>María del Carmen Rodríguez Parra</t>
  </si>
  <si>
    <t>09-03-2024</t>
  </si>
  <si>
    <t>14-05-2024</t>
  </si>
  <si>
    <t>09:40 am</t>
  </si>
  <si>
    <t>Cuando se llegan los días en qué tengo que ir a vender siento mucho miedo de que no vaya a tener la respuesta que espero en la venta de mi comida</t>
  </si>
  <si>
    <t>Estar preocupada por qué me falte dinero o comida</t>
  </si>
  <si>
    <t>Al tomar una decisión importante</t>
  </si>
  <si>
    <t>José Alberto Pérez Bautista</t>
  </si>
  <si>
    <t>29-01-1980</t>
  </si>
  <si>
    <t>15-05-2024</t>
  </si>
  <si>
    <t>05:31 pm</t>
  </si>
  <si>
    <t>Ninguna</t>
  </si>
  <si>
    <t>Edwin Alberto Reséndiz Longoria</t>
  </si>
  <si>
    <t>21-03-2024</t>
  </si>
  <si>
    <t>01:04 pm</t>
  </si>
  <si>
    <t>Sofía Lorena Plata Vázquez</t>
  </si>
  <si>
    <t>24-06-2008</t>
  </si>
  <si>
    <t>16-05-2024</t>
  </si>
  <si>
    <t>03:00 pm</t>
  </si>
  <si>
    <t>En la escuela, ámbito social, cuando bailo</t>
  </si>
  <si>
    <t>Sobre pensar demasiado en algo que hice</t>
  </si>
  <si>
    <t>Evelyn Stephanie Quiroz Martínez</t>
  </si>
  <si>
    <t>22-03-2003</t>
  </si>
  <si>
    <t>17-05-2024</t>
  </si>
  <si>
    <t>09:20 am</t>
  </si>
  <si>
    <t>al hablar en público sueño tartamudear mucho o combinar palabras</t>
  </si>
  <si>
    <t>Maricruz Ayala Cisneros</t>
  </si>
  <si>
    <t>10-01-1994</t>
  </si>
  <si>
    <t>20-05-2024</t>
  </si>
  <si>
    <t>Carlos cortés Granados</t>
  </si>
  <si>
    <t>06-09-2005</t>
  </si>
  <si>
    <t>21-05-2024</t>
  </si>
  <si>
    <t>03:24 pm</t>
  </si>
  <si>
    <t>Ana</t>
  </si>
  <si>
    <t>Femenino</t>
  </si>
  <si>
    <t>Soltero/a</t>
  </si>
  <si>
    <t>23-10-2024</t>
  </si>
  <si>
    <t>23-05-2024</t>
  </si>
  <si>
    <t>02:52 pm</t>
  </si>
  <si>
    <t>X</t>
  </si>
  <si>
    <t>Claudia Gabriela López López</t>
  </si>
  <si>
    <t>04-08-1980</t>
  </si>
  <si>
    <t>29-05-2024</t>
  </si>
  <si>
    <t>05:40 pm</t>
  </si>
  <si>
    <t>Batallo para dormir, siempre estoy pensando en mi situación actual.</t>
  </si>
  <si>
    <t>Que estoy preocupada la mayor parte del tiempo</t>
  </si>
  <si>
    <t>Las alturas me dan miedo</t>
  </si>
  <si>
    <t>Jorge Paul Portillo Zamora</t>
  </si>
  <si>
    <t>17-11-1992</t>
  </si>
  <si>
    <t>01-06-2024</t>
  </si>
  <si>
    <t>01:16 pm</t>
  </si>
  <si>
    <t>Cuando me dedico a onservar gente al azar</t>
  </si>
  <si>
    <t>Al observar gente en la calle</t>
  </si>
  <si>
    <t>Cuando estoy pensando en como mi presente afecta mi futuro</t>
  </si>
  <si>
    <t>Christian Arely Jacqueline Pérez Pérez</t>
  </si>
  <si>
    <t>25-11-1987</t>
  </si>
  <si>
    <t>04-06-2024</t>
  </si>
  <si>
    <t>05:43 pm</t>
  </si>
  <si>
    <t>No poder solucionar los problemas que se me presentan</t>
  </si>
  <si>
    <t>Migrañas seguidas</t>
  </si>
  <si>
    <t>Tartamudear cuando estoy nerviosa</t>
  </si>
  <si>
    <t>Tania Margarita Cortés Sánchez</t>
  </si>
  <si>
    <t>04-12-1986</t>
  </si>
  <si>
    <t>12-06-2024</t>
  </si>
  <si>
    <t>10:45 am</t>
  </si>
  <si>
    <t>Cuando tengo problemas familiares</t>
  </si>
  <si>
    <t>Pensar en los problemas</t>
  </si>
  <si>
    <t>Discutir con alguien estar enojada</t>
  </si>
  <si>
    <t>Daniela Sinahi Rodriguez Zurita</t>
  </si>
  <si>
    <t>06-05-1994</t>
  </si>
  <si>
    <t>03:08 pm</t>
  </si>
  <si>
    <t>Olvera González Ximena Guadalupe</t>
  </si>
  <si>
    <t>12-05-2004</t>
  </si>
  <si>
    <t>13-06-2024</t>
  </si>
  <si>
    <t>03:58 pm</t>
  </si>
  <si>
    <t>Cuando estoy bajo demasiado estrés</t>
  </si>
  <si>
    <t>Cuando tengo demasiado estrés</t>
  </si>
  <si>
    <t>Jessica mariel gallardo verdejo</t>
  </si>
  <si>
    <t>03-04-2008</t>
  </si>
  <si>
    <t>19-06-2024</t>
  </si>
  <si>
    <t>02:41 pm</t>
  </si>
  <si>
    <t>Sobre pensar mucho las cosas</t>
  </si>
  <si>
    <t>Siempre me duele el estómago cuando estoy fuera de mi casa</t>
  </si>
  <si>
    <t>A la hora de dormir mi cerebro piensa muchas cosas y doy vueltas por toda la cama hasta que me da sueño</t>
  </si>
  <si>
    <t>Ivonne Guadalupe casas balderas</t>
  </si>
  <si>
    <t>18-03-2002</t>
  </si>
  <si>
    <t>20-06-2024</t>
  </si>
  <si>
    <t>09:01 am</t>
  </si>
  <si>
    <t>Miguel Robles</t>
  </si>
  <si>
    <t>13-04-1983</t>
  </si>
  <si>
    <t>22-04-2024</t>
  </si>
  <si>
    <t>04:47 am</t>
  </si>
  <si>
    <t>Tengo problemas de insomnio</t>
  </si>
  <si>
    <t>Cuando existe un cambio de Olán por mala organización</t>
  </si>
  <si>
    <t>Cuando pienso en mi papá</t>
  </si>
  <si>
    <t>Ana Patricia Lomas Regalado</t>
  </si>
  <si>
    <t>22-01-1983</t>
  </si>
  <si>
    <t>25-06-2024</t>
  </si>
  <si>
    <t>09:24 pm</t>
  </si>
  <si>
    <t>Cuando mi hija mayor esta fuera de la casa ,, no nos contesta el celular o no nos quiere decir dónde se encuentra ²</t>
  </si>
  <si>
    <t>Las horas de llegada de los integrantes de la familia</t>
  </si>
  <si>
    <t>Problemas entre los integrantes de la casa</t>
  </si>
  <si>
    <t>Javier García Aranda</t>
  </si>
  <si>
    <t>23-01-2024</t>
  </si>
  <si>
    <t>09:26 pm</t>
  </si>
  <si>
    <t>itzel vanessa martinez ruiz</t>
  </si>
  <si>
    <t>23-04-2004</t>
  </si>
  <si>
    <t>26-06-2024</t>
  </si>
  <si>
    <t>05:52 pm</t>
  </si>
  <si>
    <t>cuando voy a exponer me pongo muy nerviosa y se me olvidan las cosas o cuando estoy con personas me dan nervios y no me concentro tanto</t>
  </si>
  <si>
    <t>a veces cuando es horas de dormir siento una desesperacion en el estomago , siento como un hueco, un vacio</t>
  </si>
  <si>
    <t>Daniela Mitzare Martinez Obregón</t>
  </si>
  <si>
    <t>27-11-2007</t>
  </si>
  <si>
    <t>29-06-2024</t>
  </si>
  <si>
    <t>03:32 pm</t>
  </si>
  <si>
    <t>Mayela Ugallo Zavala</t>
  </si>
  <si>
    <t>21-08-2024</t>
  </si>
  <si>
    <t>04-07-2024</t>
  </si>
  <si>
    <t>02:20 pm</t>
  </si>
  <si>
    <t>A la hora de dormir. Pienso mucho en mis pendientes laborales o bien familiares</t>
  </si>
  <si>
    <t>No muestro dolores de cabeza y ninguna mestia en el estómago</t>
  </si>
  <si>
    <t>Ninguna de las anteriores puesto que no fumo</t>
  </si>
  <si>
    <t>Felipe de Jesús Martínez Villarreal</t>
  </si>
  <si>
    <t>09-04-2007</t>
  </si>
  <si>
    <t>12-07-2024</t>
  </si>
  <si>
    <t>12:55 pm</t>
  </si>
  <si>
    <t>Al conocer a alguien me siento nervioso</t>
  </si>
  <si>
    <t>Al presentar un examen difícil o muy tardado me estreso</t>
  </si>
  <si>
    <t>Al pasar mucho tiempo encerrado me tiendo a desesperar mucho</t>
  </si>
  <si>
    <t>Adamaris Monserrat Martinez Ruiz</t>
  </si>
  <si>
    <t>14-09-2001</t>
  </si>
  <si>
    <t>13-07-2024</t>
  </si>
  <si>
    <t>07:00 pm</t>
  </si>
  <si>
    <t>Cuand estoy enojada</t>
  </si>
  <si>
    <t>Mariana Gelinas Martín del Campo</t>
  </si>
  <si>
    <t>07-10-1999</t>
  </si>
  <si>
    <t>29-07-2024</t>
  </si>
  <si>
    <t>01:02 pm</t>
  </si>
  <si>
    <t>En mi trabajo</t>
  </si>
  <si>
    <t>Siempre me estoy moviendo con los pies</t>
  </si>
  <si>
    <t>America Guadalupe Torres Gaona</t>
  </si>
  <si>
    <t>01-10-2005</t>
  </si>
  <si>
    <t>01-08-2024</t>
  </si>
  <si>
    <t>06:03 pm</t>
  </si>
  <si>
    <t>Alain Flores de leon</t>
  </si>
  <si>
    <t>19-08-2024</t>
  </si>
  <si>
    <t>07:59 pm</t>
  </si>
  <si>
    <t>Toma de decisiones</t>
  </si>
  <si>
    <t>Estresado</t>
  </si>
  <si>
    <t>Nervios</t>
  </si>
  <si>
    <t>Antonio Asuraby Mota Saucedo</t>
  </si>
  <si>
    <t>29-06-2001</t>
  </si>
  <si>
    <t>02-09-2024</t>
  </si>
  <si>
    <t>06:37 pm</t>
  </si>
  <si>
    <t>Algunas convivencias con mi pareja</t>
  </si>
  <si>
    <t>los cambios de actitudes de mi pareja</t>
  </si>
  <si>
    <t>pensar en un futuro</t>
  </si>
  <si>
    <t>ANA KARINA MARQUEZ MEDINA</t>
  </si>
  <si>
    <t>07-09-2002</t>
  </si>
  <si>
    <t>04-09-2024</t>
  </si>
  <si>
    <t>08:00 pm</t>
  </si>
  <si>
    <t>A la hora de acostarme a dormir generalmente es cuando mi mente no se encuentra tan ocupada por lo cual comienzo a recordar el pasado (todo lo malo) el presente (esta pasando lo que tiene que pasar) y el futuro (todo lo que quiero o deseo lograr)</t>
  </si>
  <si>
    <t>Mario Andres Limón Guerrerl</t>
  </si>
  <si>
    <t>26-07-2024</t>
  </si>
  <si>
    <t>17-09-2024</t>
  </si>
  <si>
    <t>04:41 pm</t>
  </si>
  <si>
    <t>Cuando pienso en no avanzar en la vida</t>
  </si>
  <si>
    <t>Carmen Elías Gómez Rodríguez</t>
  </si>
  <si>
    <t>15-04-1999</t>
  </si>
  <si>
    <t>19-09-2024</t>
  </si>
  <si>
    <t>02:37 am</t>
  </si>
  <si>
    <t>En una reunión social o entrevistas</t>
  </si>
  <si>
    <t>En una entrevista de trabajo</t>
  </si>
  <si>
    <t>Andrea yulisa Jiménez Pérez</t>
  </si>
  <si>
    <t>30-11-2024</t>
  </si>
  <si>
    <t>22-09-2024</t>
  </si>
  <si>
    <t>07:23 pm</t>
  </si>
  <si>
    <t>Soy una persona muy insegura de todo pero demuestro como si tuviera mucha seguridad de mismo</t>
  </si>
  <si>
    <t>Cuando duermo en ocasiones me cuesta dos tres horas para que me entre sueño y estando en la cama y comienza a hacer movimientos me comienza a doler todo el cuerpo a desesperarme</t>
  </si>
  <si>
    <t>Edgar Nava</t>
  </si>
  <si>
    <t>08-01-2000</t>
  </si>
  <si>
    <t>27-09-2024</t>
  </si>
  <si>
    <t>11:45 am</t>
  </si>
  <si>
    <t>Miguel Angel Romero Olivares</t>
  </si>
  <si>
    <t>30-06-1995</t>
  </si>
  <si>
    <t>02-10-2024</t>
  </si>
  <si>
    <t>06:32 pm</t>
  </si>
  <si>
    <t>Le tengo pánico alas alturas</t>
  </si>
  <si>
    <t>Cuando e tenido problemas estoy fumando mucho para calmar los nervios</t>
  </si>
  <si>
    <t>Jesús Francisco Alvarado cedillo</t>
  </si>
  <si>
    <t>12-01-1975</t>
  </si>
  <si>
    <t>07-10-2024</t>
  </si>
  <si>
    <t>Sentimientos de rechazo, abandono, culpa, de no validez, de que lo que hago no es valioso para mí esposa</t>
  </si>
  <si>
    <t>Al querer hablar de algún tema con mi esposa</t>
  </si>
  <si>
    <t>Al estar separado de mi esposa</t>
  </si>
  <si>
    <t>JOANNA GUADALUPE HERRERA GONZÁLEZ</t>
  </si>
  <si>
    <t>05-05-1996</t>
  </si>
  <si>
    <t>07:30 pm</t>
  </si>
  <si>
    <t>Cuando recuerdo de algun error que cometí en el pasado, a la hora de dormir no puedo dejar de estar pensando en ello</t>
  </si>
  <si>
    <t>Cuando conozco a alguien y digo algo incorrecto no puedo evitar estar pensando en lo sucedido, nor.almente me duele el estómago y la cabeza de tabto pensar</t>
  </si>
  <si>
    <t>Hago escenarios ficticios en mi mente y me po go a llorar</t>
  </si>
  <si>
    <t>Wendy Yanett López Coronado</t>
  </si>
  <si>
    <t>08-11-1979</t>
  </si>
  <si>
    <t>08:31 pm</t>
  </si>
  <si>
    <t>Luis Jesus Salazar Alvarez</t>
  </si>
  <si>
    <t>11-10-1999</t>
  </si>
  <si>
    <t>09-10-2024</t>
  </si>
  <si>
    <t>10:12 am</t>
  </si>
  <si>
    <t>Isis Nefertiti Carrizales Valdez</t>
  </si>
  <si>
    <t>29-04-1999</t>
  </si>
  <si>
    <t>22-10-2024</t>
  </si>
  <si>
    <t>02:46 pm</t>
  </si>
  <si>
    <t>Todas las noches pienso mucho, nada en específico o a veces si, temas familiares o sentimentales y todo me agobia muchas veces por la noche</t>
  </si>
  <si>
    <t>Pensar en el futuro y que no estoy logrando nada</t>
  </si>
  <si>
    <t>Sobrepensar situaciones o decisiones que he tomado</t>
  </si>
  <si>
    <t>Ana Rebeca Vendrell Bosque</t>
  </si>
  <si>
    <t>03-12-1989</t>
  </si>
  <si>
    <t>26-10-2024</t>
  </si>
  <si>
    <t>10:00 am</t>
  </si>
  <si>
    <t>cuando manejan y voy de copiloto me da mucho miedo chocar</t>
  </si>
  <si>
    <t>no me quedo quieta necesito mover las manos o piernas</t>
  </si>
  <si>
    <t>me pongo tensa me agito al ver violencia</t>
  </si>
  <si>
    <t>Isidra Alejandra Palafox Garcia</t>
  </si>
  <si>
    <t>11-11-1987</t>
  </si>
  <si>
    <t>03-11-2024</t>
  </si>
  <si>
    <t>06:00 pm</t>
  </si>
  <si>
    <t>Hablar en público</t>
  </si>
  <si>
    <t>Pleitos familiares</t>
  </si>
  <si>
    <t>Discusión con mi pareja</t>
  </si>
  <si>
    <t>Paola Itzel Meza Garay</t>
  </si>
  <si>
    <t>29-06-2004</t>
  </si>
  <si>
    <t>09:55 pm</t>
  </si>
  <si>
    <t>cuando pienso en situaciones que no actué de la mejor manera</t>
  </si>
  <si>
    <t>Yessica Yazmin Flores Ramirez</t>
  </si>
  <si>
    <t>26-09-1989</t>
  </si>
  <si>
    <t>04-11-2024</t>
  </si>
  <si>
    <t>10:12 pm</t>
  </si>
  <si>
    <t>Laura Berenice Galván Ibarra</t>
  </si>
  <si>
    <t>09-01-1993</t>
  </si>
  <si>
    <t>08-11-2024</t>
  </si>
  <si>
    <t>09:55 am</t>
  </si>
  <si>
    <t>Por problemas económicos</t>
  </si>
  <si>
    <t>Cuando me pongo demasiado nerviosa</t>
  </si>
  <si>
    <t>Cuando m siento triste</t>
  </si>
  <si>
    <t>Amy Danae Cortes Costilla</t>
  </si>
  <si>
    <t>19-03-2010</t>
  </si>
  <si>
    <t>06:58 pm</t>
  </si>
  <si>
    <t>Tiendo a sobrepensar frecuentemente una situación días después de que haya ocurrido sintiéndome culpable o avergonzado</t>
  </si>
  <si>
    <t>Cuando estoy por exponer algún trabajo en público mis piernas tiemblan antes y en medio de la exposición incluso aunque de una exposición con tranquilidad</t>
  </si>
  <si>
    <t>Cuando realizó algún trabajo o examen importante suelo jugar con mis dedos y mi cabello</t>
  </si>
  <si>
    <t>Julio César Medellín Valdés</t>
  </si>
  <si>
    <t>30-10-1977</t>
  </si>
  <si>
    <t>06:07 pm</t>
  </si>
  <si>
    <t>Tengo miedo en algunas circunstancias</t>
  </si>
  <si>
    <t>Kattya Guadalupe Jasso Solis</t>
  </si>
  <si>
    <t>12-10-1997</t>
  </si>
  <si>
    <t>16-12-2024</t>
  </si>
  <si>
    <t>12:34 pm</t>
  </si>
  <si>
    <t>En la escuela , cuando quiero hacer cambios en mi vida o cuando , este ultimo año cuando antes cuando salgo a fiestas o lugares similares y cuando veo gente ebria</t>
  </si>
  <si>
    <t>Cuando veo gente tomada o agresiva y cuando recibo llamadas muy noche</t>
  </si>
  <si>
    <t>Pienso a futuro o en lo que paso</t>
  </si>
  <si>
    <t>José Abel reyes Navarro</t>
  </si>
  <si>
    <t>04-08-1989</t>
  </si>
  <si>
    <t>18-12-2024</t>
  </si>
  <si>
    <t>06:16 pm</t>
  </si>
  <si>
    <t>Inseguridad a la infidelidad</t>
  </si>
  <si>
    <t>Inseguridad de infidelidad</t>
  </si>
  <si>
    <t>Infidelidad</t>
  </si>
  <si>
    <t>Andrea Guadalupe Padilla resendiz</t>
  </si>
  <si>
    <t>03-03-2004</t>
  </si>
  <si>
    <t>05-02-2025</t>
  </si>
  <si>
    <t>10:21 pm</t>
  </si>
  <si>
    <t>Eder Abel Martinez Hernandez</t>
  </si>
  <si>
    <t>24-03-2000</t>
  </si>
  <si>
    <t>11-02-2025</t>
  </si>
  <si>
    <t>01:55 am</t>
  </si>
  <si>
    <t>Al sentirme presionado para irme al trabajo, siento que se me hace tarde y me entorpezco</t>
  </si>
  <si>
    <t>José Neftali Castañeda Vazquez</t>
  </si>
  <si>
    <t>18-12-1999</t>
  </si>
  <si>
    <t>16-02-2025</t>
  </si>
  <si>
    <t>10:16 pm</t>
  </si>
  <si>
    <t>De vez en cuando pienso en cosas negativas sin haber pasado alguna de ellas</t>
  </si>
  <si>
    <t>Cuando estoy sentado pensando empiezo a temblar</t>
  </si>
  <si>
    <t>En el trabajo suelo olvidar las cosas y me siento torpe en ello</t>
  </si>
  <si>
    <t>Dulce Noemí Bravo Mendoza</t>
  </si>
  <si>
    <t>30-11-1988</t>
  </si>
  <si>
    <t>18-02-2025</t>
  </si>
  <si>
    <t>02:22 pm</t>
  </si>
  <si>
    <t>Cuando pasa algo inesperado, que implica una perdida económica suelo preocuparme mucho</t>
  </si>
  <si>
    <t>Cuando pienso en un futuro catastrófico</t>
  </si>
  <si>
    <t>Cuando pienso en la posibilidad de que me pase algo malo</t>
  </si>
  <si>
    <t>Leonardo Vela Acosta</t>
  </si>
  <si>
    <t>30-06-1998</t>
  </si>
  <si>
    <t>19-03-2025</t>
  </si>
  <si>
    <t>07:32 pm</t>
  </si>
  <si>
    <t>Al esperar mi turno en una fila</t>
  </si>
  <si>
    <t>PATRICIA GABRIELA SAUCEDO CONTRERAS</t>
  </si>
  <si>
    <t>10-11-1979</t>
  </si>
  <si>
    <t>20-03-2025</t>
  </si>
  <si>
    <t>06:22 pm</t>
  </si>
  <si>
    <t>Jesús Adrián Frausto Pérez</t>
  </si>
  <si>
    <t>13-01-1992</t>
  </si>
  <si>
    <t>27-03-2025</t>
  </si>
  <si>
    <t>11:59 pm</t>
  </si>
  <si>
    <t>La resolución y el poder que tiene ellos</t>
  </si>
  <si>
    <t>Pensar en sucesos pasados</t>
  </si>
  <si>
    <t>Situaciones del pasado</t>
  </si>
  <si>
    <t>Jonathan Rios Delfin</t>
  </si>
  <si>
    <t>31-10-1997</t>
  </si>
  <si>
    <t>08-04-2025</t>
  </si>
  <si>
    <t>04:45 pm</t>
  </si>
  <si>
    <t>Recordar mi pasado</t>
  </si>
  <si>
    <t>Isabel Muñoz Gonzalez</t>
  </si>
  <si>
    <t>19-09-2025</t>
  </si>
  <si>
    <t>30-04-2025</t>
  </si>
  <si>
    <t>Cuando debo hacer algo por poco que sea y me miran</t>
  </si>
  <si>
    <t>Al estar con mucha gente</t>
  </si>
  <si>
    <t>Germán Artemio gallegos colunga</t>
  </si>
  <si>
    <t>04-12-1993</t>
  </si>
  <si>
    <t>06-05-2025</t>
  </si>
  <si>
    <t>08:07 pm</t>
  </si>
  <si>
    <t>Al momento de mis cambios de humor al estar triste</t>
  </si>
  <si>
    <t>Después de discusiones o temas pendientes</t>
  </si>
  <si>
    <t>A P M</t>
  </si>
  <si>
    <t>08-09-1995</t>
  </si>
  <si>
    <t>12-05-2025</t>
  </si>
  <si>
    <t>02:00 pm</t>
  </si>
  <si>
    <t>Al estar ante mucha gente</t>
  </si>
  <si>
    <t>Al salir sola a algún lugar</t>
  </si>
  <si>
    <t>Al hablar frente al público</t>
  </si>
  <si>
    <t>Abraham Adair García Martínez</t>
  </si>
  <si>
    <t>11-07-2006</t>
  </si>
  <si>
    <t>13-05-2025</t>
  </si>
  <si>
    <t>09:29 pm</t>
  </si>
  <si>
    <t>Cuando me estreso demasiado</t>
  </si>
  <si>
    <t>MARICELA HERRERA</t>
  </si>
  <si>
    <t>12-11-2025</t>
  </si>
  <si>
    <t>14-05-2025</t>
  </si>
  <si>
    <t>01:45 pm</t>
  </si>
  <si>
    <t>mario antonio zamarripa torres</t>
  </si>
  <si>
    <t>07-07-1995</t>
  </si>
  <si>
    <t>19-05-2025</t>
  </si>
  <si>
    <t>04:50 pm</t>
  </si>
  <si>
    <t>Jonathan Emmanuel Barrera Rojas</t>
  </si>
  <si>
    <t>22-10-2003</t>
  </si>
  <si>
    <t>22-05-2025</t>
  </si>
  <si>
    <t>04:35 pm</t>
  </si>
  <si>
    <t>Carlos Alejandro Olvera flores</t>
  </si>
  <si>
    <t>29-03-1998</t>
  </si>
  <si>
    <t>23-05-2025</t>
  </si>
  <si>
    <t>Al cometer errores y no hacer las cosas bien y problemas con mi pareja ,</t>
  </si>
  <si>
    <t>Al tener muchos problemas se me acumula la tensión y me duele siempre la nuca en la cabeza</t>
  </si>
  <si>
    <t>Cuando platico con otras personas tartamudeo cuando antes no lo hacía</t>
  </si>
  <si>
    <t>Daniel Emiliano Martínez González</t>
  </si>
  <si>
    <t>16-02-2005</t>
  </si>
  <si>
    <t>02-06-2025</t>
  </si>
  <si>
    <t>07:13 pm</t>
  </si>
  <si>
    <t>En reuniones sociales con mucha gente que no conozco o en lugares con muchas personas</t>
  </si>
  <si>
    <t>Cuando conozco a alguien nuevo o cuando me siento observado</t>
  </si>
  <si>
    <t>En caso cualquier lugar y situación siempre estoy moviendo las piernas y las manos</t>
  </si>
  <si>
    <t>Ana luisa González flores</t>
  </si>
  <si>
    <t>19-02-1998</t>
  </si>
  <si>
    <t>06-06-2025</t>
  </si>
  <si>
    <t>11:00 am</t>
  </si>
  <si>
    <t>Cuando salgo y me rodeo de gente me siento insegura con mi físico</t>
  </si>
  <si>
    <t>Karla Andrea Justiniano Tepoz</t>
  </si>
  <si>
    <t>08-11-1996</t>
  </si>
  <si>
    <t>10-06-2025</t>
  </si>
  <si>
    <t>02:14 pm</t>
  </si>
  <si>
    <t>Keren Merab Orihuela Camacho</t>
  </si>
  <si>
    <t>14-03-1994</t>
  </si>
  <si>
    <t>16-06-2025</t>
  </si>
  <si>
    <t>01:11 pm</t>
  </si>
  <si>
    <t>Si presencio un accidente o una pelea</t>
  </si>
  <si>
    <t>Cuando cometo un error en el trabajo</t>
  </si>
  <si>
    <t>Karina Alejandra Morales González</t>
  </si>
  <si>
    <t>23-11-2004</t>
  </si>
  <si>
    <t>04:40 pm</t>
  </si>
  <si>
    <t>María fernanda perez garcia</t>
  </si>
  <si>
    <t>22-11-2000</t>
  </si>
  <si>
    <t>20-06-2025</t>
  </si>
  <si>
    <t>07:01 pm</t>
  </si>
  <si>
    <t>Yesenia Torres García</t>
  </si>
  <si>
    <t>03-07-1983</t>
  </si>
  <si>
    <t>24-06-2025</t>
  </si>
  <si>
    <t>08:02 am</t>
  </si>
  <si>
    <t>Ante mi esposo, me preocupa mucho lo que piensa o siente respecto a mi y eso me pone muy tensa y con cierto miedo de ser yo misma o expresarme libremente</t>
  </si>
  <si>
    <t>Cuando quiero hacer algo para mi o los míos temo decirle a mi esposo pues pienso que no querrá lo mismo y que le moleste que aún así yo lo haga.</t>
  </si>
  <si>
    <t>Laura Patricia Gómez Benítez</t>
  </si>
  <si>
    <t>25-11-1973</t>
  </si>
  <si>
    <t>24-06-2125</t>
  </si>
  <si>
    <t>12:38 pm</t>
  </si>
  <si>
    <t>Tengo vertigo en los lugares altos.</t>
  </si>
  <si>
    <t>Cuando veo un accidente me provoca miedo</t>
  </si>
  <si>
    <t>Cuando cometo un error me siento muy apenada durante algún tiempo</t>
  </si>
  <si>
    <t>Carlos Eduardo Fabian Fuentes</t>
  </si>
  <si>
    <t>02-05-2003</t>
  </si>
  <si>
    <t>11:10 am</t>
  </si>
  <si>
    <t>Relacionarme con personas</t>
  </si>
  <si>
    <t>Problemas con mis compañeros</t>
  </si>
  <si>
    <t>Disficultaded clm algunas personas</t>
  </si>
  <si>
    <t>Luis Donaldo Sandoval López</t>
  </si>
  <si>
    <t>06-02-2025</t>
  </si>
  <si>
    <t>25-07-2025</t>
  </si>
  <si>
    <t>04:42 pm</t>
  </si>
  <si>
    <t>0</t>
  </si>
  <si>
    <t>checked</t>
  </si>
  <si>
    <t>Evelyn Hasoiren Castillo Lira</t>
  </si>
  <si>
    <t>29-04-2004</t>
  </si>
  <si>
    <t>05-08-2025</t>
  </si>
  <si>
    <t>12:47 am</t>
  </si>
  <si>
    <t>Cuando pienso mucho en mi ex pareja</t>
  </si>
  <si>
    <t>El pensar que pude haber hecho mejor las cosas</t>
  </si>
  <si>
    <t>A la hora de dormir me pongo a pensar que pude haber hecho mal</t>
  </si>
  <si>
    <t>Valentina Dalay García Rodríguez</t>
  </si>
  <si>
    <t>14-07-2006</t>
  </si>
  <si>
    <t>06-08-2025</t>
  </si>
  <si>
    <t>11:29 am</t>
  </si>
  <si>
    <t>Cuándo tengo algún evento importante.</t>
  </si>
  <si>
    <t>Cuándo sobrepienso.</t>
  </si>
  <si>
    <t>Cuándo va a haber una reunión social.</t>
  </si>
  <si>
    <t>Alberto de Jesús Ramos Barrientos</t>
  </si>
  <si>
    <t>15-01-1991</t>
  </si>
  <si>
    <t>07-08-2025</t>
  </si>
  <si>
    <t>08:34 pm</t>
  </si>
  <si>
    <t>Al pensar sobre mi futuro y el de mi familia</t>
  </si>
  <si>
    <t>Cuando voy a realizar un proyecto nuevo o alguna actividad nueva para mí</t>
  </si>
  <si>
    <t>Cuando discuto con familiares</t>
  </si>
  <si>
    <t>Jesús Isidro Loera Perez</t>
  </si>
  <si>
    <t>14-05-1999</t>
  </si>
  <si>
    <t>09-08-2025</t>
  </si>
  <si>
    <t>02:17 pm</t>
  </si>
  <si>
    <t>Orlando Gabriel Rocha Valdez</t>
  </si>
  <si>
    <t>01-02-2005</t>
  </si>
  <si>
    <t>13-08-2025</t>
  </si>
  <si>
    <t>05:33 pm</t>
  </si>
  <si>
    <t>Cuando tengo que interactuar con alguna persona</t>
  </si>
  <si>
    <t>Cuando tengo que hablar en público</t>
  </si>
  <si>
    <t>Cuando tengo que hacer algo que me incómoda</t>
  </si>
  <si>
    <t>Analleli Bravo Contreras</t>
  </si>
  <si>
    <t>23-05-1996</t>
  </si>
  <si>
    <t>15-08-2025</t>
  </si>
  <si>
    <t>10:35 pm</t>
  </si>
  <si>
    <t>Normalmente a la hora de dormir tengo muchos pensamientos y esas si habré echo bien algo u lo otro, si soy lo suficientemente buena para algo , casi siempre me menosprecio y me hablo con dureza y por ende no consigo dormir fácilmente, tengo pensamientos catastróficos exagerados</t>
  </si>
  <si>
    <t>El dolor de cabeza creo que es por darle muchas vueltas a las cosas por sobre pensar mucho</t>
  </si>
  <si>
    <t>Cuando no puedo dormir suelo darme vueltas sin sentido tratando de acomodarme para tratar de dormir pero eso mismo hace que me despierte más</t>
  </si>
  <si>
    <t>21-08-2025</t>
  </si>
  <si>
    <t>02:31 pm</t>
  </si>
  <si>
    <t>Cuando me siento observado</t>
  </si>
  <si>
    <t>Cuando alguien me esta presionando a hacer algo</t>
  </si>
  <si>
    <t>Cuando estoy en una conferencia en la universidad</t>
  </si>
  <si>
    <t>Jose Sebastian Guerrero Garcia</t>
  </si>
  <si>
    <t>27-03-2006</t>
  </si>
  <si>
    <t>28-08-2025</t>
  </si>
  <si>
    <t>02:18 pm</t>
  </si>
  <si>
    <t>Esa preocupación de que no sea suficiente saber todo cuando termine la carrera.</t>
  </si>
  <si>
    <t>Tiene que estudiar siempre antes de ver la clase.</t>
  </si>
  <si>
    <t>No recuerdas.</t>
  </si>
  <si>
    <t>ANDREA GUERRERO PEREZ</t>
  </si>
  <si>
    <t>24-08-2001</t>
  </si>
  <si>
    <t>29-08-2025</t>
  </si>
  <si>
    <t>08:35 am</t>
  </si>
  <si>
    <t>CUANDO TENGO QUE PEDIR AYUDA EN EL TRABAJO</t>
  </si>
  <si>
    <t>CUANDO TOMO UNA DECISION PERO SIENTO QUE NO FUE LA CORRECTA</t>
  </si>
  <si>
    <t>Diego Sebastián Galván Rodríguez</t>
  </si>
  <si>
    <t>17-09-2001</t>
  </si>
  <si>
    <t>16-09-2025</t>
  </si>
  <si>
    <t>07:10 pm</t>
  </si>
  <si>
    <t>Salir de casa e ir a la escuela</t>
  </si>
  <si>
    <t>Enfrentar un problema</t>
  </si>
  <si>
    <t>Pintar</t>
  </si>
  <si>
    <t>Carla Samantha Sanchez Calderón</t>
  </si>
  <si>
    <t>14-09-2002</t>
  </si>
  <si>
    <t>22-09-2025</t>
  </si>
  <si>
    <t>09:38 pm</t>
  </si>
  <si>
    <t>Cuando estoy en el gimnasio o cuando voy por la calle, cuando tengo que esperar algo y no se cuál es la conducta y pose predeterminada para esperar .</t>
  </si>
  <si>
    <t>Cuando voy a dormir siento desesperación y respiro muy fuerte.</t>
  </si>
  <si>
    <t>Cuando estoy en la calle se me caen las cosas y no sostengo nada, cuando estoy nerviosa me rasco, juego con mis manos o trueno la mandíbula.</t>
  </si>
  <si>
    <t>Marcelo Iván López Castillo</t>
  </si>
  <si>
    <t>30-10-2001</t>
  </si>
  <si>
    <t>11:45 pm</t>
  </si>
  <si>
    <t>Cuando me encuentro solo y tranquilo llegan los malos pensamientos casi siempre</t>
  </si>
  <si>
    <t>A la hora de estar solo tengo qué calmar mis pensamientos callandolos casi siempre a voz</t>
  </si>
  <si>
    <t>Cuando siento que me ganan los pensamientos me muerdo la boca por dentro o muerdo mis uñas casi siempre</t>
  </si>
  <si>
    <t>Cesar Alejandro Rodriguez Alamillo</t>
  </si>
  <si>
    <t>25-09-2025</t>
  </si>
  <si>
    <t>12:16 am</t>
  </si>
  <si>
    <t>Cuando estoy con mucha gente me pongo muy ansioso,nervioso, aveces me cuesta consentrarme</t>
  </si>
  <si>
    <t>Puedo estar tranquilo e mi casa o acostado y me da como imperbentilacion náuseas dolor de cabeza presión en el pecho dificultades para respirar escalofríos o también me puede dar demasiado frío y mucha sed</t>
  </si>
  <si>
    <t>Por lo regular dejo de comer o como demasiado antes si fumaba pero lo deje de hacer</t>
  </si>
  <si>
    <t>Saraí Márquez García</t>
  </si>
  <si>
    <t>09-02-2001</t>
  </si>
  <si>
    <t>09-10-2025</t>
  </si>
  <si>
    <t>07:26 am</t>
  </si>
  <si>
    <t>Ante decisiones escolares</t>
  </si>
  <si>
    <t>Cuando enfrento una situación incómoda</t>
  </si>
  <si>
    <t>Cuando recibo correcciones en evaluaciones presenciales</t>
  </si>
  <si>
    <t>Dora Elia castillo Alvarez</t>
  </si>
  <si>
    <t>21-03-2025</t>
  </si>
  <si>
    <t>20-10-2025</t>
  </si>
  <si>
    <t>05:30 am</t>
  </si>
  <si>
    <t>Trauma por infidelidad por eso no duermo</t>
  </si>
  <si>
    <t>Por una infidelidad cambiaron muchas cosas</t>
  </si>
  <si>
    <t>Desesperación al no saber cómo sobre llevar esto</t>
  </si>
  <si>
    <t>Ana Cristina Morales Martinez</t>
  </si>
  <si>
    <t>12-05-2005</t>
  </si>
  <si>
    <t>29-10-2025</t>
  </si>
  <si>
    <t>05:36 pm</t>
  </si>
  <si>
    <t>En clase</t>
  </si>
  <si>
    <t>Cuando se trata de mi expareja</t>
  </si>
  <si>
    <t>Carlos Amauri Garcia Peña</t>
  </si>
  <si>
    <t>12-10-2006</t>
  </si>
  <si>
    <t>30-10-2025</t>
  </si>
  <si>
    <t>10:08 am</t>
  </si>
  <si>
    <t>ir a la universidad</t>
  </si>
  <si>
    <t>Angel Daniel García Ruvalcaba</t>
  </si>
  <si>
    <t>22-04-2025</t>
  </si>
  <si>
    <t>01-10-2025</t>
  </si>
  <si>
    <t>03:47 pm</t>
  </si>
  <si>
    <t>Movimientos de pies, manos</t>
  </si>
  <si>
    <t>Isaías Hernández Lara</t>
  </si>
  <si>
    <t>27-10-2004</t>
  </si>
  <si>
    <t>02-11-2025</t>
  </si>
  <si>
    <t>Cuando no consigo dormir</t>
  </si>
  <si>
    <t>Después de pensar mucho en mi futuro o de disfrutar varias cosas en el día</t>
  </si>
  <si>
    <t>Cuando estoy esperando o pensando</t>
  </si>
  <si>
    <t>Yael Surisadday Malacara Oviedo</t>
  </si>
  <si>
    <t>27-06-1995</t>
  </si>
  <si>
    <t>03-11-2025</t>
  </si>
  <si>
    <t>10:38 pm</t>
  </si>
  <si>
    <t>En el trabajo cuando surgen muchos problemas de fallas de equipo a la vez</t>
  </si>
  <si>
    <t>En el trabajo</t>
  </si>
  <si>
    <t>En un partido de fútbol</t>
  </si>
  <si>
    <t>Francisco Andrés García Rangel</t>
  </si>
  <si>
    <t>03-07-2025</t>
  </si>
  <si>
    <t>06-11-2025</t>
  </si>
  <si>
    <t>04:10 pm</t>
  </si>
  <si>
    <t>Cuando en verdad me gusta una mujer sí me pongo nervioso, siento que todo está en mis manos, en mi control, así que si algo sale mal es porque no tomé la decisión correcta</t>
  </si>
  <si>
    <t>Solo me siento muy nervioso con otras personas cuando siento que son demasiado buenas para mí, lo cuál es raro, pasa muy poco</t>
  </si>
  <si>
    <t>Yo fumo mucho regularmente, sin importar la situación. Y normalmente cuando conozco a personas nuevas es en ambientes de fiesta, por lo que fumo y bebo de todas maneras, no necesariamente por la situación</t>
  </si>
  <si>
    <t>10-11-2025</t>
  </si>
  <si>
    <t>En cierre de relación amorosa</t>
  </si>
  <si>
    <t>Sobre pienso las cosas</t>
  </si>
  <si>
    <t>Pensar sobre temas de pareja y futuros personales</t>
  </si>
  <si>
    <t>HABID ASAEL ROJAS NUNCIO</t>
  </si>
  <si>
    <t>13-02-2003</t>
  </si>
  <si>
    <t>11-11-2025</t>
  </si>
  <si>
    <t>09:34 pm</t>
  </si>
  <si>
    <t>Fe Garay Nuñez</t>
  </si>
  <si>
    <t>27-11-1967</t>
  </si>
  <si>
    <t>20-11-2025</t>
  </si>
  <si>
    <t>08:04 am</t>
  </si>
  <si>
    <t>A la hora de dormir es cuando hago como un recuento y encuentro muchas cosas que pienso que hice mal en el día o que pude hacer mejor o que simplemente deje de hacer cosas de provecho</t>
  </si>
  <si>
    <t>Cuando estoy en un lugar que no conozco a nadie me incomoda no estar vestida para la ocasión y me dan nervios</t>
  </si>
  <si>
    <t>Cuando pienso en que tengo que hacer para solucionar algo con mis hijos o mi ex me entra frustración</t>
  </si>
  <si>
    <t>Germán artemio</t>
  </si>
  <si>
    <t>28-11-2025</t>
  </si>
  <si>
    <t>10:39 am</t>
  </si>
  <si>
    <t>Ruptura amorosa</t>
  </si>
  <si>
    <t>Sobre pensamientos</t>
  </si>
  <si>
    <t>Ansiedad</t>
  </si>
  <si>
    <t>Carlos joel Santos nuncio</t>
  </si>
  <si>
    <t>29-09-1991</t>
  </si>
  <si>
    <t>02-01-2026</t>
  </si>
  <si>
    <t>11:10 pm</t>
  </si>
  <si>
    <t>A lo largo de mi dia</t>
  </si>
  <si>
    <t>Discuciones con mi pareja o imaginar q esta con alguien mas</t>
  </si>
  <si>
    <t>Una discucion con mi esposa</t>
  </si>
  <si>
    <t>María de la luz Ruiz Armendáriz</t>
  </si>
  <si>
    <t>01-09-1985</t>
  </si>
  <si>
    <t>16-01-2026</t>
  </si>
  <si>
    <t>01:13 pm</t>
  </si>
  <si>
    <t>cuando estoy trabajando sobre pienso mucho y las lagrimas se me salen solas .</t>
  </si>
  <si>
    <t>en las noches siento mucha ansiedad de estar sola y es cuando mas fumo</t>
  </si>
  <si>
    <t>los miércoles que veo a mi hijo a la hora de irlo a dejar llego a casa con un vacío y empiezo a tomar y fumar</t>
  </si>
  <si>
    <t>Nayelli Monserrat Reyna De Leon</t>
  </si>
  <si>
    <t>26-05-2000</t>
  </si>
  <si>
    <t>18-01-2000</t>
  </si>
  <si>
    <t>05:50 pm</t>
  </si>
  <si>
    <t>Cuando pienso en mi futuro</t>
  </si>
  <si>
    <t>Cuando discuto</t>
  </si>
  <si>
    <t>Julio César Medellín Valdez</t>
  </si>
  <si>
    <t>04-02-2026</t>
  </si>
  <si>
    <t>La mayor parte del tiempo</t>
  </si>
  <si>
    <t>Fatima Elena Rodriguez Orzua</t>
  </si>
  <si>
    <t>05-07-2004</t>
  </si>
  <si>
    <t>06-02-2026</t>
  </si>
  <si>
    <t>12:11 pm</t>
  </si>
  <si>
    <t>Cuando voy a conocer a alguien nuevo</t>
  </si>
  <si>
    <t>Cuando estoy con alguien que no conozco</t>
  </si>
  <si>
    <t>Cuando me van a evaluar en escuela o trabajo</t>
  </si>
  <si>
    <t>Fernando Martinez Sosa</t>
  </si>
  <si>
    <t>30-05-1987</t>
  </si>
  <si>
    <t>11-02-2026</t>
  </si>
  <si>
    <t>06:59 am</t>
  </si>
  <si>
    <t>Juan Angel Farias Galván</t>
  </si>
  <si>
    <t>16-09-2006</t>
  </si>
  <si>
    <t>19-02-2026</t>
  </si>
  <si>
    <t>06:41 pm</t>
  </si>
  <si>
    <t>Me criticó a mí mismo en base a mis errores cuando esos errores afectan a otras personas</t>
  </si>
  <si>
    <t>Me late con rapidez el corazón cuando estoy muy cerca de la chica que me gusta</t>
  </si>
  <si>
    <t>Pocas veces evito salir a reuniones ya que me encuentro agusto en la comodidad de mi casa</t>
  </si>
  <si>
    <t>Marilú Pérez Arellano</t>
  </si>
  <si>
    <t>27-09-2001</t>
  </si>
  <si>
    <t>22-02-2026</t>
  </si>
  <si>
    <t>10:57 am</t>
  </si>
  <si>
    <t>Cuando trabajo siento que la gente me observa y logran notar mi torpeza o bajo rendimiento, me da miedo que sepan que puedo no ser capaz</t>
  </si>
  <si>
    <t>Siempre que tengo que dormir me duele la cabeza, me late el corazón muy fuertes y me preocupa constantemente mi futuro</t>
  </si>
  <si>
    <t>Antes de dormir me pongo a hacer cosas sin finalidad alguna, solo atraso mi hora de sueño</t>
  </si>
  <si>
    <t>Eugenia Alvarado</t>
  </si>
  <si>
    <t>01-05-1982</t>
  </si>
  <si>
    <t>24-02-2026</t>
  </si>
  <si>
    <t>09:24 am</t>
  </si>
  <si>
    <t>el bienestar o salud de mis familiares, el cuidado de ellos, poder ayudar economicamente con algo, poder defenderlos de injusticias o riesgos o peligros</t>
  </si>
  <si>
    <t>En cierts situaciones en mi casa si hay problemas diversos y debo resolverlos en cuanto pueda y en el menot tiempo posible, en el trabajo si me toca cubrir casos de infancias maltratadas, muertes, accidentes, enfermedades de personas que necesitan ayuda</t>
  </si>
  <si>
    <t>no me gusta mucho el contacto físico, con ciertas personas, a menos que tenga confianza o sienta que les agrado.</t>
  </si>
  <si>
    <t>Fernando Azpe Gutiérrez</t>
  </si>
  <si>
    <t>21-02-1998</t>
  </si>
  <si>
    <t>27-02-2026</t>
  </si>
  <si>
    <t>11:08 am</t>
  </si>
  <si>
    <t>Al estar solo y empezar a sobrepensar</t>
  </si>
  <si>
    <t>Cuando me estreso o me dan ataques de ansiedad</t>
  </si>
  <si>
    <t>Cuando estoy solo</t>
  </si>
  <si>
    <t>MARIA MAYELA BARBA DURON</t>
  </si>
  <si>
    <t>31-08-1990</t>
  </si>
  <si>
    <t>02-03-2026</t>
  </si>
  <si>
    <t>10:32 am</t>
  </si>
  <si>
    <t>a la hora de dormir me preocupo la muerte de mis padres y la mia</t>
  </si>
  <si>
    <t>Nancy Lucía Sanmiguel Vazquez</t>
  </si>
  <si>
    <t>03-11-1977</t>
  </si>
  <si>
    <t>01:50 pm</t>
  </si>
  <si>
    <t>Perla Reveca Alanis Rodriguez</t>
  </si>
  <si>
    <t>11-05-2006</t>
  </si>
  <si>
    <t>03-03-2026</t>
  </si>
  <si>
    <t>Siempre pienso cosas negativas aunque diga cosas positivas</t>
  </si>
  <si>
    <t>Cada que me regañan o de plano cuando veo algo que tuvo un impacto en mi</t>
  </si>
  <si>
    <t>Cada que me dicen algo hiriente me pongo a comer demasiado</t>
  </si>
  <si>
    <t>Francisca Torres Guajardo</t>
  </si>
  <si>
    <t>04-10-1955</t>
  </si>
  <si>
    <t>04-03-2026</t>
  </si>
  <si>
    <t>06:28 pm</t>
  </si>
  <si>
    <t>muchas vecesme preocupo por mi familia</t>
  </si>
  <si>
    <t>cuando me preocupo demasiado me duele la cabeza</t>
  </si>
  <si>
    <t>cuandolas cosas estan fuera de mi control si me cuesta estar quieta</t>
  </si>
  <si>
    <t>Javier isaai Mendoza pequeño</t>
  </si>
  <si>
    <t>05-08-2026</t>
  </si>
  <si>
    <t>09-03-2026</t>
  </si>
  <si>
    <t>06:19 am</t>
  </si>
  <si>
    <t>Martin Gomez Gonzalez</t>
  </si>
  <si>
    <t>14-08-1966</t>
  </si>
  <si>
    <t>10:22 pm</t>
  </si>
  <si>
    <t>Rodolfo Ezequiel Acevedo Canisalez</t>
  </si>
  <si>
    <t>04-08-1985</t>
  </si>
  <si>
    <t>13-03-2026</t>
  </si>
  <si>
    <t>02:18 am</t>
  </si>
  <si>
    <t>Cuando mi pareja se aleja de mi recuerdo que intimo por mensajes y imagino mil ecenarios y por mis hijos que me separe por ella</t>
  </si>
  <si>
    <t>Recuerdo que mi pareja mensajeo cosas intimas con otras personas y recuerdo que mis hijos estan sin mi por yo estar con mi pareja</t>
  </si>
  <si>
    <t>Cuando me regresan los recuerdos de infidelidad de mi pareja y la culpa por separarme de la mama de mis hijos y dejarlos solos</t>
  </si>
  <si>
    <t>17-03-2026</t>
  </si>
  <si>
    <t>12:44 pm</t>
  </si>
  <si>
    <t>cuando estoy cerca o rodeada de mucha gente/ después de una salida con alguien/ cuando alguien me interesa</t>
  </si>
  <si>
    <t>cuando estoy en la universidad, estoy estresada o simplemente preocupada, veo algo que me acelera mi ritmo cardiaco, experimento alguna emoción fuerte</t>
  </si>
  <si>
    <t>cuando conozco gente nueva</t>
  </si>
  <si>
    <t>Paulina Hernández Navarro</t>
  </si>
  <si>
    <t>15-09-2002</t>
  </si>
  <si>
    <t>si algo me preocupa tengo pesadillas al dormir</t>
  </si>
  <si>
    <t>tartamudeo o me trabo al intentar decir lo que pienso frente a más personas</t>
  </si>
  <si>
    <t>Alvaro Bolaños Mariano</t>
  </si>
  <si>
    <t>31-01-1999</t>
  </si>
  <si>
    <t>18-03-2026</t>
  </si>
  <si>
    <t>08:32 pm</t>
  </si>
  <si>
    <t>al dormir</t>
  </si>
  <si>
    <t>Gladys Viridiana Meraz Contreras</t>
  </si>
  <si>
    <t>07-01-1995</t>
  </si>
  <si>
    <t>22-03-2026</t>
  </si>
  <si>
    <t>11:44 am</t>
  </si>
  <si>
    <t>1.-Cuando veo que mi jefe se acerca a mi espacio de trabajo, por qué se que va a decir cosas malas. 2.-Cuando veo que mi pareja ve su celular porque le suena mucho. 3.-Cuando me ven mucho el cuerpo otras personas. 4.- cuando siento que están al pendiente de mi. 5.- si tardo mucho mi n el baño del trabajo siento que me van a regañar. 5.- si mi pareja graba cosas y cerca hay una mujer. 6.-si no me invitan a algo mis amigas.</t>
  </si>
  <si>
    <t>1.-si hablo con mi jefe y empieza a decirme cosas violentas yo me tocó una orejita. 2.- generalmente me estreso y me tocó la orejita para tratar de calmarme 3.- repito el teclado qwerty en el orden que deben de ir en los celulares antiguos, cuando estoy sola en lugares estresantes, cuando no sé que hacer, pero todo es para calmarme.</t>
  </si>
  <si>
    <t>Vidal Alberto Cerda Hernandez</t>
  </si>
  <si>
    <t>25-09-1998</t>
  </si>
  <si>
    <t>23-03-2026</t>
  </si>
  <si>
    <t>10:48 am</t>
  </si>
  <si>
    <t>Dinero</t>
  </si>
  <si>
    <t>Ma Concepcion Pitones Almaraz</t>
  </si>
  <si>
    <t>15-08-2026</t>
  </si>
  <si>
    <t>24-03-2026</t>
  </si>
  <si>
    <t>06:26 am</t>
  </si>
  <si>
    <t>Cuando mi Papá esta enfermo.</t>
  </si>
  <si>
    <t>Cuando estoy preocupada</t>
  </si>
  <si>
    <t>Cuando me corrigen mis defectos</t>
  </si>
  <si>
    <t>cesar Rubio Rodriguez</t>
  </si>
  <si>
    <t>06-12-1984</t>
  </si>
  <si>
    <t>25-03-2026</t>
  </si>
  <si>
    <t>10:50 am</t>
  </si>
  <si>
    <t>AL VER UNA PELICULA O SITUACION DONDE INBOLUCRE A UN PADRE Y SU HIJO O ALGUN TEMA FAMILIAR</t>
  </si>
  <si>
    <t>Erika Paola Bustos Morales</t>
  </si>
  <si>
    <t>16-06-2003</t>
  </si>
  <si>
    <t>26-03-2026</t>
  </si>
  <si>
    <t>02:12 pm</t>
  </si>
  <si>
    <t>María del Rosario Moreno Hernández</t>
  </si>
  <si>
    <t>15-05-1965</t>
  </si>
  <si>
    <t>04:02 pm</t>
  </si>
  <si>
    <t>Muchas veces me pongo muy nerviosa cuando tengo supervisiones, aunque siempre me califican de excelente.</t>
  </si>
  <si>
    <t>Francisca MorenoHernández</t>
  </si>
  <si>
    <t>04-10-2026</t>
  </si>
  <si>
    <t>03:49 pm</t>
  </si>
  <si>
    <t>María del Socorro Trejo Martínez</t>
  </si>
  <si>
    <t>23-07-2026</t>
  </si>
  <si>
    <t>01-04-2026</t>
  </si>
  <si>
    <t>No siento esas actitudes</t>
  </si>
  <si>
    <t>Cuando duermo tengo sueño inquieto</t>
  </si>
  <si>
    <t>Miguel Alejandro Sánchez Sifuentes</t>
  </si>
  <si>
    <t>04-02-2008</t>
  </si>
  <si>
    <t>10:25 pm</t>
  </si>
  <si>
    <t>Me doy cuenta que mi apariencia física es desagradable más aparte lo difícil que es conectar con personas me siento menos que otros</t>
  </si>
  <si>
    <t>Generalmente con gente que no conozco me tiemblan los pies y me sudan las manos de los nervios</t>
  </si>
  <si>
    <t>Solo lloro cuando se que nadie se dará cuenta y me siento muy mal</t>
  </si>
  <si>
    <t>Emmanuel Rodríguez Núñez</t>
  </si>
  <si>
    <t>06-02-1997</t>
  </si>
  <si>
    <t>13-04-2026</t>
  </si>
  <si>
    <t>04:27 pm</t>
  </si>
  <si>
    <t>Cuánto tengo que explicar alguna implementación nueva en el trabajo</t>
  </si>
  <si>
    <t>Al viajar a un nuevo lugar</t>
  </si>
  <si>
    <t>Liliana Guadalupe Sánchez Mendoza</t>
  </si>
  <si>
    <t>23-08-2005</t>
  </si>
  <si>
    <t>20-04-2026</t>
  </si>
  <si>
    <t>04:19 pm</t>
  </si>
  <si>
    <t>Me dan miedo las alturas</t>
  </si>
  <si>
    <t>Samantha Verastegui Molina</t>
  </si>
  <si>
    <t>05-01-1989</t>
  </si>
  <si>
    <t>04-05-2026</t>
  </si>
  <si>
    <t>Sintya Vanesa Gómez Ayala</t>
  </si>
  <si>
    <t>02-08-2001</t>
  </si>
  <si>
    <t>09-05-2026</t>
  </si>
  <si>
    <t>02:02 pm</t>
  </si>
  <si>
    <t>Antes de dormir sobrepienso el día de mañana que va pasar o etc .</t>
  </si>
  <si>
    <t>Me tiemblan las manos siempre me han tembrado y soy muy nerviosa</t>
  </si>
  <si>
    <t>Cuando conozco o voy a conocer alguien me pongo nerviosa y no sé qué decir</t>
  </si>
  <si>
    <t>11-05-2026</t>
  </si>
  <si>
    <t>08:03 am</t>
  </si>
  <si>
    <t>Ala hora de dormir pienso mucho las cosas a un que sea cosas pequeñas sobrepienso mucho</t>
  </si>
  <si>
    <t>Me tiemblan las manos siempre y casi siempre me duele el estómago en le trabajo</t>
  </si>
  <si>
    <t>Siempre cuando estoy o me acerco a un círculo de personas me da pena que me rechaze o la otra es que ya no le expresó como antes</t>
  </si>
  <si>
    <t>14-05-2026</t>
  </si>
  <si>
    <t>10:17 am</t>
  </si>
  <si>
    <t>Cuando voy a dormir, normalmente siento inseguridad y no se si estoy haciendo las cosas bien. Cuando no hago bien un trabajo siento que van a pensar en que soy torpe e irresponsable. En el mar siento miedo, me da miedo lo que no veo, pasa lo mismo si apago las luces.</t>
  </si>
  <si>
    <t>cuando no me contesta mi pareja empiezo a sentir todo eso, de palpitaciones, mareo, falta de aire. Cuando enfrento o tengo que hablar de algo que considero importante y no me siento merecedor tambien me siento asi.</t>
  </si>
  <si>
    <t>Cuando bajo en elevador y van muchas personas toco mis manos para calmarme poquito. Toco mi oreja para regularme, si estoy discutiendo o viendo escenas violentas en tv. casi todo el día muevo alguna parte de mi cuerpo en el trabajo porque siento mucha desesperacion, no logro relajarme. Cuando encontré fotos de otras mujeres en el celular de mi pareja, tomé mucho sola. Escribir sobre esto me hace sentir que me falta el aire y empiezo a toser.</t>
  </si>
  <si>
    <t>Itzel Alejandra Rodríguez Gómez</t>
  </si>
  <si>
    <t>08-10-1995</t>
  </si>
  <si>
    <t>18-05-2026</t>
  </si>
  <si>
    <t>11:39 am</t>
  </si>
  <si>
    <t>Me siento insegura ante reuniones cuando está mi esposo cerca pensando que se va a burlar de lo que yo diga aún que no lo haga</t>
  </si>
  <si>
    <t>Cuando pienso en que tengo que buscar trabajo o planeo mi futuro</t>
  </si>
  <si>
    <t>Cuando tengo muchas cosas que hacer me paralizó y no se cómo empezar a hacerlas</t>
  </si>
  <si>
    <t>Maria Fernanda Herrera Rodriguez</t>
  </si>
  <si>
    <t>29-11-2026</t>
  </si>
  <si>
    <t>22-05-2026</t>
  </si>
  <si>
    <t>04:56 pm</t>
  </si>
  <si>
    <t>Aveces mo le tomo tanta importancia a las cosas que no me interesan pero cuando me interesan me pongo muy mal</t>
  </si>
  <si>
    <t>A la hora de estudiar</t>
  </si>
  <si>
    <t>A la hora de dormir</t>
  </si>
  <si>
    <t>alan ignacio muñoz lopez</t>
  </si>
  <si>
    <t>21-01-1985</t>
  </si>
  <si>
    <t>25-05-2026</t>
  </si>
  <si>
    <t>04:30 pm</t>
  </si>
  <si>
    <t>cuando subo cerros</t>
  </si>
  <si>
    <t>Rocio del Rosario Martínez Coronado</t>
  </si>
  <si>
    <t>15-10-2004</t>
  </si>
  <si>
    <t>26-05-2026</t>
  </si>
  <si>
    <t>08:26 pm</t>
  </si>
  <si>
    <t>Generalmente a la hora de probarme ropa me siento muy angustiada o cuando estoy rodeada de mucha gente siento que están hablando de mi, cuando tengo problemas busco solucionarlos de una forma muy rápida y eso hace que me equivoqué y que cometa errores</t>
  </si>
  <si>
    <t>A veces simplemente estoy en la plaza o salgo a algún lugar y mis manos están empapadas en sudor o tengo inclusive muchísima sed o me ahogo muchísimo</t>
  </si>
  <si>
    <t>Laura Patricia Coronado Rodriguez</t>
  </si>
  <si>
    <t>04-09-1990</t>
  </si>
  <si>
    <t>30-05-2026</t>
  </si>
  <si>
    <t>05:08 pm</t>
  </si>
  <si>
    <t>Grettell Maite Coronado Cortes</t>
  </si>
  <si>
    <t>01-11-2011</t>
  </si>
  <si>
    <t>08-06-2026</t>
  </si>
  <si>
    <t>02:37 pm</t>
  </si>
  <si>
    <t>María Esmeralda García Cárdenas</t>
  </si>
  <si>
    <t>21-06-2026</t>
  </si>
  <si>
    <t>12-06-2026</t>
  </si>
  <si>
    <t>07:12 pm</t>
  </si>
  <si>
    <t>Cuándo estoy rodeada de muchas personas tengo miedo de equivocarme al hablar.</t>
  </si>
  <si>
    <t>Rosa Eliana Guerrero Garcia</t>
  </si>
  <si>
    <t>28-12-1991</t>
  </si>
  <si>
    <t>17-06-2026</t>
  </si>
  <si>
    <t>Victor Daniel Nava Monroy</t>
  </si>
  <si>
    <t>11-05-1973</t>
  </si>
  <si>
    <t>19-06-2026</t>
  </si>
  <si>
    <t>Joana Elizabeth Cortes Pinacho</t>
  </si>
  <si>
    <t>05-03-1999</t>
  </si>
  <si>
    <t>20-06-2026</t>
  </si>
  <si>
    <t>Cuando interactúo o comparto espacio con otras personas o pienso en ello</t>
  </si>
  <si>
    <t>Cuando tengo que interactuar con personas</t>
  </si>
  <si>
    <t>Cuando interactúo con las personas y soy observada</t>
  </si>
  <si>
    <t>Datos Paciente ISRA</t>
  </si>
  <si>
    <t>NOMBRE</t>
  </si>
  <si>
    <t>Ansiedad extrema</t>
  </si>
  <si>
    <t>PD</t>
  </si>
  <si>
    <t>Percentil</t>
  </si>
  <si>
    <t>Apreciación</t>
  </si>
  <si>
    <t>Ansiedad 
Severa</t>
  </si>
  <si>
    <t>Cognitiva</t>
  </si>
  <si>
    <t>Fisiológica</t>
  </si>
  <si>
    <t xml:space="preserve">De Ansiedad Moderada a Ansiedad Marcada
</t>
  </si>
  <si>
    <t>Motora</t>
  </si>
  <si>
    <t>TOTAL</t>
  </si>
  <si>
    <t>Evaluación</t>
  </si>
  <si>
    <t>Interpersonal</t>
  </si>
  <si>
    <t>Ausencia de Ansiedad  o Ansiedad Minima</t>
  </si>
  <si>
    <t>Fóbica</t>
  </si>
  <si>
    <t>Cotidiana</t>
  </si>
  <si>
    <t>ANS COGNITIVA</t>
  </si>
  <si>
    <t>ANS FISIOLOGICA</t>
  </si>
  <si>
    <t>ANS MOTORA</t>
  </si>
  <si>
    <t>C</t>
  </si>
  <si>
    <t>Σ</t>
  </si>
  <si>
    <t>F</t>
  </si>
  <si>
    <t>M</t>
  </si>
  <si>
    <t>Total:</t>
  </si>
  <si>
    <t>Mujeres</t>
  </si>
  <si>
    <t>Fisiologica</t>
  </si>
  <si>
    <t>Total</t>
  </si>
  <si>
    <t>Evaluacion</t>
  </si>
  <si>
    <t>Fobica</t>
  </si>
  <si>
    <t>Hombres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</si>
</sst>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i/>
      <sz val="11"/>
      <color rgb="FF3C4043"/>
      <name val="Roboto"/>
    </font>
    <font>
      <sz val="10"/>
      <color theme="1"/>
      <name val="Arial"/>
      <scheme val="minor"/>
    </font>
    <font>
      <sz val="10"/>
      <color theme="1"/>
      <name val="Arial"/>
    </font>
    <font>
      <b/>
      <sz val="10"/>
      <color rgb="FF000000"/>
      <name val="Arial"/>
    </font>
    <font>
      <sz val="10"/>
      <color rgb="FF000000"/>
      <name val="Arial"/>
    </font>
    <font>
      <sz val="10"/>
      <color rgb="FFFFFFFF"/>
      <name val="Arial"/>
    </font>
    <font>
      <b/>
      <sz val="10"/>
      <color theme="1"/>
      <name val="Arial"/>
    </font>
    <font>
      <sz val="10"/>
      <name val="Arial"/>
    </font>
    <font>
      <b/>
      <sz val="12"/>
      <color theme="1"/>
      <name val="Arial"/>
    </font>
    <font>
      <b/>
      <sz val="10"/>
      <color theme="1"/>
      <name val="Arial"/>
    </font>
    <font>
      <b/>
      <sz val="10"/>
      <color rgb="FF0000FF"/>
      <name val="Arial"/>
    </font>
    <font>
      <b/>
      <sz val="9"/>
      <color theme="1"/>
      <name val="Arial"/>
      <scheme val="minor"/>
    </font>
    <font>
      <sz val="9"/>
      <color theme="1"/>
      <name val="Arial"/>
      <scheme val="minor"/>
    </font>
    <font>
      <sz val="9"/>
      <color rgb="FFFFFFFF"/>
      <name val="Arial"/>
    </font>
    <font>
      <b/>
      <sz val="9"/>
      <color theme="1"/>
      <name val="Arial"/>
    </font>
    <font>
      <sz val="9"/>
      <color theme="1"/>
      <name val="Arial"/>
    </font>
  </fonts>
  <fills count="14">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00FFFF"/>
        <bgColor rgb="FF00FFFF"/>
      </patternFill>
    </fill>
    <fill>
      <patternFill patternType="solid">
        <fgColor rgb="FF000000"/>
        <bgColor rgb="FF000000"/>
      </patternFill>
    </fill>
    <fill>
      <patternFill patternType="solid">
        <fgColor rgb="FF000080"/>
        <bgColor rgb="FF000080"/>
      </patternFill>
    </fill>
    <fill>
      <patternFill patternType="solid">
        <fgColor rgb="FFFFFF00"/>
        <bgColor rgb="FFFFFF00"/>
      </patternFill>
    </fill>
    <fill>
      <patternFill patternType="solid">
        <fgColor rgb="FFF6B26B"/>
        <bgColor rgb="FFF6B26B"/>
      </patternFill>
    </fill>
    <fill>
      <patternFill patternType="solid">
        <fgColor rgb="FFFF9900"/>
        <bgColor rgb="FFFF9900"/>
      </patternFill>
    </fill>
    <fill>
      <patternFill patternType="solid">
        <fgColor rgb="FFF4CCCC"/>
        <bgColor rgb="FFF4CCCC"/>
      </patternFill>
    </fill>
    <fill>
      <patternFill patternType="solid">
        <fgColor rgb="FFBF9000"/>
        <bgColor rgb="FFBF9000"/>
      </patternFill>
    </fill>
  </fills>
  <borders count="9">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tted">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80">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horizontal="center"/>
    </xf>
    <xf numFmtId="0" fontId="3" fillId="0" borderId="0" xfId="0" applyFont="1"/>
    <xf numFmtId="0" fontId="3" fillId="0" borderId="0" xfId="0" applyFont="1" applyAlignment="1">
      <alignment horizontal="right"/>
    </xf>
    <xf numFmtId="0" fontId="3" fillId="0" borderId="0" xfId="0" quotePrefix="1" applyFont="1"/>
    <xf numFmtId="0" fontId="3" fillId="3" borderId="0" xfId="0" applyFont="1" applyFill="1" applyAlignment="1">
      <alignment horizontal="right"/>
    </xf>
    <xf numFmtId="0" fontId="3" fillId="3" borderId="0" xfId="0" applyFont="1" applyFill="1"/>
    <xf numFmtId="0" fontId="2" fillId="0" borderId="0" xfId="0" applyFont="1" applyAlignment="1">
      <alignment horizontal="center"/>
    </xf>
    <xf numFmtId="0" fontId="2" fillId="0" borderId="0" xfId="0" quotePrefix="1" applyFont="1"/>
    <xf numFmtId="0" fontId="2" fillId="3" borderId="0" xfId="0" quotePrefix="1" applyFont="1" applyFill="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3" fillId="0" borderId="1" xfId="0" applyFont="1" applyBorder="1"/>
    <xf numFmtId="0" fontId="7" fillId="3" borderId="0" xfId="0" applyFont="1" applyFill="1" applyAlignment="1">
      <alignment horizontal="center"/>
    </xf>
    <xf numFmtId="0" fontId="3" fillId="2" borderId="0" xfId="0" applyFont="1" applyFill="1"/>
    <xf numFmtId="0" fontId="3" fillId="2" borderId="5" xfId="0" applyFont="1" applyFill="1" applyBorder="1"/>
    <xf numFmtId="0" fontId="7" fillId="4" borderId="2" xfId="0" applyFont="1" applyFill="1" applyBorder="1" applyAlignment="1">
      <alignment horizontal="center"/>
    </xf>
    <xf numFmtId="0" fontId="7" fillId="4" borderId="3" xfId="0" applyFont="1" applyFill="1" applyBorder="1" applyAlignment="1">
      <alignment horizontal="center"/>
    </xf>
    <xf numFmtId="0" fontId="3" fillId="2" borderId="0" xfId="0" applyFont="1" applyFill="1" applyAlignment="1">
      <alignment horizontal="center" vertical="center"/>
    </xf>
    <xf numFmtId="0" fontId="6" fillId="0" borderId="0" xfId="0" applyFont="1" applyAlignment="1">
      <alignment horizontal="center" vertical="center"/>
    </xf>
    <xf numFmtId="0" fontId="4" fillId="0" borderId="6" xfId="0" applyFont="1" applyBorder="1" applyAlignment="1">
      <alignment horizontal="center" vertical="center"/>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3" fillId="0" borderId="0" xfId="0" applyFont="1" applyAlignment="1">
      <alignment horizontal="center" vertical="center"/>
    </xf>
    <xf numFmtId="0" fontId="3" fillId="2" borderId="5" xfId="0" applyFont="1" applyFill="1" applyBorder="1" applyAlignment="1">
      <alignment horizontal="center" vertical="center"/>
    </xf>
    <xf numFmtId="1" fontId="9" fillId="4" borderId="2" xfId="0" applyNumberFormat="1"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0" xfId="0" applyFont="1" applyFill="1" applyAlignment="1">
      <alignment horizontal="center" vertical="center" wrapText="1"/>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7" fillId="0" borderId="6" xfId="0" applyFont="1" applyBorder="1" applyAlignment="1">
      <alignment horizontal="center" vertical="center"/>
    </xf>
    <xf numFmtId="0" fontId="11" fillId="0" borderId="0" xfId="0" applyFont="1" applyAlignment="1">
      <alignment horizontal="center" vertical="center"/>
    </xf>
    <xf numFmtId="0" fontId="12" fillId="6" borderId="0" xfId="0" applyFont="1" applyFill="1" applyAlignment="1">
      <alignment horizontal="center" vertical="center"/>
    </xf>
    <xf numFmtId="0" fontId="13" fillId="0" borderId="0" xfId="0" applyFont="1" applyAlignment="1">
      <alignment horizontal="center" vertical="center"/>
    </xf>
    <xf numFmtId="0" fontId="14" fillId="7" borderId="0" xfId="0" applyFont="1" applyFill="1" applyAlignment="1">
      <alignment horizontal="center" vertical="center"/>
    </xf>
    <xf numFmtId="0" fontId="14" fillId="8" borderId="6"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3" xfId="0" applyFont="1" applyFill="1" applyBorder="1" applyAlignment="1">
      <alignment horizontal="center" vertical="center"/>
    </xf>
    <xf numFmtId="0" fontId="15" fillId="9" borderId="6" xfId="0" applyFont="1" applyFill="1" applyBorder="1" applyAlignment="1">
      <alignment horizontal="center" vertical="center"/>
    </xf>
    <xf numFmtId="0" fontId="3" fillId="4" borderId="6" xfId="0" applyFont="1" applyFill="1" applyBorder="1" applyAlignment="1">
      <alignment horizontal="center" vertical="center"/>
    </xf>
    <xf numFmtId="0" fontId="12" fillId="0" borderId="0" xfId="0" applyFont="1" applyAlignment="1">
      <alignment horizontal="center" vertical="center"/>
    </xf>
    <xf numFmtId="0" fontId="16" fillId="0" borderId="7" xfId="0" applyFont="1" applyBorder="1" applyAlignment="1">
      <alignment horizontal="center" vertical="center"/>
    </xf>
    <xf numFmtId="0" fontId="16" fillId="7" borderId="7" xfId="0" applyFont="1" applyFill="1" applyBorder="1" applyAlignment="1">
      <alignment horizontal="center" vertical="center"/>
    </xf>
    <xf numFmtId="0" fontId="16" fillId="7" borderId="1" xfId="0" applyFont="1" applyFill="1" applyBorder="1" applyAlignment="1">
      <alignment horizontal="center" vertical="center"/>
    </xf>
    <xf numFmtId="0" fontId="16" fillId="9" borderId="8"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1" xfId="0" applyFont="1" applyFill="1" applyBorder="1" applyAlignment="1">
      <alignment horizontal="center" vertical="center"/>
    </xf>
    <xf numFmtId="0" fontId="3" fillId="5" borderId="6" xfId="0" applyFont="1" applyFill="1" applyBorder="1" applyAlignment="1">
      <alignment horizontal="center" vertical="center"/>
    </xf>
    <xf numFmtId="0" fontId="14" fillId="8" borderId="8" xfId="0" applyFont="1" applyFill="1" applyBorder="1" applyAlignment="1">
      <alignment horizontal="center" vertical="center"/>
    </xf>
    <xf numFmtId="0" fontId="16" fillId="0" borderId="1" xfId="0" applyFont="1" applyBorder="1" applyAlignment="1">
      <alignment horizontal="center" vertical="center"/>
    </xf>
    <xf numFmtId="0" fontId="16" fillId="2" borderId="0" xfId="0" applyFont="1" applyFill="1" applyAlignment="1">
      <alignment horizontal="center" vertical="center"/>
    </xf>
    <xf numFmtId="0" fontId="15" fillId="2" borderId="0" xfId="0" applyFont="1" applyFill="1" applyAlignment="1">
      <alignment horizontal="center" vertical="center"/>
    </xf>
    <xf numFmtId="0" fontId="16" fillId="10" borderId="8" xfId="0" applyFont="1" applyFill="1" applyBorder="1" applyAlignment="1">
      <alignment horizontal="center" vertical="center"/>
    </xf>
    <xf numFmtId="0" fontId="16" fillId="0" borderId="0" xfId="0" applyFont="1" applyAlignment="1">
      <alignment horizontal="center" vertical="center"/>
    </xf>
    <xf numFmtId="0" fontId="16" fillId="11" borderId="8" xfId="0" applyFont="1" applyFill="1" applyBorder="1" applyAlignment="1">
      <alignment horizontal="center" vertical="center"/>
    </xf>
    <xf numFmtId="0" fontId="2" fillId="12" borderId="0" xfId="0" applyFont="1" applyFill="1" applyAlignment="1">
      <alignment horizontal="center" vertical="center"/>
    </xf>
    <xf numFmtId="0" fontId="2" fillId="6" borderId="0" xfId="0" applyFont="1" applyFill="1" applyAlignment="1">
      <alignment horizontal="center" vertical="center"/>
    </xf>
    <xf numFmtId="0" fontId="2" fillId="0" borderId="0" xfId="0" applyFont="1" applyAlignment="1">
      <alignment horizontal="center" vertical="center"/>
    </xf>
    <xf numFmtId="0" fontId="2" fillId="13" borderId="0" xfId="0" applyFont="1" applyFill="1" applyAlignment="1">
      <alignment horizontal="center" vertical="center"/>
    </xf>
    <xf numFmtId="0" fontId="3" fillId="2" borderId="0" xfId="0" applyFont="1" applyFill="1" applyAlignment="1">
      <alignment horizontal="center" vertical="center"/>
    </xf>
    <xf numFmtId="0" fontId="8" fillId="0" borderId="5" xfId="0" applyFont="1" applyBorder="1"/>
    <xf numFmtId="0" fontId="3" fillId="2" borderId="0" xfId="0" applyFont="1" applyFill="1" applyAlignment="1">
      <alignment horizontal="center" vertical="center" wrapText="1"/>
    </xf>
    <xf numFmtId="0" fontId="0" fillId="0" borderId="0" xfId="0"/>
    <xf numFmtId="0" fontId="10" fillId="5" borderId="3" xfId="0" applyFont="1" applyFill="1" applyBorder="1" applyAlignment="1">
      <alignment horizontal="center" vertical="center" wrapText="1"/>
    </xf>
    <xf numFmtId="0" fontId="8" fillId="0" borderId="3" xfId="0" applyFont="1" applyBorder="1"/>
    <xf numFmtId="0" fontId="8" fillId="0" borderId="4" xfId="0" applyFont="1" applyBorder="1"/>
    <xf numFmtId="0" fontId="10" fillId="4" borderId="3" xfId="0" applyFont="1" applyFill="1" applyBorder="1" applyAlignment="1">
      <alignment horizontal="center" vertical="center" wrapText="1"/>
    </xf>
    <xf numFmtId="0" fontId="7" fillId="3" borderId="2" xfId="0" applyFont="1" applyFill="1" applyBorder="1" applyAlignment="1">
      <alignment horizontal="center"/>
    </xf>
    <xf numFmtId="0" fontId="7" fillId="3" borderId="0" xfId="0" applyFont="1" applyFill="1" applyAlignment="1">
      <alignment horizontal="left"/>
    </xf>
    <xf numFmtId="0" fontId="7" fillId="3" borderId="0" xfId="0" applyFont="1" applyFill="1" applyAlignment="1">
      <alignment horizontal="center" vertical="center"/>
    </xf>
    <xf numFmtId="0" fontId="3" fillId="2" borderId="0" xfId="0" applyFont="1" applyFill="1" applyAlignment="1">
      <alignment vertical="center"/>
    </xf>
    <xf numFmtId="0" fontId="7" fillId="4" borderId="3" xfId="0" applyFont="1" applyFill="1" applyBorder="1" applyAlignment="1">
      <alignment horizontal="center"/>
    </xf>
    <xf numFmtId="0" fontId="12" fillId="6" borderId="0" xfId="0" applyFont="1" applyFill="1" applyAlignment="1">
      <alignment horizontal="center" vertical="center"/>
    </xf>
    <xf numFmtId="0" fontId="2" fillId="12" borderId="0" xfId="0" applyFont="1" applyFill="1" applyAlignment="1">
      <alignment horizontal="center" vertical="center"/>
    </xf>
    <xf numFmtId="0" fontId="2"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5.4621848739495799E-2"/>
          <c:y val="6.3793103448275865E-2"/>
          <c:w val="0.91926770708283312"/>
          <c:h val="0.84482758620689657"/>
        </c:manualLayout>
      </c:layout>
      <c:lineChart>
        <c:grouping val="standard"/>
        <c:varyColors val="0"/>
        <c:ser>
          <c:idx val="0"/>
          <c:order val="0"/>
          <c:spPr>
            <a:ln w="38100" cmpd="sng">
              <a:solidFill>
                <a:srgbClr val="FF0000">
                  <a:alpha val="100000"/>
                </a:srgbClr>
              </a:solidFill>
              <a:prstDash val="solid"/>
            </a:ln>
          </c:spPr>
          <c:marker>
            <c:symbol val="circle"/>
            <c:size val="10"/>
            <c:spPr>
              <a:solidFill>
                <a:srgbClr val="FF0000">
                  <a:alpha val="100000"/>
                </a:srgbClr>
              </a:solidFill>
              <a:ln cmpd="sng">
                <a:solidFill>
                  <a:srgbClr val="FF0000">
                    <a:alpha val="100000"/>
                  </a:srgbClr>
                </a:solidFill>
              </a:ln>
            </c:spPr>
          </c:marker>
          <c:cat>
            <c:strRef>
              <c:f>ISRA!$F$7:$F$15</c:f>
              <c:strCache>
                <c:ptCount val="9"/>
                <c:pt idx="0">
                  <c:v>Cognitiva</c:v>
                </c:pt>
                <c:pt idx="1">
                  <c:v>Fisiológica</c:v>
                </c:pt>
                <c:pt idx="2">
                  <c:v>Motora</c:v>
                </c:pt>
                <c:pt idx="3">
                  <c:v>TOTAL</c:v>
                </c:pt>
                <c:pt idx="5">
                  <c:v>Evaluación</c:v>
                </c:pt>
                <c:pt idx="6">
                  <c:v>Interpersonal</c:v>
                </c:pt>
                <c:pt idx="7">
                  <c:v>Fóbica</c:v>
                </c:pt>
                <c:pt idx="8">
                  <c:v>Cotidiana</c:v>
                </c:pt>
              </c:strCache>
            </c:strRef>
          </c:cat>
          <c:val>
            <c:numRef>
              <c:f>ISRA!$H$7:$H$15</c:f>
              <c:numCache>
                <c:formatCode>General</c:formatCode>
                <c:ptCount val="9"/>
                <c:pt idx="0">
                  <c:v>45</c:v>
                </c:pt>
                <c:pt idx="1">
                  <c:v>80</c:v>
                </c:pt>
                <c:pt idx="2">
                  <c:v>95</c:v>
                </c:pt>
                <c:pt idx="3">
                  <c:v>80</c:v>
                </c:pt>
                <c:pt idx="5">
                  <c:v>55</c:v>
                </c:pt>
                <c:pt idx="6">
                  <c:v>25</c:v>
                </c:pt>
                <c:pt idx="7">
                  <c:v>85</c:v>
                </c:pt>
                <c:pt idx="8">
                  <c:v>80</c:v>
                </c:pt>
              </c:numCache>
            </c:numRef>
          </c:val>
          <c:smooth val="0"/>
          <c:extLst>
            <c:ext xmlns:c16="http://schemas.microsoft.com/office/drawing/2014/chart" uri="{C3380CC4-5D6E-409C-BE32-E72D297353CC}">
              <c16:uniqueId val="{00000000-8B7F-496B-8FA8-3165423F88A6}"/>
            </c:ext>
          </c:extLst>
        </c:ser>
        <c:dLbls>
          <c:showLegendKey val="0"/>
          <c:showVal val="0"/>
          <c:showCatName val="0"/>
          <c:showSerName val="0"/>
          <c:showPercent val="0"/>
          <c:showBubbleSize val="0"/>
        </c:dLbls>
        <c:marker val="1"/>
        <c:smooth val="0"/>
        <c:axId val="1816697329"/>
        <c:axId val="1672368691"/>
      </c:lineChart>
      <c:catAx>
        <c:axId val="181669732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cross"/>
        <c:minorTickMark val="none"/>
        <c:tickLblPos val="nextTo"/>
        <c:txPr>
          <a:bodyPr/>
          <a:lstStyle/>
          <a:p>
            <a:pPr lvl="0">
              <a:defRPr b="1">
                <a:solidFill>
                  <a:srgbClr val="000000"/>
                </a:solidFill>
                <a:latin typeface="sans-serif"/>
              </a:defRPr>
            </a:pPr>
            <a:endParaRPr lang="es-MX"/>
          </a:p>
        </c:txPr>
        <c:crossAx val="1672368691"/>
        <c:crosses val="autoZero"/>
        <c:auto val="1"/>
        <c:lblAlgn val="ctr"/>
        <c:lblOffset val="100"/>
        <c:noMultiLvlLbl val="1"/>
      </c:catAx>
      <c:valAx>
        <c:axId val="1672368691"/>
        <c:scaling>
          <c:orientation val="minMax"/>
          <c:max val="100"/>
        </c:scaling>
        <c:delete val="0"/>
        <c:axPos val="l"/>
        <c:title>
          <c:tx>
            <c:rich>
              <a:bodyPr/>
              <a:lstStyle/>
              <a:p>
                <a:pPr lvl="0">
                  <a:defRPr b="0">
                    <a:solidFill>
                      <a:srgbClr val="000000"/>
                    </a:solidFill>
                    <a:latin typeface="+mn-lt"/>
                  </a:defRPr>
                </a:pPr>
                <a:endParaRPr/>
              </a:p>
            </c:rich>
          </c:tx>
          <c:overlay val="0"/>
        </c:title>
        <c:numFmt formatCode="General" sourceLinked="1"/>
        <c:majorTickMark val="cross"/>
        <c:minorTickMark val="cross"/>
        <c:tickLblPos val="nextTo"/>
        <c:spPr>
          <a:ln/>
        </c:spPr>
        <c:txPr>
          <a:bodyPr/>
          <a:lstStyle/>
          <a:p>
            <a:pPr lvl="0">
              <a:defRPr b="1">
                <a:solidFill>
                  <a:srgbClr val="000000"/>
                </a:solidFill>
                <a:latin typeface="+mn-lt"/>
              </a:defRPr>
            </a:pPr>
            <a:endParaRPr lang="es-MX"/>
          </a:p>
        </c:txPr>
        <c:crossAx val="1816697329"/>
        <c:crosses val="autoZero"/>
        <c:crossBetween val="between"/>
        <c:majorUnit val="10"/>
        <c:minorUnit val="5"/>
      </c:valAx>
    </c:plotArea>
    <c:legend>
      <c:legendPos val="r"/>
      <c:overlay val="0"/>
      <c:txPr>
        <a:bodyPr/>
        <a:lstStyle/>
        <a:p>
          <a:pPr lvl="0">
            <a:defRPr b="0">
              <a:solidFill>
                <a:srgbClr val="1A1A1A"/>
              </a:solidFill>
              <a:latin typeface="+mn-lt"/>
            </a:defRPr>
          </a:pPr>
          <a:endParaRPr lang="es-MX"/>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15</xdr:col>
      <xdr:colOff>1114425</xdr:colOff>
      <xdr:row>2</xdr:row>
      <xdr:rowOff>142875</xdr:rowOff>
    </xdr:from>
    <xdr:ext cx="6696075" cy="4191000"/>
    <xdr:graphicFrame macro="">
      <xdr:nvGraphicFramePr>
        <xdr:cNvPr id="2" name="Chart 1" title="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A993"/>
  <sheetViews>
    <sheetView tabSelected="1" topLeftCell="IM1" workbookViewId="0">
      <pane ySplit="1" topLeftCell="A2" activePane="bottomLeft" state="frozen"/>
      <selection pane="bottomLeft" activeCell="IY1" sqref="IY1"/>
    </sheetView>
  </sheetViews>
  <sheetFormatPr baseColWidth="10" defaultColWidth="12.6640625" defaultRowHeight="15.75" customHeight="1" x14ac:dyDescent="0.25"/>
  <cols>
    <col min="2" max="2" width="33.77734375" customWidth="1"/>
  </cols>
  <sheetData>
    <row r="1" spans="1:261" ht="25.2" customHeight="1" x14ac:dyDescent="0.3">
      <c r="A1" s="1" t="s">
        <v>0</v>
      </c>
      <c r="B1" s="2" t="s">
        <v>1</v>
      </c>
      <c r="C1" s="2" t="s">
        <v>2</v>
      </c>
      <c r="D1" s="2" t="s">
        <v>3</v>
      </c>
      <c r="E1" s="2" t="s">
        <v>4</v>
      </c>
      <c r="F1" s="2" t="s">
        <v>5</v>
      </c>
      <c r="G1" s="2"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2" t="s">
        <v>259</v>
      </c>
      <c r="JA1" s="2" t="s">
        <v>0</v>
      </c>
    </row>
    <row r="2" spans="1:261" ht="13.2" x14ac:dyDescent="0.25">
      <c r="A2" s="4">
        <v>1</v>
      </c>
      <c r="B2" s="5" t="s">
        <v>260</v>
      </c>
      <c r="C2" s="2" t="s">
        <v>261</v>
      </c>
      <c r="D2" s="5" t="s">
        <v>262</v>
      </c>
      <c r="E2" s="6">
        <v>33</v>
      </c>
      <c r="F2" s="7" t="s">
        <v>263</v>
      </c>
      <c r="G2" s="7" t="s">
        <v>264</v>
      </c>
      <c r="H2" s="5" t="s">
        <v>265</v>
      </c>
      <c r="I2" s="8">
        <v>0</v>
      </c>
      <c r="J2" s="8">
        <v>1</v>
      </c>
      <c r="K2" s="8">
        <v>2</v>
      </c>
      <c r="L2" s="8">
        <v>0</v>
      </c>
      <c r="M2" s="8">
        <v>1</v>
      </c>
      <c r="N2" s="8">
        <v>2</v>
      </c>
      <c r="O2" s="8">
        <v>1</v>
      </c>
      <c r="P2" s="8">
        <v>0</v>
      </c>
      <c r="Q2" s="8">
        <v>0</v>
      </c>
      <c r="R2" s="8">
        <v>0</v>
      </c>
      <c r="S2" s="8">
        <v>0</v>
      </c>
      <c r="T2" s="8">
        <v>0</v>
      </c>
      <c r="U2" s="8">
        <v>0</v>
      </c>
      <c r="V2" s="8">
        <v>0</v>
      </c>
      <c r="W2" s="8">
        <v>0</v>
      </c>
      <c r="X2" s="8">
        <v>0</v>
      </c>
      <c r="Y2" s="8">
        <v>0</v>
      </c>
      <c r="Z2" s="8">
        <v>0</v>
      </c>
      <c r="AA2" s="8">
        <v>0</v>
      </c>
      <c r="AB2" s="8">
        <v>0</v>
      </c>
      <c r="AC2" s="8">
        <v>0</v>
      </c>
      <c r="AD2" s="8">
        <v>0</v>
      </c>
      <c r="AE2" s="8">
        <v>2</v>
      </c>
      <c r="AF2" s="8">
        <v>0</v>
      </c>
      <c r="AG2" s="8">
        <v>0</v>
      </c>
      <c r="AH2" s="8">
        <v>0</v>
      </c>
      <c r="AI2" s="8">
        <v>1</v>
      </c>
      <c r="AJ2" s="8">
        <v>0</v>
      </c>
      <c r="AK2" s="8">
        <v>1</v>
      </c>
      <c r="AL2" s="8">
        <v>0</v>
      </c>
      <c r="AM2" s="8">
        <v>0</v>
      </c>
      <c r="AN2" s="8">
        <v>0</v>
      </c>
      <c r="AO2" s="8">
        <v>1</v>
      </c>
      <c r="AP2" s="8">
        <v>0</v>
      </c>
      <c r="AQ2" s="8">
        <v>0</v>
      </c>
      <c r="AR2" s="8">
        <v>0</v>
      </c>
      <c r="AS2" s="8">
        <v>0</v>
      </c>
      <c r="AT2" s="8">
        <v>0</v>
      </c>
      <c r="AU2" s="8">
        <v>0</v>
      </c>
      <c r="AV2" s="8">
        <v>0</v>
      </c>
      <c r="AW2" s="8">
        <v>1</v>
      </c>
      <c r="AX2" s="8">
        <v>0</v>
      </c>
      <c r="AY2" s="8">
        <v>0</v>
      </c>
      <c r="AZ2" s="8">
        <v>1</v>
      </c>
      <c r="BA2" s="8">
        <v>0</v>
      </c>
      <c r="BB2" s="8">
        <v>1</v>
      </c>
      <c r="BC2" s="8">
        <v>0</v>
      </c>
      <c r="BD2" s="8">
        <v>1</v>
      </c>
      <c r="BE2" s="8">
        <v>0</v>
      </c>
      <c r="BF2" s="8">
        <v>0</v>
      </c>
      <c r="BG2" s="8">
        <v>0</v>
      </c>
      <c r="BH2" s="8">
        <v>0</v>
      </c>
      <c r="BI2" s="8">
        <v>0</v>
      </c>
      <c r="BJ2" s="8">
        <v>0</v>
      </c>
      <c r="BK2" s="8">
        <v>0</v>
      </c>
      <c r="BL2" s="8">
        <v>0</v>
      </c>
      <c r="BM2" s="9" t="s">
        <v>266</v>
      </c>
      <c r="BN2" s="8">
        <v>1</v>
      </c>
      <c r="BO2" s="8">
        <v>0</v>
      </c>
      <c r="BP2" s="8">
        <v>1</v>
      </c>
      <c r="BQ2" s="8">
        <v>0</v>
      </c>
      <c r="BR2" s="8">
        <v>1</v>
      </c>
      <c r="BS2" s="8">
        <v>0</v>
      </c>
      <c r="BT2" s="8">
        <v>0</v>
      </c>
      <c r="BU2" s="6">
        <v>0</v>
      </c>
      <c r="BV2" s="6">
        <v>0</v>
      </c>
      <c r="BW2" s="6">
        <v>0</v>
      </c>
      <c r="BX2" s="6">
        <v>0</v>
      </c>
      <c r="BY2" s="6">
        <v>0</v>
      </c>
      <c r="BZ2" s="6">
        <v>0</v>
      </c>
      <c r="CA2" s="6">
        <v>0</v>
      </c>
      <c r="CB2" s="6">
        <v>0</v>
      </c>
      <c r="CC2" s="6">
        <v>0</v>
      </c>
      <c r="CD2" s="6">
        <v>0</v>
      </c>
      <c r="CE2" s="6">
        <v>0</v>
      </c>
      <c r="CF2" s="6">
        <v>0</v>
      </c>
      <c r="CG2" s="6">
        <v>0</v>
      </c>
      <c r="CH2" s="6">
        <v>0</v>
      </c>
      <c r="CI2" s="6">
        <v>1</v>
      </c>
      <c r="CJ2" s="6">
        <v>0</v>
      </c>
      <c r="CK2" s="6">
        <v>0</v>
      </c>
      <c r="CL2" s="6">
        <v>2</v>
      </c>
      <c r="CM2" s="6">
        <v>0</v>
      </c>
      <c r="CN2" s="6">
        <v>0</v>
      </c>
      <c r="CO2" s="6">
        <v>0</v>
      </c>
      <c r="CP2" s="6">
        <v>0</v>
      </c>
      <c r="CQ2" s="6">
        <v>1</v>
      </c>
      <c r="CR2" s="6">
        <v>0</v>
      </c>
      <c r="CS2" s="6">
        <v>0</v>
      </c>
      <c r="CT2" s="6">
        <v>0</v>
      </c>
      <c r="CU2" s="6">
        <v>0</v>
      </c>
      <c r="CV2" s="6">
        <v>0</v>
      </c>
      <c r="CW2" s="6">
        <v>0</v>
      </c>
      <c r="CX2" s="6">
        <v>0</v>
      </c>
      <c r="CY2" s="6">
        <v>0</v>
      </c>
      <c r="CZ2" s="6">
        <v>0</v>
      </c>
      <c r="DA2" s="6">
        <v>0</v>
      </c>
      <c r="DB2" s="6">
        <v>0</v>
      </c>
      <c r="DC2" s="6">
        <v>0</v>
      </c>
      <c r="DD2" s="6">
        <v>0</v>
      </c>
      <c r="DE2" s="6">
        <v>0</v>
      </c>
      <c r="DF2" s="6">
        <v>0</v>
      </c>
      <c r="DG2" s="6">
        <v>1</v>
      </c>
      <c r="DH2" s="6">
        <v>0</v>
      </c>
      <c r="DI2" s="6">
        <v>1</v>
      </c>
      <c r="DJ2" s="6">
        <v>0</v>
      </c>
      <c r="DK2" s="6">
        <v>0</v>
      </c>
      <c r="DL2" s="6">
        <v>0</v>
      </c>
      <c r="DM2" s="6">
        <v>0</v>
      </c>
      <c r="DN2" s="6">
        <v>0</v>
      </c>
      <c r="DO2" s="6">
        <v>0</v>
      </c>
      <c r="DP2" s="6">
        <v>1</v>
      </c>
      <c r="DQ2" s="6">
        <v>0</v>
      </c>
      <c r="DR2" s="6">
        <v>0</v>
      </c>
      <c r="DS2" s="6">
        <v>0</v>
      </c>
      <c r="DT2" s="6">
        <v>0</v>
      </c>
      <c r="DU2" s="6">
        <v>0</v>
      </c>
      <c r="DV2" s="6">
        <v>0</v>
      </c>
      <c r="DW2" s="6">
        <v>0</v>
      </c>
      <c r="DX2" s="6">
        <v>1</v>
      </c>
      <c r="DY2" s="6">
        <v>0</v>
      </c>
      <c r="DZ2" s="6">
        <v>0</v>
      </c>
      <c r="EA2" s="6">
        <v>0</v>
      </c>
      <c r="EB2" s="6">
        <v>0</v>
      </c>
      <c r="EC2" s="6">
        <v>0</v>
      </c>
      <c r="ED2" s="6">
        <v>0</v>
      </c>
      <c r="EE2" s="6">
        <v>0</v>
      </c>
      <c r="EF2" s="6">
        <v>0</v>
      </c>
      <c r="EG2" s="6">
        <v>0</v>
      </c>
      <c r="EH2" s="6">
        <v>0</v>
      </c>
      <c r="EI2" s="6">
        <v>0</v>
      </c>
      <c r="EJ2" s="6">
        <v>0</v>
      </c>
      <c r="EK2" s="6">
        <v>1</v>
      </c>
      <c r="EL2" s="6">
        <v>0</v>
      </c>
      <c r="EM2" s="6">
        <v>0</v>
      </c>
      <c r="EN2" s="6">
        <v>0</v>
      </c>
      <c r="EO2" s="6">
        <v>0</v>
      </c>
      <c r="EP2" s="6">
        <v>0</v>
      </c>
      <c r="EQ2" s="6">
        <v>0</v>
      </c>
      <c r="ER2" s="6">
        <v>0</v>
      </c>
      <c r="ES2" s="6">
        <v>0</v>
      </c>
      <c r="ET2" s="6">
        <v>0</v>
      </c>
      <c r="EU2" s="6">
        <v>0</v>
      </c>
      <c r="EV2" s="6">
        <v>0</v>
      </c>
      <c r="EW2" s="6">
        <v>1</v>
      </c>
      <c r="EX2" s="6">
        <v>1</v>
      </c>
      <c r="EY2" s="6">
        <v>0</v>
      </c>
      <c r="EZ2" s="6">
        <v>0</v>
      </c>
      <c r="FA2" s="6">
        <v>0</v>
      </c>
      <c r="FB2" s="6">
        <v>0</v>
      </c>
      <c r="FC2" s="6">
        <v>0</v>
      </c>
      <c r="FD2" s="6">
        <v>1</v>
      </c>
      <c r="FE2" s="6">
        <v>2</v>
      </c>
      <c r="FF2" s="6">
        <v>0</v>
      </c>
      <c r="FG2" s="6">
        <v>0</v>
      </c>
      <c r="FH2" s="6">
        <v>0</v>
      </c>
      <c r="FI2" s="6">
        <v>0</v>
      </c>
      <c r="FJ2" s="6">
        <v>0</v>
      </c>
      <c r="FK2" s="6">
        <v>1</v>
      </c>
      <c r="FL2" s="6">
        <v>1</v>
      </c>
      <c r="FM2" s="6">
        <v>0</v>
      </c>
      <c r="FN2" s="6">
        <v>0</v>
      </c>
      <c r="FO2" s="6">
        <v>0</v>
      </c>
      <c r="FP2" s="6">
        <v>0</v>
      </c>
      <c r="FQ2" s="6">
        <v>0</v>
      </c>
      <c r="FR2" s="6">
        <v>0</v>
      </c>
      <c r="FS2" s="6">
        <v>0</v>
      </c>
      <c r="FT2" s="6">
        <v>0</v>
      </c>
      <c r="FU2" s="6">
        <v>1</v>
      </c>
      <c r="FV2" s="6">
        <v>0</v>
      </c>
      <c r="FW2" s="6">
        <v>2</v>
      </c>
      <c r="FX2" s="6">
        <v>0</v>
      </c>
      <c r="FY2" s="6">
        <v>0</v>
      </c>
      <c r="FZ2" s="6">
        <v>0</v>
      </c>
      <c r="GA2" s="6">
        <v>0</v>
      </c>
      <c r="GB2" s="6">
        <v>0</v>
      </c>
      <c r="GC2" s="5" t="s">
        <v>267</v>
      </c>
      <c r="GD2" s="6">
        <v>0</v>
      </c>
      <c r="GE2" s="6">
        <v>0</v>
      </c>
      <c r="GF2" s="6">
        <v>0</v>
      </c>
      <c r="GG2" s="6">
        <v>1</v>
      </c>
      <c r="GH2" s="6">
        <v>2</v>
      </c>
      <c r="GI2" s="6">
        <v>0</v>
      </c>
      <c r="GJ2" s="6">
        <v>0</v>
      </c>
      <c r="GK2" s="6">
        <v>0</v>
      </c>
      <c r="GL2" s="6">
        <v>0</v>
      </c>
      <c r="GM2" s="2">
        <v>0</v>
      </c>
      <c r="GN2" s="8">
        <v>2</v>
      </c>
      <c r="GO2" s="8">
        <v>1</v>
      </c>
      <c r="GP2" s="8">
        <v>0</v>
      </c>
      <c r="GQ2" s="8">
        <v>0</v>
      </c>
      <c r="GR2" s="8">
        <v>0</v>
      </c>
      <c r="GS2" s="8">
        <v>0</v>
      </c>
      <c r="GT2" s="8">
        <v>0</v>
      </c>
      <c r="GU2" s="8">
        <v>1</v>
      </c>
      <c r="GV2" s="8">
        <v>0</v>
      </c>
      <c r="GW2" s="8">
        <v>0</v>
      </c>
      <c r="GX2" s="8">
        <v>0</v>
      </c>
      <c r="GY2" s="8">
        <v>0</v>
      </c>
      <c r="GZ2" s="8">
        <v>0</v>
      </c>
      <c r="HA2" s="8">
        <v>0</v>
      </c>
      <c r="HB2" s="8">
        <v>0</v>
      </c>
      <c r="HC2" s="8">
        <v>1</v>
      </c>
      <c r="HD2" s="8">
        <v>0</v>
      </c>
      <c r="HE2" s="8">
        <v>0</v>
      </c>
      <c r="HF2" s="8">
        <v>0</v>
      </c>
      <c r="HG2" s="8">
        <v>0</v>
      </c>
      <c r="HH2" s="8">
        <v>0</v>
      </c>
      <c r="HI2" s="8">
        <v>1</v>
      </c>
      <c r="HJ2" s="8">
        <v>0</v>
      </c>
      <c r="HK2" s="8">
        <v>0</v>
      </c>
      <c r="HL2" s="8">
        <v>0</v>
      </c>
      <c r="HM2" s="8">
        <v>0</v>
      </c>
      <c r="HN2" s="8">
        <v>0</v>
      </c>
      <c r="HO2" s="8">
        <v>0</v>
      </c>
      <c r="HP2" s="8">
        <v>0</v>
      </c>
      <c r="HQ2" s="8">
        <v>0</v>
      </c>
      <c r="HR2" s="8">
        <v>0</v>
      </c>
      <c r="HS2" s="8">
        <v>0</v>
      </c>
      <c r="HT2" s="8">
        <v>0</v>
      </c>
      <c r="HU2" s="8">
        <v>0</v>
      </c>
      <c r="HV2" s="8">
        <v>1</v>
      </c>
      <c r="HW2" s="8">
        <v>1</v>
      </c>
      <c r="HX2" s="8">
        <v>0</v>
      </c>
      <c r="HY2" s="8">
        <v>0</v>
      </c>
      <c r="HZ2" s="8">
        <v>0</v>
      </c>
      <c r="IA2" s="8">
        <v>0</v>
      </c>
      <c r="IB2" s="8">
        <v>1</v>
      </c>
      <c r="IC2" s="8">
        <v>0</v>
      </c>
      <c r="ID2" s="8">
        <v>0</v>
      </c>
      <c r="IE2" s="8">
        <v>0</v>
      </c>
      <c r="IF2" s="8">
        <v>0</v>
      </c>
      <c r="IG2" s="8">
        <v>0</v>
      </c>
      <c r="IH2" s="8">
        <v>0</v>
      </c>
      <c r="II2" s="8">
        <v>1</v>
      </c>
      <c r="IJ2" s="8">
        <v>0</v>
      </c>
      <c r="IK2" s="8">
        <v>0</v>
      </c>
      <c r="IL2" s="8">
        <v>0</v>
      </c>
      <c r="IM2" s="8">
        <v>1</v>
      </c>
      <c r="IN2" s="8">
        <v>0</v>
      </c>
      <c r="IO2" s="8">
        <v>0</v>
      </c>
      <c r="IP2" s="8">
        <v>1</v>
      </c>
      <c r="IQ2" s="8">
        <v>0</v>
      </c>
      <c r="IR2" s="3"/>
      <c r="IS2" s="3">
        <v>0</v>
      </c>
      <c r="IT2" s="3">
        <v>0</v>
      </c>
      <c r="IU2" s="3">
        <v>0</v>
      </c>
      <c r="IV2" s="3">
        <v>0</v>
      </c>
      <c r="IW2" s="3">
        <v>0</v>
      </c>
      <c r="IX2" s="3">
        <v>0</v>
      </c>
      <c r="IY2" s="3">
        <v>0</v>
      </c>
      <c r="IZ2" s="2" t="s">
        <v>268</v>
      </c>
      <c r="JA2" s="2"/>
    </row>
    <row r="3" spans="1:261" ht="13.2" x14ac:dyDescent="0.25">
      <c r="A3" s="10">
        <v>2</v>
      </c>
      <c r="B3" s="2" t="s">
        <v>269</v>
      </c>
      <c r="C3" s="2" t="s">
        <v>261</v>
      </c>
      <c r="D3" s="2" t="s">
        <v>270</v>
      </c>
      <c r="E3" s="2">
        <v>17</v>
      </c>
      <c r="F3" s="11" t="s">
        <v>271</v>
      </c>
      <c r="G3" s="11" t="s">
        <v>272</v>
      </c>
      <c r="H3" s="2" t="s">
        <v>273</v>
      </c>
      <c r="I3" s="3">
        <v>2</v>
      </c>
      <c r="J3" s="3">
        <v>2</v>
      </c>
      <c r="K3" s="3">
        <v>2</v>
      </c>
      <c r="L3" s="3">
        <v>3</v>
      </c>
      <c r="M3" s="3">
        <v>3</v>
      </c>
      <c r="N3" s="3">
        <v>1</v>
      </c>
      <c r="O3" s="3">
        <v>1</v>
      </c>
      <c r="P3" s="3">
        <v>0</v>
      </c>
      <c r="Q3" s="3">
        <v>1</v>
      </c>
      <c r="R3" s="3">
        <v>0</v>
      </c>
      <c r="S3" s="3">
        <v>0</v>
      </c>
      <c r="T3" s="3">
        <v>0</v>
      </c>
      <c r="U3" s="3">
        <v>0</v>
      </c>
      <c r="V3" s="3">
        <v>0</v>
      </c>
      <c r="W3" s="3">
        <v>0</v>
      </c>
      <c r="X3" s="3">
        <v>0</v>
      </c>
      <c r="Y3" s="3">
        <v>0</v>
      </c>
      <c r="Z3" s="3">
        <v>0</v>
      </c>
      <c r="AA3" s="3">
        <v>0</v>
      </c>
      <c r="AB3" s="3">
        <v>0</v>
      </c>
      <c r="AC3" s="3">
        <v>0</v>
      </c>
      <c r="AD3" s="3">
        <v>0</v>
      </c>
      <c r="AE3" s="3">
        <v>0</v>
      </c>
      <c r="AF3" s="3">
        <v>0</v>
      </c>
      <c r="AG3" s="3">
        <v>0</v>
      </c>
      <c r="AH3" s="3">
        <v>0</v>
      </c>
      <c r="AI3" s="3">
        <v>1</v>
      </c>
      <c r="AJ3" s="3">
        <v>0</v>
      </c>
      <c r="AK3" s="3">
        <v>1</v>
      </c>
      <c r="AL3" s="3">
        <v>1</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1</v>
      </c>
      <c r="BK3" s="3">
        <v>0</v>
      </c>
      <c r="BL3" s="3">
        <v>0</v>
      </c>
      <c r="BM3" s="3" t="s">
        <v>274</v>
      </c>
      <c r="BN3" s="3">
        <v>0</v>
      </c>
      <c r="BO3" s="3">
        <v>0</v>
      </c>
      <c r="BP3" s="3">
        <v>0</v>
      </c>
      <c r="BQ3" s="3">
        <v>0</v>
      </c>
      <c r="BR3" s="3">
        <v>0</v>
      </c>
      <c r="BS3" s="3">
        <v>0</v>
      </c>
      <c r="BT3" s="3">
        <v>0</v>
      </c>
      <c r="BU3" s="2">
        <v>0</v>
      </c>
      <c r="BV3" s="2">
        <v>0</v>
      </c>
      <c r="BW3" s="2">
        <v>0</v>
      </c>
      <c r="BX3" s="2">
        <v>0</v>
      </c>
      <c r="BY3" s="2">
        <v>0</v>
      </c>
      <c r="BZ3" s="2">
        <v>0</v>
      </c>
      <c r="CA3" s="2">
        <v>0</v>
      </c>
      <c r="CB3" s="2">
        <v>0</v>
      </c>
      <c r="CC3" s="2">
        <v>0</v>
      </c>
      <c r="CD3" s="2">
        <v>0</v>
      </c>
      <c r="CE3" s="2">
        <v>0</v>
      </c>
      <c r="CF3" s="2">
        <v>0</v>
      </c>
      <c r="CG3" s="2">
        <v>0</v>
      </c>
      <c r="CH3" s="2">
        <v>0</v>
      </c>
      <c r="CI3" s="2">
        <v>0</v>
      </c>
      <c r="CJ3" s="2">
        <v>0</v>
      </c>
      <c r="CK3" s="2">
        <v>0</v>
      </c>
      <c r="CL3" s="2">
        <v>0</v>
      </c>
      <c r="CM3" s="2">
        <v>0</v>
      </c>
      <c r="CN3" s="2">
        <v>0</v>
      </c>
      <c r="CO3" s="2">
        <v>0</v>
      </c>
      <c r="CP3" s="2">
        <v>0</v>
      </c>
      <c r="CQ3" s="2">
        <v>0</v>
      </c>
      <c r="CR3" s="2">
        <v>0</v>
      </c>
      <c r="CS3" s="2">
        <v>0</v>
      </c>
      <c r="CT3" s="2">
        <v>0</v>
      </c>
      <c r="CU3" s="2">
        <v>0</v>
      </c>
      <c r="CV3" s="2">
        <v>0</v>
      </c>
      <c r="CW3" s="2">
        <v>0</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0</v>
      </c>
      <c r="EE3" s="2">
        <v>0</v>
      </c>
      <c r="EF3" s="2">
        <v>0</v>
      </c>
      <c r="EG3" s="2">
        <v>0</v>
      </c>
      <c r="EH3" s="2">
        <v>0</v>
      </c>
      <c r="EI3" s="2">
        <v>0</v>
      </c>
      <c r="EJ3" s="2">
        <v>0</v>
      </c>
      <c r="EK3" s="2">
        <v>0</v>
      </c>
      <c r="EL3" s="2">
        <v>0</v>
      </c>
      <c r="EM3" s="2">
        <v>0</v>
      </c>
      <c r="EN3" s="2">
        <v>0</v>
      </c>
      <c r="EO3" s="2">
        <v>0</v>
      </c>
      <c r="EP3" s="2">
        <v>0</v>
      </c>
      <c r="EQ3" s="2">
        <v>0</v>
      </c>
      <c r="ER3" s="2">
        <v>0</v>
      </c>
      <c r="ES3" s="2">
        <v>0</v>
      </c>
      <c r="ET3" s="2">
        <v>0</v>
      </c>
      <c r="EU3" s="2">
        <v>0</v>
      </c>
      <c r="EV3" s="2">
        <v>0</v>
      </c>
      <c r="EW3" s="2">
        <v>0</v>
      </c>
      <c r="EX3" s="2">
        <v>0</v>
      </c>
      <c r="EY3" s="2">
        <v>0</v>
      </c>
      <c r="EZ3" s="2">
        <v>0</v>
      </c>
      <c r="FA3" s="2">
        <v>0</v>
      </c>
      <c r="FB3" s="2">
        <v>0</v>
      </c>
      <c r="FC3" s="2">
        <v>0</v>
      </c>
      <c r="FD3" s="2">
        <v>0</v>
      </c>
      <c r="FE3" s="2">
        <v>0</v>
      </c>
      <c r="FF3" s="2">
        <v>0</v>
      </c>
      <c r="FG3" s="2">
        <v>0</v>
      </c>
      <c r="FH3" s="2">
        <v>0</v>
      </c>
      <c r="FI3" s="2">
        <v>0</v>
      </c>
      <c r="FJ3" s="2">
        <v>0</v>
      </c>
      <c r="FK3" s="2">
        <v>0</v>
      </c>
      <c r="FL3" s="2">
        <v>0</v>
      </c>
      <c r="FM3" s="2">
        <v>0</v>
      </c>
      <c r="FN3" s="2">
        <v>0</v>
      </c>
      <c r="FO3" s="2">
        <v>0</v>
      </c>
      <c r="FP3" s="2">
        <v>0</v>
      </c>
      <c r="FQ3" s="2">
        <v>0</v>
      </c>
      <c r="FR3" s="2">
        <v>0</v>
      </c>
      <c r="FS3" s="2">
        <v>0</v>
      </c>
      <c r="FT3" s="2">
        <v>0</v>
      </c>
      <c r="FU3" s="2">
        <v>0</v>
      </c>
      <c r="FV3" s="2">
        <v>0</v>
      </c>
      <c r="FW3" s="2">
        <v>0</v>
      </c>
      <c r="FX3" s="2">
        <v>0</v>
      </c>
      <c r="FY3" s="2">
        <v>0</v>
      </c>
      <c r="FZ3" s="2">
        <v>0</v>
      </c>
      <c r="GA3" s="2">
        <v>0</v>
      </c>
      <c r="GB3" s="2">
        <v>0</v>
      </c>
      <c r="GC3" s="2" t="s">
        <v>274</v>
      </c>
      <c r="GD3" s="2">
        <v>0</v>
      </c>
      <c r="GE3" s="2">
        <v>0</v>
      </c>
      <c r="GF3" s="2">
        <v>0</v>
      </c>
      <c r="GG3" s="2">
        <v>0</v>
      </c>
      <c r="GH3" s="2">
        <v>0</v>
      </c>
      <c r="GI3" s="2">
        <v>0</v>
      </c>
      <c r="GJ3" s="2">
        <v>0</v>
      </c>
      <c r="GK3" s="2">
        <v>0</v>
      </c>
      <c r="GL3" s="2">
        <v>0</v>
      </c>
      <c r="GM3" s="2">
        <v>0</v>
      </c>
      <c r="GN3" s="3">
        <v>1</v>
      </c>
      <c r="GO3" s="3">
        <v>1</v>
      </c>
      <c r="GP3" s="3">
        <v>0</v>
      </c>
      <c r="GQ3" s="3">
        <v>1</v>
      </c>
      <c r="GR3" s="3">
        <v>1</v>
      </c>
      <c r="GS3" s="3">
        <v>0</v>
      </c>
      <c r="GT3" s="3">
        <v>3</v>
      </c>
      <c r="GU3" s="3">
        <v>0</v>
      </c>
      <c r="GV3" s="3">
        <v>2</v>
      </c>
      <c r="GW3" s="3">
        <v>0</v>
      </c>
      <c r="GX3" s="3">
        <v>0</v>
      </c>
      <c r="GY3" s="3">
        <v>0</v>
      </c>
      <c r="GZ3" s="3">
        <v>1</v>
      </c>
      <c r="HA3" s="3">
        <v>0</v>
      </c>
      <c r="HB3" s="3">
        <v>0</v>
      </c>
      <c r="HC3" s="3">
        <v>0</v>
      </c>
      <c r="HD3" s="3">
        <v>0</v>
      </c>
      <c r="HE3" s="3">
        <v>0</v>
      </c>
      <c r="HF3" s="3">
        <v>0</v>
      </c>
      <c r="HG3" s="3">
        <v>0</v>
      </c>
      <c r="HH3" s="3">
        <v>0</v>
      </c>
      <c r="HI3" s="3">
        <v>0</v>
      </c>
      <c r="HJ3" s="3">
        <v>0</v>
      </c>
      <c r="HK3" s="3">
        <v>0</v>
      </c>
      <c r="HL3" s="3">
        <v>0</v>
      </c>
      <c r="HM3" s="3">
        <v>0</v>
      </c>
      <c r="HN3" s="3">
        <v>0</v>
      </c>
      <c r="HO3" s="3">
        <v>1</v>
      </c>
      <c r="HP3" s="3">
        <v>0</v>
      </c>
      <c r="HQ3" s="3">
        <v>1</v>
      </c>
      <c r="HR3" s="3">
        <v>0</v>
      </c>
      <c r="HS3" s="3">
        <v>0</v>
      </c>
      <c r="HT3" s="3">
        <v>0</v>
      </c>
      <c r="HU3" s="3">
        <v>0</v>
      </c>
      <c r="HV3" s="3">
        <v>0</v>
      </c>
      <c r="HW3" s="3">
        <v>0</v>
      </c>
      <c r="HX3" s="3">
        <v>0</v>
      </c>
      <c r="HY3" s="3">
        <v>0</v>
      </c>
      <c r="HZ3" s="3">
        <v>0</v>
      </c>
      <c r="IA3" s="3">
        <v>2</v>
      </c>
      <c r="IB3" s="3">
        <v>0</v>
      </c>
      <c r="IC3" s="3">
        <v>0</v>
      </c>
      <c r="ID3" s="3">
        <v>0</v>
      </c>
      <c r="IE3" s="3">
        <v>0</v>
      </c>
      <c r="IF3" s="3">
        <v>0</v>
      </c>
      <c r="IG3" s="3">
        <v>0</v>
      </c>
      <c r="IH3" s="3">
        <v>0</v>
      </c>
      <c r="II3" s="3">
        <v>0</v>
      </c>
      <c r="IJ3" s="3">
        <v>0</v>
      </c>
      <c r="IK3" s="3">
        <v>0</v>
      </c>
      <c r="IL3" s="3">
        <v>0</v>
      </c>
      <c r="IM3" s="3">
        <v>0</v>
      </c>
      <c r="IN3" s="3">
        <v>0</v>
      </c>
      <c r="IO3" s="3">
        <v>0</v>
      </c>
      <c r="IP3" s="3">
        <v>0</v>
      </c>
      <c r="IQ3" s="3">
        <v>2</v>
      </c>
      <c r="IR3" s="3" t="s">
        <v>274</v>
      </c>
      <c r="IS3" s="3">
        <v>0</v>
      </c>
      <c r="IT3" s="3">
        <v>0</v>
      </c>
      <c r="IU3" s="3">
        <v>0</v>
      </c>
      <c r="IV3" s="3">
        <v>0</v>
      </c>
      <c r="IW3" s="3">
        <v>0</v>
      </c>
      <c r="IX3" s="3">
        <v>0</v>
      </c>
      <c r="IY3" s="3">
        <v>0</v>
      </c>
      <c r="IZ3" s="2" t="s">
        <v>268</v>
      </c>
      <c r="JA3" s="2"/>
    </row>
    <row r="4" spans="1:261" ht="13.2" x14ac:dyDescent="0.25">
      <c r="A4" s="10">
        <v>4</v>
      </c>
      <c r="B4" s="2" t="s">
        <v>275</v>
      </c>
      <c r="C4" s="2" t="s">
        <v>276</v>
      </c>
      <c r="D4" s="2" t="s">
        <v>270</v>
      </c>
      <c r="E4" s="2">
        <v>21</v>
      </c>
      <c r="F4" s="11" t="s">
        <v>277</v>
      </c>
      <c r="G4" s="11" t="s">
        <v>278</v>
      </c>
      <c r="H4" s="2" t="s">
        <v>279</v>
      </c>
      <c r="I4" s="3">
        <v>3</v>
      </c>
      <c r="J4" s="3">
        <v>3</v>
      </c>
      <c r="K4" s="3">
        <v>2</v>
      </c>
      <c r="L4" s="3">
        <v>3</v>
      </c>
      <c r="M4" s="3">
        <v>3</v>
      </c>
      <c r="N4" s="3">
        <v>2</v>
      </c>
      <c r="O4" s="3">
        <v>2</v>
      </c>
      <c r="P4" s="3">
        <v>1</v>
      </c>
      <c r="Q4" s="3">
        <v>2</v>
      </c>
      <c r="R4" s="3">
        <v>1</v>
      </c>
      <c r="S4" s="3">
        <v>0</v>
      </c>
      <c r="T4" s="3">
        <v>0</v>
      </c>
      <c r="U4" s="3">
        <v>0</v>
      </c>
      <c r="V4" s="3">
        <v>1</v>
      </c>
      <c r="W4" s="3">
        <v>2</v>
      </c>
      <c r="X4" s="3">
        <v>0</v>
      </c>
      <c r="Y4" s="3">
        <v>2</v>
      </c>
      <c r="Z4" s="3">
        <v>2</v>
      </c>
      <c r="AA4" s="3">
        <v>2</v>
      </c>
      <c r="AB4" s="3">
        <v>2</v>
      </c>
      <c r="AC4" s="3">
        <v>2</v>
      </c>
      <c r="AD4" s="3">
        <v>2</v>
      </c>
      <c r="AE4" s="3">
        <v>3</v>
      </c>
      <c r="AF4" s="3">
        <v>0</v>
      </c>
      <c r="AG4" s="3">
        <v>1</v>
      </c>
      <c r="AH4" s="3">
        <v>1</v>
      </c>
      <c r="AI4" s="3">
        <v>2</v>
      </c>
      <c r="AJ4" s="3">
        <v>3</v>
      </c>
      <c r="AK4" s="3">
        <v>2</v>
      </c>
      <c r="AL4" s="3">
        <v>2</v>
      </c>
      <c r="AM4" s="3">
        <v>3</v>
      </c>
      <c r="AN4" s="3">
        <v>1</v>
      </c>
      <c r="AO4" s="3">
        <v>3</v>
      </c>
      <c r="AP4" s="3">
        <v>2</v>
      </c>
      <c r="AQ4" s="3">
        <v>1</v>
      </c>
      <c r="AR4" s="3">
        <v>3</v>
      </c>
      <c r="AS4" s="3">
        <v>2</v>
      </c>
      <c r="AT4" s="3">
        <v>1</v>
      </c>
      <c r="AU4" s="3">
        <v>1</v>
      </c>
      <c r="AV4" s="3">
        <v>1</v>
      </c>
      <c r="AW4" s="3">
        <v>2</v>
      </c>
      <c r="AX4" s="3">
        <v>2</v>
      </c>
      <c r="AY4" s="3">
        <v>2</v>
      </c>
      <c r="AZ4" s="3">
        <v>3</v>
      </c>
      <c r="BA4" s="3">
        <v>1</v>
      </c>
      <c r="BB4" s="3">
        <v>2</v>
      </c>
      <c r="BC4" s="3">
        <v>1</v>
      </c>
      <c r="BD4" s="3">
        <v>2</v>
      </c>
      <c r="BE4" s="3">
        <v>2</v>
      </c>
      <c r="BF4" s="3">
        <v>2</v>
      </c>
      <c r="BG4" s="3">
        <v>1</v>
      </c>
      <c r="BH4" s="3">
        <v>2</v>
      </c>
      <c r="BI4" s="3">
        <v>2</v>
      </c>
      <c r="BJ4" s="3">
        <v>2</v>
      </c>
      <c r="BK4" s="3">
        <v>2</v>
      </c>
      <c r="BL4" s="3">
        <v>1</v>
      </c>
      <c r="BM4" s="3" t="s">
        <v>274</v>
      </c>
      <c r="BN4" s="3" t="s">
        <v>274</v>
      </c>
      <c r="BO4" s="3" t="s">
        <v>274</v>
      </c>
      <c r="BP4" s="3" t="s">
        <v>274</v>
      </c>
      <c r="BQ4" s="3" t="s">
        <v>274</v>
      </c>
      <c r="BR4" s="3" t="s">
        <v>274</v>
      </c>
      <c r="BS4" s="3" t="s">
        <v>274</v>
      </c>
      <c r="BT4" s="3" t="s">
        <v>274</v>
      </c>
      <c r="BU4" s="2">
        <v>3</v>
      </c>
      <c r="BV4" s="2">
        <v>2</v>
      </c>
      <c r="BW4" s="2">
        <v>3</v>
      </c>
      <c r="BX4" s="2">
        <v>3</v>
      </c>
      <c r="BY4" s="2">
        <v>2</v>
      </c>
      <c r="BZ4" s="2">
        <v>1</v>
      </c>
      <c r="CA4" s="2">
        <v>3</v>
      </c>
      <c r="CB4" s="2">
        <v>2</v>
      </c>
      <c r="CC4" s="2">
        <v>2</v>
      </c>
      <c r="CD4" s="2">
        <v>2</v>
      </c>
      <c r="CE4" s="2">
        <v>1</v>
      </c>
      <c r="CF4" s="2">
        <v>2</v>
      </c>
      <c r="CG4" s="2">
        <v>2</v>
      </c>
      <c r="CH4" s="2">
        <v>2</v>
      </c>
      <c r="CI4" s="2">
        <v>2</v>
      </c>
      <c r="CJ4" s="2">
        <v>3</v>
      </c>
      <c r="CK4" s="2">
        <v>3</v>
      </c>
      <c r="CL4" s="2">
        <v>4</v>
      </c>
      <c r="CM4" s="2">
        <v>3</v>
      </c>
      <c r="CN4" s="2">
        <v>3</v>
      </c>
      <c r="CO4" s="2">
        <v>2</v>
      </c>
      <c r="CP4" s="2">
        <v>2</v>
      </c>
      <c r="CQ4" s="2">
        <v>3</v>
      </c>
      <c r="CR4" s="2">
        <v>2</v>
      </c>
      <c r="CS4" s="2">
        <v>2</v>
      </c>
      <c r="CT4" s="2">
        <v>2</v>
      </c>
      <c r="CU4" s="2">
        <v>1</v>
      </c>
      <c r="CV4" s="2">
        <v>2</v>
      </c>
      <c r="CW4" s="2">
        <v>2</v>
      </c>
      <c r="CX4" s="2">
        <v>2</v>
      </c>
      <c r="CY4" s="2">
        <v>1</v>
      </c>
      <c r="CZ4" s="2">
        <v>1</v>
      </c>
      <c r="DA4" s="2">
        <v>2</v>
      </c>
      <c r="DB4" s="2">
        <v>1</v>
      </c>
      <c r="DC4" s="2">
        <v>1</v>
      </c>
      <c r="DD4" s="2">
        <v>1</v>
      </c>
      <c r="DE4" s="2">
        <v>2</v>
      </c>
      <c r="DF4" s="2">
        <v>2</v>
      </c>
      <c r="DG4" s="2">
        <v>3</v>
      </c>
      <c r="DH4" s="2">
        <v>3</v>
      </c>
      <c r="DI4" s="2">
        <v>2</v>
      </c>
      <c r="DJ4" s="2">
        <v>2</v>
      </c>
      <c r="DK4" s="2">
        <v>2</v>
      </c>
      <c r="DL4" s="2">
        <v>2</v>
      </c>
      <c r="DM4" s="2">
        <v>3</v>
      </c>
      <c r="DN4" s="2">
        <v>2</v>
      </c>
      <c r="DO4" s="2">
        <v>1</v>
      </c>
      <c r="DP4" s="2">
        <v>2</v>
      </c>
      <c r="DQ4" s="2">
        <v>3</v>
      </c>
      <c r="DR4" s="2">
        <v>2</v>
      </c>
      <c r="DS4" s="2">
        <v>4</v>
      </c>
      <c r="DT4" s="2">
        <v>4</v>
      </c>
      <c r="DU4" s="2">
        <v>3</v>
      </c>
      <c r="DV4" s="2">
        <v>1</v>
      </c>
      <c r="DW4" s="2">
        <v>3</v>
      </c>
      <c r="DX4" s="2">
        <v>2</v>
      </c>
      <c r="DY4" s="2">
        <v>2</v>
      </c>
      <c r="DZ4" s="2">
        <v>2</v>
      </c>
      <c r="EA4" s="2">
        <v>2</v>
      </c>
      <c r="EB4" s="2">
        <v>3</v>
      </c>
      <c r="EC4" s="2">
        <v>2</v>
      </c>
      <c r="ED4" s="2">
        <v>2</v>
      </c>
      <c r="EE4" s="2">
        <v>3</v>
      </c>
      <c r="EF4" s="2">
        <v>2</v>
      </c>
      <c r="EG4" s="2">
        <v>2</v>
      </c>
      <c r="EH4" s="2">
        <v>1</v>
      </c>
      <c r="EI4" s="2">
        <v>3</v>
      </c>
      <c r="EJ4" s="2">
        <v>3</v>
      </c>
      <c r="EK4" s="2">
        <v>3</v>
      </c>
      <c r="EL4" s="2">
        <v>3</v>
      </c>
      <c r="EM4" s="2">
        <v>3</v>
      </c>
      <c r="EN4" s="2">
        <v>3</v>
      </c>
      <c r="EO4" s="2">
        <v>3</v>
      </c>
      <c r="EP4" s="2">
        <v>3</v>
      </c>
      <c r="EQ4" s="2">
        <v>2</v>
      </c>
      <c r="ER4" s="2">
        <v>1</v>
      </c>
      <c r="ES4" s="2">
        <v>1</v>
      </c>
      <c r="ET4" s="2">
        <v>1</v>
      </c>
      <c r="EU4" s="2">
        <v>3</v>
      </c>
      <c r="EV4" s="2">
        <v>3</v>
      </c>
      <c r="EW4" s="2">
        <v>3</v>
      </c>
      <c r="EX4" s="2">
        <v>3</v>
      </c>
      <c r="EY4" s="2">
        <v>3</v>
      </c>
      <c r="EZ4" s="2">
        <v>2</v>
      </c>
      <c r="FA4" s="2">
        <v>2</v>
      </c>
      <c r="FB4" s="2">
        <v>2</v>
      </c>
      <c r="FC4" s="2">
        <v>2</v>
      </c>
      <c r="FD4" s="2">
        <v>2</v>
      </c>
      <c r="FE4" s="2">
        <v>2</v>
      </c>
      <c r="FF4" s="2">
        <v>1</v>
      </c>
      <c r="FG4" s="2">
        <v>1</v>
      </c>
      <c r="FH4" s="2">
        <v>2</v>
      </c>
      <c r="FI4" s="2">
        <v>1</v>
      </c>
      <c r="FJ4" s="2">
        <v>1</v>
      </c>
      <c r="FK4" s="2">
        <v>2</v>
      </c>
      <c r="FL4" s="2">
        <v>3</v>
      </c>
      <c r="FM4" s="2">
        <v>3</v>
      </c>
      <c r="FN4" s="2">
        <v>2</v>
      </c>
      <c r="FO4" s="2">
        <v>1</v>
      </c>
      <c r="FP4" s="2">
        <v>2</v>
      </c>
      <c r="FQ4" s="2">
        <v>2</v>
      </c>
      <c r="FR4" s="2">
        <v>2</v>
      </c>
      <c r="FS4" s="2">
        <v>2</v>
      </c>
      <c r="FT4" s="2">
        <v>2</v>
      </c>
      <c r="FU4" s="2">
        <v>2</v>
      </c>
      <c r="FV4" s="2">
        <v>2</v>
      </c>
      <c r="FW4" s="2">
        <v>3</v>
      </c>
      <c r="FX4" s="2">
        <v>3</v>
      </c>
      <c r="FY4" s="2">
        <v>3</v>
      </c>
      <c r="FZ4" s="2">
        <v>3</v>
      </c>
      <c r="GA4" s="2">
        <v>1</v>
      </c>
      <c r="GB4" s="2">
        <v>2</v>
      </c>
      <c r="GC4" s="2" t="s">
        <v>280</v>
      </c>
      <c r="GD4" s="2">
        <v>4</v>
      </c>
      <c r="GE4" s="2">
        <v>4</v>
      </c>
      <c r="GF4" s="2">
        <v>4</v>
      </c>
      <c r="GG4" s="2">
        <v>4</v>
      </c>
      <c r="GH4" s="2">
        <v>3</v>
      </c>
      <c r="GI4" s="2">
        <v>3</v>
      </c>
      <c r="GJ4" s="2">
        <v>3</v>
      </c>
      <c r="GK4" s="2">
        <v>4</v>
      </c>
      <c r="GL4" s="2">
        <v>3</v>
      </c>
      <c r="GM4" s="2">
        <v>4</v>
      </c>
      <c r="GN4" s="3">
        <v>4</v>
      </c>
      <c r="GO4" s="3">
        <v>4</v>
      </c>
      <c r="GP4" s="3">
        <v>3</v>
      </c>
      <c r="GQ4" s="3">
        <v>3</v>
      </c>
      <c r="GR4" s="3">
        <v>3</v>
      </c>
      <c r="GS4" s="3">
        <v>3</v>
      </c>
      <c r="GT4" s="3">
        <v>3</v>
      </c>
      <c r="GU4" s="3">
        <v>0</v>
      </c>
      <c r="GV4" s="3">
        <v>3</v>
      </c>
      <c r="GW4" s="3">
        <v>2</v>
      </c>
      <c r="GX4" s="3">
        <v>1</v>
      </c>
      <c r="GY4" s="3">
        <v>0</v>
      </c>
      <c r="GZ4" s="3">
        <v>4</v>
      </c>
      <c r="HA4" s="3">
        <v>1</v>
      </c>
      <c r="HB4" s="3">
        <v>2</v>
      </c>
      <c r="HC4" s="3">
        <v>0</v>
      </c>
      <c r="HD4" s="3">
        <v>2</v>
      </c>
      <c r="HE4" s="3">
        <v>0</v>
      </c>
      <c r="HF4" s="3">
        <v>2</v>
      </c>
      <c r="HG4" s="3">
        <v>0</v>
      </c>
      <c r="HH4" s="3">
        <v>4</v>
      </c>
      <c r="HI4" s="3">
        <v>0</v>
      </c>
      <c r="HJ4" s="3">
        <v>2</v>
      </c>
      <c r="HK4" s="3">
        <v>4</v>
      </c>
      <c r="HL4" s="3">
        <v>0</v>
      </c>
      <c r="HM4" s="3">
        <v>3</v>
      </c>
      <c r="HN4" s="3">
        <v>0</v>
      </c>
      <c r="HO4" s="3">
        <v>3</v>
      </c>
      <c r="HP4" s="3">
        <v>0</v>
      </c>
      <c r="HQ4" s="3">
        <v>3</v>
      </c>
      <c r="HR4" s="3">
        <v>3</v>
      </c>
      <c r="HS4" s="3">
        <v>2</v>
      </c>
      <c r="HT4" s="3">
        <v>2</v>
      </c>
      <c r="HU4" s="3">
        <v>2</v>
      </c>
      <c r="HV4" s="3">
        <v>3</v>
      </c>
      <c r="HW4" s="3">
        <v>0</v>
      </c>
      <c r="HX4" s="3">
        <v>3</v>
      </c>
      <c r="HY4" s="3">
        <v>1</v>
      </c>
      <c r="HZ4" s="3">
        <v>2</v>
      </c>
      <c r="IA4" s="3">
        <v>3</v>
      </c>
      <c r="IB4" s="3">
        <v>0</v>
      </c>
      <c r="IC4" s="3">
        <v>1</v>
      </c>
      <c r="ID4" s="3">
        <v>2</v>
      </c>
      <c r="IE4" s="3">
        <v>0</v>
      </c>
      <c r="IF4" s="3">
        <v>2</v>
      </c>
      <c r="IG4" s="3">
        <v>1</v>
      </c>
      <c r="IH4" s="3">
        <v>0</v>
      </c>
      <c r="II4" s="3">
        <v>0</v>
      </c>
      <c r="IJ4" s="3">
        <v>1</v>
      </c>
      <c r="IK4" s="3">
        <v>1</v>
      </c>
      <c r="IL4" s="3">
        <v>2</v>
      </c>
      <c r="IM4" s="3">
        <v>2</v>
      </c>
      <c r="IN4" s="3">
        <v>0</v>
      </c>
      <c r="IO4" s="3">
        <v>1</v>
      </c>
      <c r="IP4" s="3">
        <v>0</v>
      </c>
      <c r="IQ4" s="3">
        <v>3</v>
      </c>
      <c r="IR4" s="3" t="s">
        <v>281</v>
      </c>
      <c r="IS4" s="3">
        <v>3</v>
      </c>
      <c r="IT4" s="3">
        <v>3</v>
      </c>
      <c r="IU4" s="3">
        <v>0</v>
      </c>
      <c r="IV4" s="3">
        <v>3</v>
      </c>
      <c r="IW4" s="3">
        <v>3</v>
      </c>
      <c r="IX4" s="3">
        <v>3</v>
      </c>
      <c r="IY4" s="3">
        <v>3</v>
      </c>
      <c r="IZ4" s="2" t="s">
        <v>268</v>
      </c>
      <c r="JA4" s="2"/>
    </row>
    <row r="5" spans="1:261" ht="13.2" x14ac:dyDescent="0.25">
      <c r="A5" s="10">
        <v>5</v>
      </c>
      <c r="B5" s="2" t="s">
        <v>282</v>
      </c>
      <c r="C5" s="2" t="s">
        <v>261</v>
      </c>
      <c r="D5" s="2" t="s">
        <v>270</v>
      </c>
      <c r="E5" s="2">
        <v>18</v>
      </c>
      <c r="F5" s="11" t="s">
        <v>283</v>
      </c>
      <c r="G5" s="11" t="s">
        <v>284</v>
      </c>
      <c r="H5" s="2" t="s">
        <v>285</v>
      </c>
      <c r="I5" s="3">
        <v>0</v>
      </c>
      <c r="J5" s="3">
        <v>1</v>
      </c>
      <c r="K5" s="3">
        <v>2</v>
      </c>
      <c r="L5" s="3">
        <v>0</v>
      </c>
      <c r="M5" s="3">
        <v>1</v>
      </c>
      <c r="N5" s="3">
        <v>0</v>
      </c>
      <c r="O5" s="3">
        <v>0</v>
      </c>
      <c r="P5" s="3">
        <v>0</v>
      </c>
      <c r="Q5" s="3">
        <v>0</v>
      </c>
      <c r="R5" s="3">
        <v>0</v>
      </c>
      <c r="S5" s="3">
        <v>0</v>
      </c>
      <c r="T5" s="3">
        <v>0</v>
      </c>
      <c r="U5" s="3">
        <v>0</v>
      </c>
      <c r="V5" s="3">
        <v>0</v>
      </c>
      <c r="W5" s="3">
        <v>1</v>
      </c>
      <c r="X5" s="3">
        <v>0</v>
      </c>
      <c r="Y5" s="3">
        <v>2</v>
      </c>
      <c r="Z5" s="3">
        <v>1</v>
      </c>
      <c r="AA5" s="3">
        <v>2</v>
      </c>
      <c r="AB5" s="3">
        <v>1</v>
      </c>
      <c r="AC5" s="3">
        <v>1</v>
      </c>
      <c r="AD5" s="3">
        <v>0</v>
      </c>
      <c r="AE5" s="3">
        <v>3</v>
      </c>
      <c r="AF5" s="3">
        <v>0</v>
      </c>
      <c r="AG5" s="3">
        <v>0</v>
      </c>
      <c r="AH5" s="3">
        <v>0</v>
      </c>
      <c r="AI5" s="3">
        <v>0</v>
      </c>
      <c r="AJ5" s="3">
        <v>1</v>
      </c>
      <c r="AK5" s="3">
        <v>1</v>
      </c>
      <c r="AL5" s="3">
        <v>1</v>
      </c>
      <c r="AM5" s="3">
        <v>0</v>
      </c>
      <c r="AN5" s="3">
        <v>1</v>
      </c>
      <c r="AO5" s="3">
        <v>0</v>
      </c>
      <c r="AP5" s="3">
        <v>0</v>
      </c>
      <c r="AQ5" s="3">
        <v>0</v>
      </c>
      <c r="AR5" s="3">
        <v>0</v>
      </c>
      <c r="AS5" s="3">
        <v>0</v>
      </c>
      <c r="AT5" s="3">
        <v>0</v>
      </c>
      <c r="AU5" s="3">
        <v>1</v>
      </c>
      <c r="AV5" s="3">
        <v>1</v>
      </c>
      <c r="AW5" s="3">
        <v>1</v>
      </c>
      <c r="AX5" s="3">
        <v>0</v>
      </c>
      <c r="AY5" s="3">
        <v>1</v>
      </c>
      <c r="AZ5" s="3">
        <v>1</v>
      </c>
      <c r="BA5" s="3">
        <v>0</v>
      </c>
      <c r="BB5" s="3">
        <v>0</v>
      </c>
      <c r="BC5" s="3">
        <v>0</v>
      </c>
      <c r="BD5" s="3">
        <v>2</v>
      </c>
      <c r="BE5" s="3">
        <v>1</v>
      </c>
      <c r="BF5" s="3">
        <v>0</v>
      </c>
      <c r="BG5" s="3">
        <v>1</v>
      </c>
      <c r="BH5" s="3">
        <v>0</v>
      </c>
      <c r="BI5" s="3">
        <v>0</v>
      </c>
      <c r="BJ5" s="3">
        <v>0</v>
      </c>
      <c r="BK5" s="3">
        <v>0</v>
      </c>
      <c r="BL5" s="3">
        <v>0</v>
      </c>
      <c r="BM5" s="3" t="s">
        <v>286</v>
      </c>
      <c r="BN5" s="3">
        <v>0</v>
      </c>
      <c r="BO5" s="3">
        <v>0</v>
      </c>
      <c r="BP5" s="3">
        <v>0</v>
      </c>
      <c r="BQ5" s="3">
        <v>0</v>
      </c>
      <c r="BR5" s="3">
        <v>0</v>
      </c>
      <c r="BS5" s="3">
        <v>1</v>
      </c>
      <c r="BT5" s="3">
        <v>0</v>
      </c>
      <c r="BU5" s="2">
        <v>0</v>
      </c>
      <c r="BV5" s="2">
        <v>0</v>
      </c>
      <c r="BW5" s="2">
        <v>0</v>
      </c>
      <c r="BX5" s="2">
        <v>0</v>
      </c>
      <c r="BY5" s="2">
        <v>0</v>
      </c>
      <c r="BZ5" s="2">
        <v>0</v>
      </c>
      <c r="CA5" s="2">
        <v>0</v>
      </c>
      <c r="CB5" s="2">
        <v>0</v>
      </c>
      <c r="CC5" s="2">
        <v>3</v>
      </c>
      <c r="CD5" s="2">
        <v>0</v>
      </c>
      <c r="CE5" s="2">
        <v>0</v>
      </c>
      <c r="CF5" s="2">
        <v>0</v>
      </c>
      <c r="CG5" s="2">
        <v>0</v>
      </c>
      <c r="CH5" s="2">
        <v>0</v>
      </c>
      <c r="CI5" s="2">
        <v>0</v>
      </c>
      <c r="CJ5" s="2">
        <v>3</v>
      </c>
      <c r="CK5" s="2">
        <v>0</v>
      </c>
      <c r="CL5" s="2">
        <v>0</v>
      </c>
      <c r="CM5" s="2">
        <v>0</v>
      </c>
      <c r="CN5" s="2">
        <v>0</v>
      </c>
      <c r="CO5" s="2">
        <v>0</v>
      </c>
      <c r="CP5" s="2">
        <v>0</v>
      </c>
      <c r="CQ5" s="2">
        <v>0</v>
      </c>
      <c r="CR5" s="2">
        <v>0</v>
      </c>
      <c r="CS5" s="2">
        <v>0</v>
      </c>
      <c r="CT5" s="2">
        <v>0</v>
      </c>
      <c r="CU5" s="2">
        <v>0</v>
      </c>
      <c r="CV5" s="2">
        <v>0</v>
      </c>
      <c r="CW5" s="2">
        <v>0</v>
      </c>
      <c r="CX5" s="2">
        <v>0</v>
      </c>
      <c r="CY5" s="2">
        <v>0</v>
      </c>
      <c r="CZ5" s="2">
        <v>1</v>
      </c>
      <c r="DA5" s="2">
        <v>3</v>
      </c>
      <c r="DB5" s="2">
        <v>2</v>
      </c>
      <c r="DC5" s="2">
        <v>0</v>
      </c>
      <c r="DD5" s="2">
        <v>0</v>
      </c>
      <c r="DE5" s="2">
        <v>0</v>
      </c>
      <c r="DF5" s="2">
        <v>0</v>
      </c>
      <c r="DG5" s="2">
        <v>0</v>
      </c>
      <c r="DH5" s="2">
        <v>1</v>
      </c>
      <c r="DI5" s="2">
        <v>0</v>
      </c>
      <c r="DJ5" s="2">
        <v>0</v>
      </c>
      <c r="DK5" s="2">
        <v>0</v>
      </c>
      <c r="DL5" s="2">
        <v>0</v>
      </c>
      <c r="DM5" s="2">
        <v>0</v>
      </c>
      <c r="DN5" s="2">
        <v>0</v>
      </c>
      <c r="DO5" s="2">
        <v>0</v>
      </c>
      <c r="DP5" s="2">
        <v>2</v>
      </c>
      <c r="DQ5" s="2">
        <v>1</v>
      </c>
      <c r="DR5" s="2">
        <v>0</v>
      </c>
      <c r="DS5" s="2">
        <v>3</v>
      </c>
      <c r="DT5" s="2">
        <v>1</v>
      </c>
      <c r="DU5" s="2">
        <v>0</v>
      </c>
      <c r="DV5" s="2">
        <v>0</v>
      </c>
      <c r="DW5" s="2">
        <v>2</v>
      </c>
      <c r="DX5" s="2">
        <v>1</v>
      </c>
      <c r="DY5" s="2">
        <v>2</v>
      </c>
      <c r="DZ5" s="2">
        <v>0</v>
      </c>
      <c r="EA5" s="2">
        <v>0</v>
      </c>
      <c r="EB5" s="2">
        <v>0</v>
      </c>
      <c r="EC5" s="2">
        <v>0</v>
      </c>
      <c r="ED5" s="2">
        <v>0</v>
      </c>
      <c r="EE5" s="2">
        <v>0</v>
      </c>
      <c r="EF5" s="2">
        <v>0</v>
      </c>
      <c r="EG5" s="2">
        <v>0</v>
      </c>
      <c r="EH5" s="2">
        <v>0</v>
      </c>
      <c r="EI5" s="2">
        <v>3</v>
      </c>
      <c r="EJ5" s="2">
        <v>0</v>
      </c>
      <c r="EK5" s="2">
        <v>0</v>
      </c>
      <c r="EL5" s="2">
        <v>0</v>
      </c>
      <c r="EM5" s="2">
        <v>0</v>
      </c>
      <c r="EN5" s="2">
        <v>0</v>
      </c>
      <c r="EO5" s="2">
        <v>0</v>
      </c>
      <c r="EP5" s="2">
        <v>0</v>
      </c>
      <c r="EQ5" s="2">
        <v>0</v>
      </c>
      <c r="ER5" s="2">
        <v>0</v>
      </c>
      <c r="ES5" s="2">
        <v>0</v>
      </c>
      <c r="ET5" s="2">
        <v>0</v>
      </c>
      <c r="EU5" s="2">
        <v>0</v>
      </c>
      <c r="EV5" s="2">
        <v>0</v>
      </c>
      <c r="EW5" s="2">
        <v>0</v>
      </c>
      <c r="EX5" s="2">
        <v>0</v>
      </c>
      <c r="EY5" s="2">
        <v>0</v>
      </c>
      <c r="EZ5" s="2">
        <v>0</v>
      </c>
      <c r="FA5" s="2">
        <v>0</v>
      </c>
      <c r="FB5" s="2">
        <v>2</v>
      </c>
      <c r="FC5" s="2">
        <v>0</v>
      </c>
      <c r="FD5" s="2">
        <v>0</v>
      </c>
      <c r="FE5" s="2">
        <v>0</v>
      </c>
      <c r="FF5" s="2">
        <v>0</v>
      </c>
      <c r="FG5" s="2">
        <v>0</v>
      </c>
      <c r="FH5" s="2">
        <v>0</v>
      </c>
      <c r="FI5" s="2">
        <v>0</v>
      </c>
      <c r="FJ5" s="2">
        <v>0</v>
      </c>
      <c r="FK5" s="2">
        <v>0</v>
      </c>
      <c r="FL5" s="2">
        <v>2</v>
      </c>
      <c r="FM5" s="2">
        <v>0</v>
      </c>
      <c r="FN5" s="2">
        <v>0</v>
      </c>
      <c r="FO5" s="2">
        <v>0</v>
      </c>
      <c r="FP5" s="2">
        <v>0</v>
      </c>
      <c r="FQ5" s="2">
        <v>0</v>
      </c>
      <c r="FR5" s="2">
        <v>0</v>
      </c>
      <c r="FS5" s="2">
        <v>0</v>
      </c>
      <c r="FT5" s="2">
        <v>0</v>
      </c>
      <c r="FU5" s="2">
        <v>1</v>
      </c>
      <c r="FV5" s="2">
        <v>0</v>
      </c>
      <c r="FW5" s="2">
        <v>1</v>
      </c>
      <c r="FX5" s="2">
        <v>1</v>
      </c>
      <c r="FY5" s="2">
        <v>0</v>
      </c>
      <c r="FZ5" s="2">
        <v>0</v>
      </c>
      <c r="GA5" s="2">
        <v>0</v>
      </c>
      <c r="GB5" s="2">
        <v>0</v>
      </c>
      <c r="GC5" s="2" t="s">
        <v>287</v>
      </c>
      <c r="GD5" s="2">
        <v>0</v>
      </c>
      <c r="GE5" s="2">
        <v>2</v>
      </c>
      <c r="GF5" s="2">
        <v>0</v>
      </c>
      <c r="GG5" s="2">
        <v>0</v>
      </c>
      <c r="GH5" s="2">
        <v>0</v>
      </c>
      <c r="GI5" s="2">
        <v>0</v>
      </c>
      <c r="GJ5" s="2">
        <v>0</v>
      </c>
      <c r="GK5" s="2">
        <v>0</v>
      </c>
      <c r="GL5" s="2">
        <v>0</v>
      </c>
      <c r="GM5" s="2">
        <v>0</v>
      </c>
      <c r="GN5" s="3">
        <v>0</v>
      </c>
      <c r="GO5" s="3">
        <v>0</v>
      </c>
      <c r="GP5" s="3">
        <v>0</v>
      </c>
      <c r="GQ5" s="3">
        <v>1</v>
      </c>
      <c r="GR5" s="3">
        <v>0</v>
      </c>
      <c r="GS5" s="3">
        <v>0</v>
      </c>
      <c r="GT5" s="3">
        <v>0</v>
      </c>
      <c r="GU5" s="3">
        <v>1</v>
      </c>
      <c r="GV5" s="3">
        <v>0</v>
      </c>
      <c r="GW5" s="3">
        <v>0</v>
      </c>
      <c r="GX5" s="3">
        <v>0</v>
      </c>
      <c r="GY5" s="3">
        <v>0</v>
      </c>
      <c r="GZ5" s="3">
        <v>0</v>
      </c>
      <c r="HA5" s="3">
        <v>1</v>
      </c>
      <c r="HB5" s="3">
        <v>2</v>
      </c>
      <c r="HC5" s="3">
        <v>0</v>
      </c>
      <c r="HD5" s="3">
        <v>0</v>
      </c>
      <c r="HE5" s="3">
        <v>0</v>
      </c>
      <c r="HF5" s="3">
        <v>1</v>
      </c>
      <c r="HG5" s="3">
        <v>0</v>
      </c>
      <c r="HH5" s="3">
        <v>0</v>
      </c>
      <c r="HI5" s="3">
        <v>0</v>
      </c>
      <c r="HJ5" s="3">
        <v>0</v>
      </c>
      <c r="HK5" s="3">
        <v>0</v>
      </c>
      <c r="HL5" s="3">
        <v>0</v>
      </c>
      <c r="HM5" s="3">
        <v>0</v>
      </c>
      <c r="HN5" s="3">
        <v>0</v>
      </c>
      <c r="HO5" s="3">
        <v>1</v>
      </c>
      <c r="HP5" s="3">
        <v>1</v>
      </c>
      <c r="HQ5" s="3">
        <v>0</v>
      </c>
      <c r="HR5" s="3">
        <v>0</v>
      </c>
      <c r="HS5" s="3">
        <v>0</v>
      </c>
      <c r="HT5" s="3">
        <v>0</v>
      </c>
      <c r="HU5" s="3">
        <v>0</v>
      </c>
      <c r="HV5" s="3">
        <v>0</v>
      </c>
      <c r="HW5" s="3">
        <v>1</v>
      </c>
      <c r="HX5" s="3">
        <v>0</v>
      </c>
      <c r="HY5" s="3">
        <v>0</v>
      </c>
      <c r="HZ5" s="3">
        <v>0</v>
      </c>
      <c r="IA5" s="3">
        <v>0</v>
      </c>
      <c r="IB5" s="3">
        <v>2</v>
      </c>
      <c r="IC5" s="3">
        <v>0</v>
      </c>
      <c r="ID5" s="3">
        <v>0</v>
      </c>
      <c r="IE5" s="3">
        <v>0</v>
      </c>
      <c r="IF5" s="3">
        <v>0</v>
      </c>
      <c r="IG5" s="3">
        <v>0</v>
      </c>
      <c r="IH5" s="3">
        <v>0</v>
      </c>
      <c r="II5" s="3">
        <v>0</v>
      </c>
      <c r="IJ5" s="3">
        <v>0</v>
      </c>
      <c r="IK5" s="3">
        <v>0</v>
      </c>
      <c r="IL5" s="3">
        <v>0</v>
      </c>
      <c r="IM5" s="3">
        <v>0</v>
      </c>
      <c r="IN5" s="3">
        <v>0</v>
      </c>
      <c r="IO5" s="3">
        <v>0</v>
      </c>
      <c r="IP5" s="3">
        <v>0</v>
      </c>
      <c r="IQ5" s="3">
        <v>0</v>
      </c>
      <c r="IR5" s="3" t="s">
        <v>288</v>
      </c>
      <c r="IS5" s="3">
        <v>0</v>
      </c>
      <c r="IT5" s="3">
        <v>0</v>
      </c>
      <c r="IU5" s="3">
        <v>0</v>
      </c>
      <c r="IV5" s="3">
        <v>0</v>
      </c>
      <c r="IW5" s="3">
        <v>0</v>
      </c>
      <c r="IX5" s="3">
        <v>0</v>
      </c>
      <c r="IY5" s="3">
        <v>0</v>
      </c>
      <c r="IZ5" s="2" t="s">
        <v>268</v>
      </c>
      <c r="JA5" s="2"/>
    </row>
    <row r="6" spans="1:261" ht="13.2" x14ac:dyDescent="0.25">
      <c r="A6" s="10">
        <v>6</v>
      </c>
      <c r="B6" s="2" t="s">
        <v>289</v>
      </c>
      <c r="C6" s="2" t="s">
        <v>261</v>
      </c>
      <c r="D6" s="2" t="s">
        <v>270</v>
      </c>
      <c r="E6" s="2">
        <v>29</v>
      </c>
      <c r="F6" s="11" t="s">
        <v>290</v>
      </c>
      <c r="G6" s="11" t="s">
        <v>291</v>
      </c>
      <c r="H6" s="2" t="s">
        <v>292</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1</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2</v>
      </c>
      <c r="BC6" s="3">
        <v>0</v>
      </c>
      <c r="BD6" s="3">
        <v>1</v>
      </c>
      <c r="BE6" s="3">
        <v>0</v>
      </c>
      <c r="BF6" s="3">
        <v>0</v>
      </c>
      <c r="BG6" s="3">
        <v>0</v>
      </c>
      <c r="BH6" s="3">
        <v>0</v>
      </c>
      <c r="BI6" s="3">
        <v>0</v>
      </c>
      <c r="BJ6" s="3">
        <v>0</v>
      </c>
      <c r="BK6" s="3">
        <v>0</v>
      </c>
      <c r="BL6" s="3">
        <v>0</v>
      </c>
      <c r="BM6" s="3" t="s">
        <v>293</v>
      </c>
      <c r="BN6" s="3">
        <v>2</v>
      </c>
      <c r="BO6" s="3">
        <v>0</v>
      </c>
      <c r="BP6" s="3">
        <v>0</v>
      </c>
      <c r="BQ6" s="3">
        <v>0</v>
      </c>
      <c r="BR6" s="3">
        <v>2</v>
      </c>
      <c r="BS6" s="3">
        <v>0</v>
      </c>
      <c r="BT6" s="3">
        <v>0</v>
      </c>
      <c r="BU6" s="2">
        <v>0</v>
      </c>
      <c r="BV6" s="2">
        <v>0</v>
      </c>
      <c r="BW6" s="2">
        <v>0</v>
      </c>
      <c r="BX6" s="2">
        <v>0</v>
      </c>
      <c r="BY6" s="2">
        <v>0</v>
      </c>
      <c r="BZ6" s="2">
        <v>0</v>
      </c>
      <c r="CA6" s="2">
        <v>0</v>
      </c>
      <c r="CB6" s="2">
        <v>0</v>
      </c>
      <c r="CC6" s="2">
        <v>0</v>
      </c>
      <c r="CD6" s="2">
        <v>0</v>
      </c>
      <c r="CE6" s="2">
        <v>0</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0</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0</v>
      </c>
      <c r="DV6" s="2">
        <v>0</v>
      </c>
      <c r="DW6" s="2">
        <v>0</v>
      </c>
      <c r="DX6" s="2">
        <v>0</v>
      </c>
      <c r="DY6" s="2">
        <v>0</v>
      </c>
      <c r="DZ6" s="2">
        <v>0</v>
      </c>
      <c r="EA6" s="2">
        <v>0</v>
      </c>
      <c r="EB6" s="2">
        <v>0</v>
      </c>
      <c r="EC6" s="2">
        <v>0</v>
      </c>
      <c r="ED6" s="2">
        <v>0</v>
      </c>
      <c r="EE6" s="2">
        <v>0</v>
      </c>
      <c r="EF6" s="2">
        <v>0</v>
      </c>
      <c r="EG6" s="2">
        <v>0</v>
      </c>
      <c r="EH6" s="2">
        <v>0</v>
      </c>
      <c r="EI6" s="2">
        <v>0</v>
      </c>
      <c r="EJ6" s="2">
        <v>0</v>
      </c>
      <c r="EK6" s="2">
        <v>0</v>
      </c>
      <c r="EL6" s="2">
        <v>0</v>
      </c>
      <c r="EM6" s="2">
        <v>0</v>
      </c>
      <c r="EN6" s="2">
        <v>0</v>
      </c>
      <c r="EO6" s="2">
        <v>0</v>
      </c>
      <c r="EP6" s="2">
        <v>0</v>
      </c>
      <c r="EQ6" s="2">
        <v>0</v>
      </c>
      <c r="ER6" s="2">
        <v>0</v>
      </c>
      <c r="ES6" s="2">
        <v>0</v>
      </c>
      <c r="ET6" s="2">
        <v>0</v>
      </c>
      <c r="EU6" s="2">
        <v>0</v>
      </c>
      <c r="EV6" s="2">
        <v>0</v>
      </c>
      <c r="EW6" s="2">
        <v>0</v>
      </c>
      <c r="EX6" s="2">
        <v>0</v>
      </c>
      <c r="EY6" s="2">
        <v>0</v>
      </c>
      <c r="EZ6" s="2">
        <v>0</v>
      </c>
      <c r="FA6" s="2">
        <v>0</v>
      </c>
      <c r="FB6" s="2">
        <v>0</v>
      </c>
      <c r="FC6" s="2">
        <v>0</v>
      </c>
      <c r="FD6" s="2">
        <v>0</v>
      </c>
      <c r="FE6" s="2">
        <v>0</v>
      </c>
      <c r="FF6" s="2">
        <v>0</v>
      </c>
      <c r="FG6" s="2">
        <v>0</v>
      </c>
      <c r="FH6" s="2">
        <v>0</v>
      </c>
      <c r="FI6" s="2">
        <v>0</v>
      </c>
      <c r="FJ6" s="2">
        <v>0</v>
      </c>
      <c r="FK6" s="2">
        <v>0</v>
      </c>
      <c r="FL6" s="2">
        <v>0</v>
      </c>
      <c r="FM6" s="2">
        <v>0</v>
      </c>
      <c r="FN6" s="2">
        <v>0</v>
      </c>
      <c r="FO6" s="2">
        <v>0</v>
      </c>
      <c r="FP6" s="2">
        <v>0</v>
      </c>
      <c r="FQ6" s="2">
        <v>0</v>
      </c>
      <c r="FR6" s="2">
        <v>0</v>
      </c>
      <c r="FS6" s="2">
        <v>0</v>
      </c>
      <c r="FT6" s="2">
        <v>0</v>
      </c>
      <c r="FU6" s="2">
        <v>0</v>
      </c>
      <c r="FV6" s="2">
        <v>0</v>
      </c>
      <c r="FW6" s="2">
        <v>0</v>
      </c>
      <c r="FX6" s="2">
        <v>0</v>
      </c>
      <c r="FY6" s="2">
        <v>0</v>
      </c>
      <c r="FZ6" s="2">
        <v>0</v>
      </c>
      <c r="GA6" s="2">
        <v>0</v>
      </c>
      <c r="GB6" s="2">
        <v>0</v>
      </c>
      <c r="GC6" s="2" t="s">
        <v>294</v>
      </c>
      <c r="GD6" s="2">
        <v>0</v>
      </c>
      <c r="GE6" s="2">
        <v>0</v>
      </c>
      <c r="GF6" s="2">
        <v>0</v>
      </c>
      <c r="GG6" s="2">
        <v>0</v>
      </c>
      <c r="GH6" s="2">
        <v>0</v>
      </c>
      <c r="GI6" s="2">
        <v>0</v>
      </c>
      <c r="GJ6" s="2">
        <v>0</v>
      </c>
      <c r="GK6" s="2">
        <v>0</v>
      </c>
      <c r="GL6" s="2">
        <v>0</v>
      </c>
      <c r="GM6" s="2">
        <v>0</v>
      </c>
      <c r="GN6" s="3">
        <v>0</v>
      </c>
      <c r="GO6" s="3">
        <v>0</v>
      </c>
      <c r="GP6" s="3">
        <v>0</v>
      </c>
      <c r="GQ6" s="3">
        <v>0</v>
      </c>
      <c r="GR6" s="3">
        <v>0</v>
      </c>
      <c r="GS6" s="3">
        <v>0</v>
      </c>
      <c r="GT6" s="3">
        <v>0</v>
      </c>
      <c r="GU6" s="3">
        <v>0</v>
      </c>
      <c r="GV6" s="3">
        <v>0</v>
      </c>
      <c r="GW6" s="3">
        <v>0</v>
      </c>
      <c r="GX6" s="3">
        <v>0</v>
      </c>
      <c r="GY6" s="3">
        <v>0</v>
      </c>
      <c r="GZ6" s="3">
        <v>0</v>
      </c>
      <c r="HA6" s="3">
        <v>0</v>
      </c>
      <c r="HB6" s="3">
        <v>0</v>
      </c>
      <c r="HC6" s="3">
        <v>0</v>
      </c>
      <c r="HD6" s="3">
        <v>0</v>
      </c>
      <c r="HE6" s="3">
        <v>2</v>
      </c>
      <c r="HF6" s="3">
        <v>0</v>
      </c>
      <c r="HG6" s="3">
        <v>0</v>
      </c>
      <c r="HH6" s="3">
        <v>0</v>
      </c>
      <c r="HI6" s="3">
        <v>0</v>
      </c>
      <c r="HJ6" s="3">
        <v>0</v>
      </c>
      <c r="HK6" s="3">
        <v>0</v>
      </c>
      <c r="HL6" s="3">
        <v>0</v>
      </c>
      <c r="HM6" s="3">
        <v>0</v>
      </c>
      <c r="HN6" s="3">
        <v>0</v>
      </c>
      <c r="HO6" s="3">
        <v>0</v>
      </c>
      <c r="HP6" s="3">
        <v>0</v>
      </c>
      <c r="HQ6" s="3">
        <v>0</v>
      </c>
      <c r="HR6" s="3">
        <v>0</v>
      </c>
      <c r="HS6" s="3">
        <v>2</v>
      </c>
      <c r="HT6" s="3">
        <v>0</v>
      </c>
      <c r="HU6" s="3">
        <v>0</v>
      </c>
      <c r="HV6" s="3">
        <v>0</v>
      </c>
      <c r="HW6" s="3">
        <v>0</v>
      </c>
      <c r="HX6" s="3">
        <v>0</v>
      </c>
      <c r="HY6" s="3">
        <v>0</v>
      </c>
      <c r="HZ6" s="3">
        <v>0</v>
      </c>
      <c r="IA6" s="3">
        <v>0</v>
      </c>
      <c r="IB6" s="3">
        <v>0</v>
      </c>
      <c r="IC6" s="3">
        <v>0</v>
      </c>
      <c r="ID6" s="3">
        <v>0</v>
      </c>
      <c r="IE6" s="3">
        <v>0</v>
      </c>
      <c r="IF6" s="3">
        <v>0</v>
      </c>
      <c r="IG6" s="3">
        <v>0</v>
      </c>
      <c r="IH6" s="3">
        <v>0</v>
      </c>
      <c r="II6" s="3">
        <v>0</v>
      </c>
      <c r="IJ6" s="3">
        <v>0</v>
      </c>
      <c r="IK6" s="3">
        <v>0</v>
      </c>
      <c r="IL6" s="3">
        <v>0</v>
      </c>
      <c r="IM6" s="3">
        <v>0</v>
      </c>
      <c r="IN6" s="3">
        <v>0</v>
      </c>
      <c r="IO6" s="3">
        <v>0</v>
      </c>
      <c r="IP6" s="3">
        <v>0</v>
      </c>
      <c r="IQ6" s="3">
        <v>0</v>
      </c>
      <c r="IR6" s="3" t="s">
        <v>295</v>
      </c>
      <c r="IS6" s="3">
        <v>0</v>
      </c>
      <c r="IT6" s="3">
        <v>0</v>
      </c>
      <c r="IU6" s="3">
        <v>0</v>
      </c>
      <c r="IV6" s="3">
        <v>0</v>
      </c>
      <c r="IW6" s="3">
        <v>0</v>
      </c>
      <c r="IX6" s="3">
        <v>0</v>
      </c>
      <c r="IY6" s="3">
        <v>0</v>
      </c>
      <c r="IZ6" s="2" t="s">
        <v>268</v>
      </c>
      <c r="JA6" s="2"/>
    </row>
    <row r="7" spans="1:261" ht="13.2" x14ac:dyDescent="0.25">
      <c r="A7" s="10">
        <v>7</v>
      </c>
      <c r="B7" s="2" t="s">
        <v>296</v>
      </c>
      <c r="C7" s="2" t="s">
        <v>276</v>
      </c>
      <c r="D7" s="2" t="s">
        <v>270</v>
      </c>
      <c r="E7" s="2">
        <v>26</v>
      </c>
      <c r="F7" s="11" t="s">
        <v>297</v>
      </c>
      <c r="G7" s="11" t="s">
        <v>298</v>
      </c>
      <c r="H7" s="2" t="s">
        <v>299</v>
      </c>
      <c r="I7" s="3">
        <v>2</v>
      </c>
      <c r="J7" s="3">
        <v>1</v>
      </c>
      <c r="K7" s="3">
        <v>4</v>
      </c>
      <c r="L7" s="3">
        <v>3</v>
      </c>
      <c r="M7" s="3">
        <v>3</v>
      </c>
      <c r="N7" s="3">
        <v>2</v>
      </c>
      <c r="O7" s="3">
        <v>3</v>
      </c>
      <c r="P7" s="3">
        <v>2</v>
      </c>
      <c r="Q7" s="3">
        <v>3</v>
      </c>
      <c r="R7" s="3">
        <v>1</v>
      </c>
      <c r="S7" s="3">
        <v>2</v>
      </c>
      <c r="T7" s="3">
        <v>1</v>
      </c>
      <c r="U7" s="3">
        <v>2</v>
      </c>
      <c r="V7" s="3">
        <v>1</v>
      </c>
      <c r="W7" s="3">
        <v>2</v>
      </c>
      <c r="X7" s="3">
        <v>1</v>
      </c>
      <c r="Y7" s="3">
        <v>3</v>
      </c>
      <c r="Z7" s="3">
        <v>3</v>
      </c>
      <c r="AA7" s="3">
        <v>2</v>
      </c>
      <c r="AB7" s="3">
        <v>1</v>
      </c>
      <c r="AC7" s="3">
        <v>1</v>
      </c>
      <c r="AD7" s="3">
        <v>1</v>
      </c>
      <c r="AE7" s="3">
        <v>2</v>
      </c>
      <c r="AF7" s="3">
        <v>2</v>
      </c>
      <c r="AG7" s="3">
        <v>1</v>
      </c>
      <c r="AH7" s="3">
        <v>1</v>
      </c>
      <c r="AI7" s="3">
        <v>3</v>
      </c>
      <c r="AJ7" s="3">
        <v>2</v>
      </c>
      <c r="AK7" s="3">
        <v>3</v>
      </c>
      <c r="AL7" s="3">
        <v>3</v>
      </c>
      <c r="AM7" s="3">
        <v>2</v>
      </c>
      <c r="AN7" s="3">
        <v>2</v>
      </c>
      <c r="AO7" s="3">
        <v>3</v>
      </c>
      <c r="AP7" s="3">
        <v>2</v>
      </c>
      <c r="AQ7" s="3">
        <v>2</v>
      </c>
      <c r="AR7" s="3">
        <v>2</v>
      </c>
      <c r="AS7" s="3">
        <v>2</v>
      </c>
      <c r="AT7" s="3">
        <v>2</v>
      </c>
      <c r="AU7" s="3">
        <v>2</v>
      </c>
      <c r="AV7" s="3">
        <v>1</v>
      </c>
      <c r="AW7" s="3">
        <v>2</v>
      </c>
      <c r="AX7" s="3">
        <v>1</v>
      </c>
      <c r="AY7" s="3">
        <v>2</v>
      </c>
      <c r="AZ7" s="3">
        <v>3</v>
      </c>
      <c r="BA7" s="3">
        <v>1</v>
      </c>
      <c r="BB7" s="3">
        <v>3</v>
      </c>
      <c r="BC7" s="3">
        <v>1</v>
      </c>
      <c r="BD7" s="3">
        <v>3</v>
      </c>
      <c r="BE7" s="3">
        <v>1</v>
      </c>
      <c r="BF7" s="3">
        <v>2</v>
      </c>
      <c r="BG7" s="3">
        <v>2</v>
      </c>
      <c r="BH7" s="3">
        <v>4</v>
      </c>
      <c r="BI7" s="3">
        <v>2</v>
      </c>
      <c r="BJ7" s="3">
        <v>2</v>
      </c>
      <c r="BK7" s="3">
        <v>2</v>
      </c>
      <c r="BL7" s="3">
        <v>2</v>
      </c>
      <c r="BM7" s="3" t="s">
        <v>300</v>
      </c>
      <c r="BN7" s="3" t="s">
        <v>274</v>
      </c>
      <c r="BO7" s="3" t="s">
        <v>274</v>
      </c>
      <c r="BP7" s="3">
        <v>2</v>
      </c>
      <c r="BQ7" s="3">
        <v>4</v>
      </c>
      <c r="BR7" s="3">
        <v>3</v>
      </c>
      <c r="BS7" s="3">
        <v>4</v>
      </c>
      <c r="BT7" s="3">
        <v>4</v>
      </c>
      <c r="BU7" s="2">
        <v>2</v>
      </c>
      <c r="BV7" s="2">
        <v>1</v>
      </c>
      <c r="BW7" s="2">
        <v>1</v>
      </c>
      <c r="BX7" s="2">
        <v>1</v>
      </c>
      <c r="BY7" s="2">
        <v>1</v>
      </c>
      <c r="BZ7" s="2">
        <v>3</v>
      </c>
      <c r="CA7" s="2">
        <v>2</v>
      </c>
      <c r="CB7" s="2">
        <v>2</v>
      </c>
      <c r="CC7" s="2">
        <v>1</v>
      </c>
      <c r="CD7" s="2">
        <v>1</v>
      </c>
      <c r="CE7" s="2">
        <v>0</v>
      </c>
      <c r="CF7" s="2">
        <v>1</v>
      </c>
      <c r="CG7" s="2">
        <v>0</v>
      </c>
      <c r="CH7" s="2">
        <v>0</v>
      </c>
      <c r="CI7" s="2">
        <v>2</v>
      </c>
      <c r="CJ7" s="2">
        <v>1</v>
      </c>
      <c r="CK7" s="2">
        <v>0</v>
      </c>
      <c r="CL7" s="2">
        <v>0</v>
      </c>
      <c r="CM7" s="2">
        <v>1</v>
      </c>
      <c r="CN7" s="2">
        <v>0</v>
      </c>
      <c r="CO7" s="2">
        <v>0</v>
      </c>
      <c r="CP7" s="2">
        <v>0</v>
      </c>
      <c r="CQ7" s="2">
        <v>0</v>
      </c>
      <c r="CR7" s="2">
        <v>1</v>
      </c>
      <c r="CS7" s="2">
        <v>2</v>
      </c>
      <c r="CT7" s="2">
        <v>2</v>
      </c>
      <c r="CU7" s="2">
        <v>3</v>
      </c>
      <c r="CV7" s="2">
        <v>1</v>
      </c>
      <c r="CW7" s="2">
        <v>1</v>
      </c>
      <c r="CX7" s="2">
        <v>1</v>
      </c>
      <c r="CY7" s="2">
        <v>0</v>
      </c>
      <c r="CZ7" s="2">
        <v>0</v>
      </c>
      <c r="DA7" s="2">
        <v>2</v>
      </c>
      <c r="DB7" s="2">
        <v>0</v>
      </c>
      <c r="DC7" s="2">
        <v>0</v>
      </c>
      <c r="DD7" s="2">
        <v>2</v>
      </c>
      <c r="DE7" s="2">
        <v>2</v>
      </c>
      <c r="DF7" s="2">
        <v>1</v>
      </c>
      <c r="DG7" s="2">
        <v>0</v>
      </c>
      <c r="DH7" s="2">
        <v>4</v>
      </c>
      <c r="DI7" s="2">
        <v>4</v>
      </c>
      <c r="DJ7" s="2">
        <v>2</v>
      </c>
      <c r="DK7" s="2">
        <v>3</v>
      </c>
      <c r="DL7" s="2">
        <v>3</v>
      </c>
      <c r="DM7" s="2">
        <v>2</v>
      </c>
      <c r="DN7" s="2">
        <v>1</v>
      </c>
      <c r="DO7" s="2">
        <v>3</v>
      </c>
      <c r="DP7" s="2">
        <v>1</v>
      </c>
      <c r="DQ7" s="2">
        <v>2</v>
      </c>
      <c r="DR7" s="2">
        <v>0</v>
      </c>
      <c r="DS7" s="2">
        <v>3</v>
      </c>
      <c r="DT7" s="2">
        <v>1</v>
      </c>
      <c r="DU7" s="2">
        <v>1</v>
      </c>
      <c r="DV7" s="2">
        <v>3</v>
      </c>
      <c r="DW7" s="2">
        <v>1</v>
      </c>
      <c r="DX7" s="2">
        <v>1</v>
      </c>
      <c r="DY7" s="2">
        <v>1</v>
      </c>
      <c r="DZ7" s="2">
        <v>1</v>
      </c>
      <c r="EA7" s="2">
        <v>1</v>
      </c>
      <c r="EB7" s="2">
        <v>2</v>
      </c>
      <c r="EC7" s="2">
        <v>2</v>
      </c>
      <c r="ED7" s="2">
        <v>1</v>
      </c>
      <c r="EE7" s="2">
        <v>1</v>
      </c>
      <c r="EF7" s="2">
        <v>1</v>
      </c>
      <c r="EG7" s="2">
        <v>0</v>
      </c>
      <c r="EH7" s="2">
        <v>1</v>
      </c>
      <c r="EI7" s="2">
        <v>4</v>
      </c>
      <c r="EJ7" s="2">
        <v>3</v>
      </c>
      <c r="EK7" s="2">
        <v>0</v>
      </c>
      <c r="EL7" s="2">
        <v>3</v>
      </c>
      <c r="EM7" s="2">
        <v>0</v>
      </c>
      <c r="EN7" s="2">
        <v>0</v>
      </c>
      <c r="EO7" s="2">
        <v>1</v>
      </c>
      <c r="EP7" s="2">
        <v>0</v>
      </c>
      <c r="EQ7" s="2">
        <v>2</v>
      </c>
      <c r="ER7" s="2">
        <v>0</v>
      </c>
      <c r="ES7" s="2">
        <v>1</v>
      </c>
      <c r="ET7" s="2">
        <v>2</v>
      </c>
      <c r="EU7" s="2">
        <v>3</v>
      </c>
      <c r="EV7" s="2">
        <v>2</v>
      </c>
      <c r="EW7" s="2">
        <v>1</v>
      </c>
      <c r="EX7" s="2">
        <v>3</v>
      </c>
      <c r="EY7" s="2">
        <v>0</v>
      </c>
      <c r="EZ7" s="2">
        <v>0</v>
      </c>
      <c r="FA7" s="2">
        <v>1</v>
      </c>
      <c r="FB7" s="2">
        <v>1</v>
      </c>
      <c r="FC7" s="2">
        <v>1</v>
      </c>
      <c r="FD7" s="2">
        <v>2</v>
      </c>
      <c r="FE7" s="2">
        <v>0</v>
      </c>
      <c r="FF7" s="2">
        <v>2</v>
      </c>
      <c r="FG7" s="2">
        <v>2</v>
      </c>
      <c r="FH7" s="2">
        <v>0</v>
      </c>
      <c r="FI7" s="2">
        <v>1</v>
      </c>
      <c r="FJ7" s="2">
        <v>2</v>
      </c>
      <c r="FK7" s="2">
        <v>2</v>
      </c>
      <c r="FL7" s="2">
        <v>3</v>
      </c>
      <c r="FM7" s="2">
        <v>1</v>
      </c>
      <c r="FN7" s="2">
        <v>1</v>
      </c>
      <c r="FO7" s="2">
        <v>1</v>
      </c>
      <c r="FP7" s="2">
        <v>2</v>
      </c>
      <c r="FQ7" s="2">
        <v>3</v>
      </c>
      <c r="FR7" s="2">
        <v>2</v>
      </c>
      <c r="FS7" s="2">
        <v>2</v>
      </c>
      <c r="FT7" s="2">
        <v>1</v>
      </c>
      <c r="FU7" s="2">
        <v>0</v>
      </c>
      <c r="FV7" s="2">
        <v>2</v>
      </c>
      <c r="FW7" s="2">
        <v>2</v>
      </c>
      <c r="FX7" s="2">
        <v>2</v>
      </c>
      <c r="FY7" s="2">
        <v>2</v>
      </c>
      <c r="FZ7" s="2">
        <v>2</v>
      </c>
      <c r="GA7" s="2">
        <v>1</v>
      </c>
      <c r="GB7" s="2">
        <v>1</v>
      </c>
      <c r="GC7" s="2" t="s">
        <v>301</v>
      </c>
      <c r="GD7" s="2">
        <v>0</v>
      </c>
      <c r="GE7" s="2">
        <v>2</v>
      </c>
      <c r="GF7" s="2">
        <v>2</v>
      </c>
      <c r="GG7" s="2">
        <v>1</v>
      </c>
      <c r="GH7" s="2">
        <v>3</v>
      </c>
      <c r="GI7" s="2">
        <v>2</v>
      </c>
      <c r="GJ7" s="2">
        <v>2</v>
      </c>
      <c r="GK7" s="2">
        <v>2</v>
      </c>
      <c r="GL7" s="2">
        <v>1</v>
      </c>
      <c r="GM7" s="2">
        <v>1</v>
      </c>
      <c r="GN7" s="3">
        <v>2</v>
      </c>
      <c r="GO7" s="3">
        <v>3</v>
      </c>
      <c r="GP7" s="3">
        <v>2</v>
      </c>
      <c r="GQ7" s="3">
        <v>0</v>
      </c>
      <c r="GR7" s="3">
        <v>0</v>
      </c>
      <c r="GS7" s="3">
        <v>1</v>
      </c>
      <c r="GT7" s="3">
        <v>2</v>
      </c>
      <c r="GU7" s="3">
        <v>2</v>
      </c>
      <c r="GV7" s="3">
        <v>1</v>
      </c>
      <c r="GW7" s="3">
        <v>2</v>
      </c>
      <c r="GX7" s="3">
        <v>1</v>
      </c>
      <c r="GY7" s="3">
        <v>2</v>
      </c>
      <c r="GZ7" s="3">
        <v>2</v>
      </c>
      <c r="HA7" s="3">
        <v>2</v>
      </c>
      <c r="HB7" s="3">
        <v>2</v>
      </c>
      <c r="HC7" s="3">
        <v>2</v>
      </c>
      <c r="HD7" s="3">
        <v>3</v>
      </c>
      <c r="HE7" s="3">
        <v>1</v>
      </c>
      <c r="HF7" s="3">
        <v>2</v>
      </c>
      <c r="HG7" s="3">
        <v>0</v>
      </c>
      <c r="HH7" s="3">
        <v>4</v>
      </c>
      <c r="HI7" s="3">
        <v>1</v>
      </c>
      <c r="HJ7" s="3">
        <v>2</v>
      </c>
      <c r="HK7" s="3">
        <v>3</v>
      </c>
      <c r="HL7" s="3">
        <v>0</v>
      </c>
      <c r="HM7" s="3">
        <v>3</v>
      </c>
      <c r="HN7" s="3">
        <v>0</v>
      </c>
      <c r="HO7" s="3">
        <v>2</v>
      </c>
      <c r="HP7" s="3">
        <v>0</v>
      </c>
      <c r="HQ7" s="3">
        <v>1</v>
      </c>
      <c r="HR7" s="3">
        <v>1</v>
      </c>
      <c r="HS7" s="3">
        <v>0</v>
      </c>
      <c r="HT7" s="3">
        <v>1</v>
      </c>
      <c r="HU7" s="3">
        <v>2</v>
      </c>
      <c r="HV7" s="3">
        <v>2</v>
      </c>
      <c r="HW7" s="3">
        <v>2</v>
      </c>
      <c r="HX7" s="3">
        <v>2</v>
      </c>
      <c r="HY7" s="3">
        <v>2</v>
      </c>
      <c r="HZ7" s="3">
        <v>1</v>
      </c>
      <c r="IA7" s="3">
        <v>2</v>
      </c>
      <c r="IB7" s="3">
        <v>2</v>
      </c>
      <c r="IC7" s="3">
        <v>0</v>
      </c>
      <c r="ID7" s="3">
        <v>2</v>
      </c>
      <c r="IE7" s="3">
        <v>1</v>
      </c>
      <c r="IF7" s="3">
        <v>3</v>
      </c>
      <c r="IG7" s="3">
        <v>3</v>
      </c>
      <c r="IH7" s="3">
        <v>0</v>
      </c>
      <c r="II7" s="3">
        <v>1</v>
      </c>
      <c r="IJ7" s="3">
        <v>1</v>
      </c>
      <c r="IK7" s="3">
        <v>3</v>
      </c>
      <c r="IL7" s="3">
        <v>2</v>
      </c>
      <c r="IM7" s="3">
        <v>1</v>
      </c>
      <c r="IN7" s="3">
        <v>1</v>
      </c>
      <c r="IO7" s="3">
        <v>1</v>
      </c>
      <c r="IP7" s="3">
        <v>2</v>
      </c>
      <c r="IQ7" s="3">
        <v>1</v>
      </c>
      <c r="IR7" s="3" t="s">
        <v>302</v>
      </c>
      <c r="IS7" s="3">
        <v>2</v>
      </c>
      <c r="IT7" s="3">
        <v>2</v>
      </c>
      <c r="IU7" s="3">
        <v>2</v>
      </c>
      <c r="IV7" s="3">
        <v>2</v>
      </c>
      <c r="IW7" s="3">
        <v>2</v>
      </c>
      <c r="IX7" s="3">
        <v>3</v>
      </c>
      <c r="IY7" s="3">
        <v>2</v>
      </c>
      <c r="IZ7" s="2" t="s">
        <v>268</v>
      </c>
      <c r="JA7" s="2"/>
    </row>
    <row r="8" spans="1:261" ht="13.2" x14ac:dyDescent="0.25">
      <c r="A8" s="10">
        <v>8</v>
      </c>
      <c r="B8" s="2" t="s">
        <v>303</v>
      </c>
      <c r="C8" s="2" t="s">
        <v>261</v>
      </c>
      <c r="D8" s="2" t="s">
        <v>270</v>
      </c>
      <c r="E8" s="2">
        <v>15</v>
      </c>
      <c r="F8" s="11" t="s">
        <v>304</v>
      </c>
      <c r="G8" s="11" t="s">
        <v>305</v>
      </c>
      <c r="H8" s="2" t="s">
        <v>306</v>
      </c>
      <c r="I8" s="3">
        <v>1</v>
      </c>
      <c r="J8" s="3">
        <v>1</v>
      </c>
      <c r="K8" s="3">
        <v>1</v>
      </c>
      <c r="L8" s="3">
        <v>1</v>
      </c>
      <c r="M8" s="3">
        <v>1</v>
      </c>
      <c r="N8" s="3">
        <v>0</v>
      </c>
      <c r="O8" s="3">
        <v>0</v>
      </c>
      <c r="P8" s="3">
        <v>0</v>
      </c>
      <c r="Q8" s="3">
        <v>0</v>
      </c>
      <c r="R8" s="3">
        <v>0</v>
      </c>
      <c r="S8" s="3">
        <v>2</v>
      </c>
      <c r="T8" s="3">
        <v>1</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0</v>
      </c>
      <c r="AM8" s="3">
        <v>0</v>
      </c>
      <c r="AN8" s="3">
        <v>0</v>
      </c>
      <c r="AO8" s="3">
        <v>1</v>
      </c>
      <c r="AP8" s="3">
        <v>0</v>
      </c>
      <c r="AQ8" s="3">
        <v>0</v>
      </c>
      <c r="AR8" s="3">
        <v>0</v>
      </c>
      <c r="AS8" s="3">
        <v>3</v>
      </c>
      <c r="AT8" s="3">
        <v>0</v>
      </c>
      <c r="AU8" s="3">
        <v>0</v>
      </c>
      <c r="AV8" s="3">
        <v>0</v>
      </c>
      <c r="AW8" s="3">
        <v>0</v>
      </c>
      <c r="AX8" s="3">
        <v>0</v>
      </c>
      <c r="AY8" s="3">
        <v>1</v>
      </c>
      <c r="AZ8" s="3">
        <v>4</v>
      </c>
      <c r="BA8" s="3">
        <v>0</v>
      </c>
      <c r="BB8" s="3">
        <v>0</v>
      </c>
      <c r="BC8" s="3">
        <v>0</v>
      </c>
      <c r="BD8" s="3">
        <v>1</v>
      </c>
      <c r="BE8" s="3">
        <v>0</v>
      </c>
      <c r="BF8" s="3">
        <v>0</v>
      </c>
      <c r="BG8" s="3">
        <v>0</v>
      </c>
      <c r="BH8" s="3">
        <v>0</v>
      </c>
      <c r="BI8" s="3">
        <v>0</v>
      </c>
      <c r="BJ8" s="3">
        <v>0</v>
      </c>
      <c r="BK8" s="3">
        <v>0</v>
      </c>
      <c r="BL8" s="3">
        <v>0</v>
      </c>
      <c r="BM8" s="3" t="s">
        <v>274</v>
      </c>
      <c r="BN8" s="3">
        <v>4</v>
      </c>
      <c r="BO8" s="3">
        <v>0</v>
      </c>
      <c r="BP8" s="3">
        <v>1</v>
      </c>
      <c r="BQ8" s="3">
        <v>1</v>
      </c>
      <c r="BR8" s="3">
        <v>1</v>
      </c>
      <c r="BS8" s="3">
        <v>1</v>
      </c>
      <c r="BT8" s="3">
        <v>0</v>
      </c>
      <c r="BU8" s="2">
        <v>0</v>
      </c>
      <c r="BV8" s="2">
        <v>0</v>
      </c>
      <c r="BW8" s="2">
        <v>0</v>
      </c>
      <c r="BX8" s="2">
        <v>0</v>
      </c>
      <c r="BY8" s="2">
        <v>0</v>
      </c>
      <c r="BZ8" s="2">
        <v>0</v>
      </c>
      <c r="CA8" s="2">
        <v>0</v>
      </c>
      <c r="CB8" s="2">
        <v>1</v>
      </c>
      <c r="CC8" s="2">
        <v>1</v>
      </c>
      <c r="CD8" s="2">
        <v>0</v>
      </c>
      <c r="CE8" s="2">
        <v>0</v>
      </c>
      <c r="CF8" s="2">
        <v>1</v>
      </c>
      <c r="CG8" s="2">
        <v>0</v>
      </c>
      <c r="CH8" s="2">
        <v>0</v>
      </c>
      <c r="CI8" s="2">
        <v>0</v>
      </c>
      <c r="CJ8" s="2">
        <v>0</v>
      </c>
      <c r="CK8" s="2">
        <v>0</v>
      </c>
      <c r="CL8" s="2">
        <v>0</v>
      </c>
      <c r="CM8" s="2">
        <v>0</v>
      </c>
      <c r="CN8" s="2">
        <v>0</v>
      </c>
      <c r="CO8" s="2">
        <v>0</v>
      </c>
      <c r="CP8" s="2">
        <v>0</v>
      </c>
      <c r="CQ8" s="2">
        <v>0</v>
      </c>
      <c r="CR8" s="2">
        <v>0</v>
      </c>
      <c r="CS8" s="2">
        <v>0</v>
      </c>
      <c r="CT8" s="2">
        <v>0</v>
      </c>
      <c r="CU8" s="2">
        <v>0</v>
      </c>
      <c r="CV8" s="2">
        <v>0</v>
      </c>
      <c r="CW8" s="2">
        <v>1</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0</v>
      </c>
      <c r="DP8" s="2">
        <v>0</v>
      </c>
      <c r="DQ8" s="2">
        <v>0</v>
      </c>
      <c r="DR8" s="2">
        <v>0</v>
      </c>
      <c r="DS8" s="2">
        <v>0</v>
      </c>
      <c r="DT8" s="2">
        <v>0</v>
      </c>
      <c r="DU8" s="2">
        <v>0</v>
      </c>
      <c r="DV8" s="2">
        <v>0</v>
      </c>
      <c r="DW8" s="2">
        <v>0</v>
      </c>
      <c r="DX8" s="2">
        <v>0</v>
      </c>
      <c r="DY8" s="2">
        <v>0</v>
      </c>
      <c r="DZ8" s="2">
        <v>0</v>
      </c>
      <c r="EA8" s="2">
        <v>0</v>
      </c>
      <c r="EB8" s="2">
        <v>0</v>
      </c>
      <c r="EC8" s="2">
        <v>0</v>
      </c>
      <c r="ED8" s="2">
        <v>0</v>
      </c>
      <c r="EE8" s="2">
        <v>0</v>
      </c>
      <c r="EF8" s="2">
        <v>0</v>
      </c>
      <c r="EG8" s="2">
        <v>0</v>
      </c>
      <c r="EH8" s="2">
        <v>0</v>
      </c>
      <c r="EI8" s="2">
        <v>0</v>
      </c>
      <c r="EJ8" s="2">
        <v>1</v>
      </c>
      <c r="EK8" s="2">
        <v>0</v>
      </c>
      <c r="EL8" s="2">
        <v>0</v>
      </c>
      <c r="EM8" s="2">
        <v>0</v>
      </c>
      <c r="EN8" s="2">
        <v>0</v>
      </c>
      <c r="EO8" s="2">
        <v>0</v>
      </c>
      <c r="EP8" s="2">
        <v>0</v>
      </c>
      <c r="EQ8" s="2">
        <v>1</v>
      </c>
      <c r="ER8" s="2">
        <v>0</v>
      </c>
      <c r="ES8" s="2">
        <v>0</v>
      </c>
      <c r="ET8" s="2">
        <v>0</v>
      </c>
      <c r="EU8" s="2">
        <v>0</v>
      </c>
      <c r="EV8" s="2">
        <v>0</v>
      </c>
      <c r="EW8" s="2">
        <v>0</v>
      </c>
      <c r="EX8" s="2">
        <v>0</v>
      </c>
      <c r="EY8" s="2">
        <v>0</v>
      </c>
      <c r="EZ8" s="2">
        <v>0</v>
      </c>
      <c r="FA8" s="2">
        <v>0</v>
      </c>
      <c r="FB8" s="2">
        <v>0</v>
      </c>
      <c r="FC8" s="2">
        <v>0</v>
      </c>
      <c r="FD8" s="2">
        <v>0</v>
      </c>
      <c r="FE8" s="2">
        <v>0</v>
      </c>
      <c r="FF8" s="2">
        <v>0</v>
      </c>
      <c r="FG8" s="2">
        <v>0</v>
      </c>
      <c r="FH8" s="2">
        <v>0</v>
      </c>
      <c r="FI8" s="2">
        <v>0</v>
      </c>
      <c r="FJ8" s="2">
        <v>0</v>
      </c>
      <c r="FK8" s="2">
        <v>0</v>
      </c>
      <c r="FL8" s="2">
        <v>0</v>
      </c>
      <c r="FM8" s="2">
        <v>0</v>
      </c>
      <c r="FN8" s="2">
        <v>0</v>
      </c>
      <c r="FO8" s="2">
        <v>0</v>
      </c>
      <c r="FP8" s="2">
        <v>1</v>
      </c>
      <c r="FQ8" s="2">
        <v>1</v>
      </c>
      <c r="FR8" s="2">
        <v>0</v>
      </c>
      <c r="FS8" s="2">
        <v>0</v>
      </c>
      <c r="FT8" s="2">
        <v>0</v>
      </c>
      <c r="FU8" s="2">
        <v>0</v>
      </c>
      <c r="FV8" s="2">
        <v>0</v>
      </c>
      <c r="FW8" s="2">
        <v>0</v>
      </c>
      <c r="FX8" s="2">
        <v>0</v>
      </c>
      <c r="FY8" s="2">
        <v>0</v>
      </c>
      <c r="FZ8" s="2">
        <v>0</v>
      </c>
      <c r="GA8" s="2">
        <v>0</v>
      </c>
      <c r="GB8" s="2">
        <v>2</v>
      </c>
      <c r="GC8" s="2" t="s">
        <v>274</v>
      </c>
      <c r="GD8" s="2">
        <v>0</v>
      </c>
      <c r="GE8" s="2">
        <v>0</v>
      </c>
      <c r="GF8" s="2">
        <v>0</v>
      </c>
      <c r="GG8" s="2">
        <v>0</v>
      </c>
      <c r="GH8" s="2">
        <v>0</v>
      </c>
      <c r="GI8" s="2">
        <v>1</v>
      </c>
      <c r="GJ8" s="2">
        <v>0</v>
      </c>
      <c r="GK8" s="2">
        <v>0</v>
      </c>
      <c r="GL8" s="2">
        <v>0</v>
      </c>
      <c r="GM8" s="2">
        <v>0</v>
      </c>
      <c r="GN8" s="3">
        <v>0</v>
      </c>
      <c r="GO8" s="3">
        <v>0</v>
      </c>
      <c r="GP8" s="3">
        <v>0</v>
      </c>
      <c r="GQ8" s="3">
        <v>0</v>
      </c>
      <c r="GR8" s="3">
        <v>0</v>
      </c>
      <c r="GS8" s="3">
        <v>0</v>
      </c>
      <c r="GT8" s="3">
        <v>0</v>
      </c>
      <c r="GU8" s="3">
        <v>0</v>
      </c>
      <c r="GV8" s="3">
        <v>0</v>
      </c>
      <c r="GW8" s="3">
        <v>0</v>
      </c>
      <c r="GX8" s="3">
        <v>0</v>
      </c>
      <c r="GY8" s="3">
        <v>0</v>
      </c>
      <c r="GZ8" s="3">
        <v>0</v>
      </c>
      <c r="HA8" s="3">
        <v>0</v>
      </c>
      <c r="HB8" s="3">
        <v>0</v>
      </c>
      <c r="HC8" s="3">
        <v>0</v>
      </c>
      <c r="HD8" s="3">
        <v>0</v>
      </c>
      <c r="HE8" s="3">
        <v>0</v>
      </c>
      <c r="HF8" s="3">
        <v>0</v>
      </c>
      <c r="HG8" s="3">
        <v>0</v>
      </c>
      <c r="HH8" s="3">
        <v>0</v>
      </c>
      <c r="HI8" s="3">
        <v>0</v>
      </c>
      <c r="HJ8" s="3">
        <v>0</v>
      </c>
      <c r="HK8" s="3">
        <v>0</v>
      </c>
      <c r="HL8" s="3">
        <v>0</v>
      </c>
      <c r="HM8" s="3">
        <v>0</v>
      </c>
      <c r="HN8" s="3">
        <v>0</v>
      </c>
      <c r="HO8" s="3">
        <v>0</v>
      </c>
      <c r="HP8" s="3">
        <v>0</v>
      </c>
      <c r="HQ8" s="3">
        <v>0</v>
      </c>
      <c r="HR8" s="3">
        <v>0</v>
      </c>
      <c r="HS8" s="3">
        <v>0</v>
      </c>
      <c r="HT8" s="3">
        <v>0</v>
      </c>
      <c r="HU8" s="3">
        <v>0</v>
      </c>
      <c r="HV8" s="3">
        <v>0</v>
      </c>
      <c r="HW8" s="3">
        <v>0</v>
      </c>
      <c r="HX8" s="3">
        <v>0</v>
      </c>
      <c r="HY8" s="3">
        <v>0</v>
      </c>
      <c r="HZ8" s="3">
        <v>0</v>
      </c>
      <c r="IA8" s="3">
        <v>0</v>
      </c>
      <c r="IB8" s="3">
        <v>0</v>
      </c>
      <c r="IC8" s="3">
        <v>0</v>
      </c>
      <c r="ID8" s="3">
        <v>0</v>
      </c>
      <c r="IE8" s="3">
        <v>0</v>
      </c>
      <c r="IF8" s="3">
        <v>0</v>
      </c>
      <c r="IG8" s="3">
        <v>0</v>
      </c>
      <c r="IH8" s="3">
        <v>0</v>
      </c>
      <c r="II8" s="3">
        <v>0</v>
      </c>
      <c r="IJ8" s="3">
        <v>0</v>
      </c>
      <c r="IK8" s="3">
        <v>0</v>
      </c>
      <c r="IL8" s="3">
        <v>0</v>
      </c>
      <c r="IM8" s="3">
        <v>0</v>
      </c>
      <c r="IN8" s="3">
        <v>0</v>
      </c>
      <c r="IO8" s="3">
        <v>0</v>
      </c>
      <c r="IP8" s="3">
        <v>0</v>
      </c>
      <c r="IQ8" s="3">
        <v>0</v>
      </c>
      <c r="IR8" s="3" t="s">
        <v>274</v>
      </c>
      <c r="IS8" s="3">
        <v>3</v>
      </c>
      <c r="IT8" s="3">
        <v>0</v>
      </c>
      <c r="IU8" s="3">
        <v>0</v>
      </c>
      <c r="IV8" s="3">
        <v>0</v>
      </c>
      <c r="IW8" s="3">
        <v>0</v>
      </c>
      <c r="IX8" s="3">
        <v>0</v>
      </c>
      <c r="IY8" s="3">
        <v>0</v>
      </c>
      <c r="IZ8" s="2" t="s">
        <v>268</v>
      </c>
      <c r="JA8" s="2"/>
    </row>
    <row r="9" spans="1:261" ht="13.2" x14ac:dyDescent="0.25">
      <c r="A9" s="10">
        <v>9</v>
      </c>
      <c r="B9" s="2" t="s">
        <v>307</v>
      </c>
      <c r="C9" s="2" t="s">
        <v>276</v>
      </c>
      <c r="D9" s="2" t="s">
        <v>270</v>
      </c>
      <c r="E9" s="2">
        <v>17</v>
      </c>
      <c r="F9" s="11" t="s">
        <v>308</v>
      </c>
      <c r="G9" s="11" t="s">
        <v>305</v>
      </c>
      <c r="H9" s="2" t="s">
        <v>309</v>
      </c>
      <c r="I9" s="3">
        <v>4</v>
      </c>
      <c r="J9" s="3">
        <v>4</v>
      </c>
      <c r="K9" s="3">
        <v>3</v>
      </c>
      <c r="L9" s="3">
        <v>4</v>
      </c>
      <c r="M9" s="3">
        <v>4</v>
      </c>
      <c r="N9" s="3">
        <v>4</v>
      </c>
      <c r="O9" s="3">
        <v>4</v>
      </c>
      <c r="P9" s="3">
        <v>4</v>
      </c>
      <c r="Q9" s="3">
        <v>4</v>
      </c>
      <c r="R9" s="3">
        <v>4</v>
      </c>
      <c r="S9" s="3">
        <v>4</v>
      </c>
      <c r="T9" s="3">
        <v>4</v>
      </c>
      <c r="U9" s="3">
        <v>4</v>
      </c>
      <c r="V9" s="3">
        <v>3</v>
      </c>
      <c r="W9" s="3">
        <v>4</v>
      </c>
      <c r="X9" s="3">
        <v>4</v>
      </c>
      <c r="Y9" s="3">
        <v>4</v>
      </c>
      <c r="Z9" s="3">
        <v>4</v>
      </c>
      <c r="AA9" s="3">
        <v>2</v>
      </c>
      <c r="AB9" s="3">
        <v>3</v>
      </c>
      <c r="AC9" s="3">
        <v>4</v>
      </c>
      <c r="AD9" s="3">
        <v>4</v>
      </c>
      <c r="AE9" s="3">
        <v>4</v>
      </c>
      <c r="AF9" s="3">
        <v>4</v>
      </c>
      <c r="AG9" s="3">
        <v>2</v>
      </c>
      <c r="AH9" s="3">
        <v>3</v>
      </c>
      <c r="AI9" s="3">
        <v>4</v>
      </c>
      <c r="AJ9" s="3">
        <v>4</v>
      </c>
      <c r="AK9" s="3">
        <v>4</v>
      </c>
      <c r="AL9" s="3">
        <v>4</v>
      </c>
      <c r="AM9" s="3">
        <v>3</v>
      </c>
      <c r="AN9" s="3">
        <v>3</v>
      </c>
      <c r="AO9" s="3">
        <v>4</v>
      </c>
      <c r="AP9" s="3">
        <v>3</v>
      </c>
      <c r="AQ9" s="3">
        <v>3</v>
      </c>
      <c r="AR9" s="3">
        <v>3</v>
      </c>
      <c r="AS9" s="3">
        <v>3</v>
      </c>
      <c r="AT9" s="3">
        <v>4</v>
      </c>
      <c r="AU9" s="3">
        <v>4</v>
      </c>
      <c r="AV9" s="3">
        <v>4</v>
      </c>
      <c r="AW9" s="3">
        <v>2</v>
      </c>
      <c r="AX9" s="3">
        <v>3</v>
      </c>
      <c r="AY9" s="3">
        <v>3</v>
      </c>
      <c r="AZ9" s="3">
        <v>2</v>
      </c>
      <c r="BA9" s="3">
        <v>3</v>
      </c>
      <c r="BB9" s="3">
        <v>2</v>
      </c>
      <c r="BC9" s="3">
        <v>2</v>
      </c>
      <c r="BD9" s="3">
        <v>3</v>
      </c>
      <c r="BE9" s="3">
        <v>4</v>
      </c>
      <c r="BF9" s="3">
        <v>4</v>
      </c>
      <c r="BG9" s="3">
        <v>4</v>
      </c>
      <c r="BH9" s="3">
        <v>4</v>
      </c>
      <c r="BI9" s="3">
        <v>4</v>
      </c>
      <c r="BJ9" s="3">
        <v>3</v>
      </c>
      <c r="BK9" s="3">
        <v>4</v>
      </c>
      <c r="BL9" s="3">
        <v>4</v>
      </c>
      <c r="BM9" s="3" t="s">
        <v>310</v>
      </c>
      <c r="BN9" s="3">
        <v>3</v>
      </c>
      <c r="BO9" s="3">
        <v>3</v>
      </c>
      <c r="BP9" s="3">
        <v>4</v>
      </c>
      <c r="BQ9" s="3">
        <v>4</v>
      </c>
      <c r="BR9" s="3">
        <v>4</v>
      </c>
      <c r="BS9" s="3">
        <v>4</v>
      </c>
      <c r="BT9" s="3">
        <v>4</v>
      </c>
      <c r="BU9" s="2">
        <v>4</v>
      </c>
      <c r="BV9" s="2">
        <v>3</v>
      </c>
      <c r="BW9" s="2">
        <v>4</v>
      </c>
      <c r="BX9" s="2">
        <v>4</v>
      </c>
      <c r="BY9" s="2">
        <v>4</v>
      </c>
      <c r="BZ9" s="2">
        <v>4</v>
      </c>
      <c r="CA9" s="2">
        <v>4</v>
      </c>
      <c r="CB9" s="2">
        <v>4</v>
      </c>
      <c r="CC9" s="2">
        <v>3</v>
      </c>
      <c r="CD9" s="2">
        <v>4</v>
      </c>
      <c r="CE9" s="2">
        <v>3</v>
      </c>
      <c r="CF9" s="2">
        <v>4</v>
      </c>
      <c r="CG9" s="2">
        <v>4</v>
      </c>
      <c r="CH9" s="2">
        <v>4</v>
      </c>
      <c r="CI9" s="2">
        <v>4</v>
      </c>
      <c r="CJ9" s="2">
        <v>3</v>
      </c>
      <c r="CK9" s="2">
        <v>4</v>
      </c>
      <c r="CL9" s="2">
        <v>4</v>
      </c>
      <c r="CM9" s="2">
        <v>4</v>
      </c>
      <c r="CN9" s="2">
        <v>4</v>
      </c>
      <c r="CO9" s="2">
        <v>4</v>
      </c>
      <c r="CP9" s="2">
        <v>4</v>
      </c>
      <c r="CQ9" s="2">
        <v>4</v>
      </c>
      <c r="CR9" s="2">
        <v>4</v>
      </c>
      <c r="CS9" s="2">
        <v>3</v>
      </c>
      <c r="CT9" s="2">
        <v>4</v>
      </c>
      <c r="CU9" s="2">
        <v>3</v>
      </c>
      <c r="CV9" s="2">
        <v>4</v>
      </c>
      <c r="CW9" s="2">
        <v>4</v>
      </c>
      <c r="CX9" s="2">
        <v>3</v>
      </c>
      <c r="CY9" s="2">
        <v>4</v>
      </c>
      <c r="CZ9" s="2">
        <v>4</v>
      </c>
      <c r="DA9" s="2">
        <v>4</v>
      </c>
      <c r="DB9" s="2">
        <v>3</v>
      </c>
      <c r="DC9" s="2">
        <v>2</v>
      </c>
      <c r="DD9" s="2">
        <v>3</v>
      </c>
      <c r="DE9" s="2">
        <v>4</v>
      </c>
      <c r="DF9" s="2">
        <v>4</v>
      </c>
      <c r="DG9" s="2">
        <v>4</v>
      </c>
      <c r="DH9" s="2">
        <v>4</v>
      </c>
      <c r="DI9" s="2">
        <v>4</v>
      </c>
      <c r="DJ9" s="2">
        <v>4</v>
      </c>
      <c r="DK9" s="2">
        <v>4</v>
      </c>
      <c r="DL9" s="2">
        <v>4</v>
      </c>
      <c r="DM9" s="2">
        <v>4</v>
      </c>
      <c r="DN9" s="2">
        <v>4</v>
      </c>
      <c r="DO9" s="2">
        <v>4</v>
      </c>
      <c r="DP9" s="2">
        <v>4</v>
      </c>
      <c r="DQ9" s="2">
        <v>4</v>
      </c>
      <c r="DR9" s="2">
        <v>4</v>
      </c>
      <c r="DS9" s="2">
        <v>4</v>
      </c>
      <c r="DT9" s="2">
        <v>4</v>
      </c>
      <c r="DU9" s="2">
        <v>3</v>
      </c>
      <c r="DV9" s="2">
        <v>4</v>
      </c>
      <c r="DW9" s="2">
        <v>4</v>
      </c>
      <c r="DX9" s="2">
        <v>4</v>
      </c>
      <c r="DY9" s="2">
        <v>4</v>
      </c>
      <c r="DZ9" s="2">
        <v>4</v>
      </c>
      <c r="EA9" s="2">
        <v>4</v>
      </c>
      <c r="EB9" s="2">
        <v>1</v>
      </c>
      <c r="EC9" s="2">
        <v>2</v>
      </c>
      <c r="ED9" s="2">
        <v>1</v>
      </c>
      <c r="EE9" s="2">
        <v>2</v>
      </c>
      <c r="EF9" s="2">
        <v>1</v>
      </c>
      <c r="EG9" s="2">
        <v>1</v>
      </c>
      <c r="EH9" s="2">
        <v>0</v>
      </c>
      <c r="EI9" s="2">
        <v>4</v>
      </c>
      <c r="EJ9" s="2">
        <v>4</v>
      </c>
      <c r="EK9" s="2">
        <v>4</v>
      </c>
      <c r="EL9" s="2">
        <v>4</v>
      </c>
      <c r="EM9" s="2">
        <v>4</v>
      </c>
      <c r="EN9" s="2">
        <v>2</v>
      </c>
      <c r="EO9" s="2">
        <v>2</v>
      </c>
      <c r="EP9" s="2">
        <v>2</v>
      </c>
      <c r="EQ9" s="2">
        <v>4</v>
      </c>
      <c r="ER9" s="2">
        <v>2</v>
      </c>
      <c r="ES9" s="2">
        <v>3</v>
      </c>
      <c r="ET9" s="2">
        <v>3</v>
      </c>
      <c r="EU9" s="2">
        <v>3</v>
      </c>
      <c r="EV9" s="2">
        <v>4</v>
      </c>
      <c r="EW9" s="2">
        <v>4</v>
      </c>
      <c r="EX9" s="2">
        <v>4</v>
      </c>
      <c r="EY9" s="2">
        <v>3</v>
      </c>
      <c r="EZ9" s="2">
        <v>2</v>
      </c>
      <c r="FA9" s="2">
        <v>4</v>
      </c>
      <c r="FB9" s="2">
        <v>3</v>
      </c>
      <c r="FC9" s="2">
        <v>4</v>
      </c>
      <c r="FD9" s="2">
        <v>4</v>
      </c>
      <c r="FE9" s="2">
        <v>2</v>
      </c>
      <c r="FF9" s="2">
        <v>4</v>
      </c>
      <c r="FG9" s="2">
        <v>4</v>
      </c>
      <c r="FH9" s="2">
        <v>4</v>
      </c>
      <c r="FI9" s="2">
        <v>4</v>
      </c>
      <c r="FJ9" s="2">
        <v>3</v>
      </c>
      <c r="FK9" s="2">
        <v>2</v>
      </c>
      <c r="FL9" s="2">
        <v>3</v>
      </c>
      <c r="FM9" s="2">
        <v>3</v>
      </c>
      <c r="FN9" s="2">
        <v>3</v>
      </c>
      <c r="FO9" s="2">
        <v>3</v>
      </c>
      <c r="FP9" s="2">
        <v>4</v>
      </c>
      <c r="FQ9" s="2">
        <v>3</v>
      </c>
      <c r="FR9" s="2">
        <v>2</v>
      </c>
      <c r="FS9" s="2">
        <v>2</v>
      </c>
      <c r="FT9" s="2">
        <v>2</v>
      </c>
      <c r="FU9" s="2">
        <v>3</v>
      </c>
      <c r="FV9" s="2">
        <v>4</v>
      </c>
      <c r="FW9" s="2">
        <v>4</v>
      </c>
      <c r="FX9" s="2">
        <v>4</v>
      </c>
      <c r="FY9" s="2">
        <v>4</v>
      </c>
      <c r="FZ9" s="2">
        <v>4</v>
      </c>
      <c r="GA9" s="2">
        <v>4</v>
      </c>
      <c r="GB9" s="2">
        <v>2</v>
      </c>
      <c r="GC9" s="2" t="s">
        <v>311</v>
      </c>
      <c r="GD9" s="2">
        <v>3</v>
      </c>
      <c r="GE9" s="2">
        <v>3</v>
      </c>
      <c r="GF9" s="2">
        <v>4</v>
      </c>
      <c r="GG9" s="2">
        <v>4</v>
      </c>
      <c r="GH9" s="2">
        <v>4</v>
      </c>
      <c r="GI9" s="2">
        <v>3</v>
      </c>
      <c r="GJ9" s="2">
        <v>4</v>
      </c>
      <c r="GK9" s="2">
        <v>4</v>
      </c>
      <c r="GL9" s="2">
        <v>3</v>
      </c>
      <c r="GM9" s="2">
        <v>4</v>
      </c>
      <c r="GN9" s="3">
        <v>4</v>
      </c>
      <c r="GO9" s="3">
        <v>4</v>
      </c>
      <c r="GP9" s="3">
        <v>3</v>
      </c>
      <c r="GQ9" s="3">
        <v>4</v>
      </c>
      <c r="GR9" s="3">
        <v>3</v>
      </c>
      <c r="GS9" s="3">
        <v>4</v>
      </c>
      <c r="GT9" s="3">
        <v>4</v>
      </c>
      <c r="GU9" s="3">
        <v>4</v>
      </c>
      <c r="GV9" s="3">
        <v>4</v>
      </c>
      <c r="GW9" s="3">
        <v>3</v>
      </c>
      <c r="GX9" s="3">
        <v>2</v>
      </c>
      <c r="GY9" s="3">
        <v>4</v>
      </c>
      <c r="GZ9" s="3">
        <v>3</v>
      </c>
      <c r="HA9" s="3">
        <v>4</v>
      </c>
      <c r="HB9" s="3">
        <v>2</v>
      </c>
      <c r="HC9" s="3">
        <v>4</v>
      </c>
      <c r="HD9" s="3">
        <v>3</v>
      </c>
      <c r="HE9" s="3">
        <v>4</v>
      </c>
      <c r="HF9" s="3">
        <v>3</v>
      </c>
      <c r="HG9" s="3">
        <v>2</v>
      </c>
      <c r="HH9" s="3">
        <v>4</v>
      </c>
      <c r="HI9" s="3">
        <v>4</v>
      </c>
      <c r="HJ9" s="3">
        <v>4</v>
      </c>
      <c r="HK9" s="3">
        <v>4</v>
      </c>
      <c r="HL9" s="3">
        <v>4</v>
      </c>
      <c r="HM9" s="3">
        <v>4</v>
      </c>
      <c r="HN9" s="3">
        <v>4</v>
      </c>
      <c r="HO9" s="3">
        <v>4</v>
      </c>
      <c r="HP9" s="3">
        <v>4</v>
      </c>
      <c r="HQ9" s="3">
        <v>3</v>
      </c>
      <c r="HR9" s="3">
        <v>3</v>
      </c>
      <c r="HS9" s="3">
        <v>0</v>
      </c>
      <c r="HT9" s="3">
        <v>0</v>
      </c>
      <c r="HU9" s="3">
        <v>0</v>
      </c>
      <c r="HV9" s="3">
        <v>4</v>
      </c>
      <c r="HW9" s="3">
        <v>4</v>
      </c>
      <c r="HX9" s="3">
        <v>2</v>
      </c>
      <c r="HY9" s="3">
        <v>2</v>
      </c>
      <c r="HZ9" s="3">
        <v>2</v>
      </c>
      <c r="IA9" s="3">
        <v>4</v>
      </c>
      <c r="IB9" s="3">
        <v>4</v>
      </c>
      <c r="IC9" s="3">
        <v>4</v>
      </c>
      <c r="ID9" s="3">
        <v>4</v>
      </c>
      <c r="IE9" s="3">
        <v>4</v>
      </c>
      <c r="IF9" s="3">
        <v>3</v>
      </c>
      <c r="IG9" s="3">
        <v>3</v>
      </c>
      <c r="IH9" s="3">
        <v>2</v>
      </c>
      <c r="II9" s="3">
        <v>4</v>
      </c>
      <c r="IJ9" s="3">
        <v>2</v>
      </c>
      <c r="IK9" s="3">
        <v>4</v>
      </c>
      <c r="IL9" s="3">
        <v>4</v>
      </c>
      <c r="IM9" s="3">
        <v>3</v>
      </c>
      <c r="IN9" s="3">
        <v>1</v>
      </c>
      <c r="IO9" s="3">
        <v>1</v>
      </c>
      <c r="IP9" s="3">
        <v>1</v>
      </c>
      <c r="IQ9" s="3">
        <v>1</v>
      </c>
      <c r="IR9" s="3" t="s">
        <v>312</v>
      </c>
      <c r="IS9" s="3">
        <v>4</v>
      </c>
      <c r="IT9" s="3">
        <v>4</v>
      </c>
      <c r="IU9" s="3">
        <v>4</v>
      </c>
      <c r="IV9" s="3">
        <v>4</v>
      </c>
      <c r="IW9" s="3">
        <v>3</v>
      </c>
      <c r="IX9" s="3">
        <v>4</v>
      </c>
      <c r="IY9" s="3">
        <v>4</v>
      </c>
      <c r="IZ9" s="2" t="s">
        <v>268</v>
      </c>
      <c r="JA9" s="2"/>
    </row>
    <row r="10" spans="1:261" ht="13.2" x14ac:dyDescent="0.25">
      <c r="A10" s="10">
        <v>10</v>
      </c>
      <c r="B10" s="2" t="s">
        <v>313</v>
      </c>
      <c r="C10" s="2" t="s">
        <v>276</v>
      </c>
      <c r="D10" s="2" t="s">
        <v>262</v>
      </c>
      <c r="E10" s="2">
        <v>43</v>
      </c>
      <c r="F10" s="11" t="s">
        <v>314</v>
      </c>
      <c r="G10" s="11" t="s">
        <v>315</v>
      </c>
      <c r="H10" s="2" t="s">
        <v>316</v>
      </c>
      <c r="I10" s="3">
        <v>3</v>
      </c>
      <c r="J10" s="3">
        <v>1</v>
      </c>
      <c r="K10" s="3">
        <v>2</v>
      </c>
      <c r="L10" s="3">
        <v>2</v>
      </c>
      <c r="M10" s="3">
        <v>2</v>
      </c>
      <c r="N10" s="3">
        <v>3</v>
      </c>
      <c r="O10" s="3">
        <v>2</v>
      </c>
      <c r="P10" s="3">
        <v>1</v>
      </c>
      <c r="Q10" s="3">
        <v>1</v>
      </c>
      <c r="R10" s="3">
        <v>2</v>
      </c>
      <c r="S10" s="3">
        <v>2</v>
      </c>
      <c r="T10" s="3">
        <v>1</v>
      </c>
      <c r="U10" s="3">
        <v>1</v>
      </c>
      <c r="V10" s="3">
        <v>0</v>
      </c>
      <c r="W10" s="3">
        <v>2</v>
      </c>
      <c r="X10" s="3">
        <v>1</v>
      </c>
      <c r="Y10" s="3">
        <v>2</v>
      </c>
      <c r="Z10" s="3">
        <v>2</v>
      </c>
      <c r="AA10" s="3">
        <v>0</v>
      </c>
      <c r="AB10" s="3">
        <v>0</v>
      </c>
      <c r="AC10" s="3">
        <v>0</v>
      </c>
      <c r="AD10" s="3">
        <v>0</v>
      </c>
      <c r="AE10" s="3">
        <v>1</v>
      </c>
      <c r="AF10" s="3">
        <v>0</v>
      </c>
      <c r="AG10" s="3">
        <v>1</v>
      </c>
      <c r="AH10" s="3">
        <v>0</v>
      </c>
      <c r="AI10" s="3">
        <v>3</v>
      </c>
      <c r="AJ10" s="3">
        <v>2</v>
      </c>
      <c r="AK10" s="3">
        <v>2</v>
      </c>
      <c r="AL10" s="3">
        <v>2</v>
      </c>
      <c r="AM10" s="3">
        <v>0</v>
      </c>
      <c r="AN10" s="3">
        <v>1</v>
      </c>
      <c r="AO10" s="3">
        <v>3</v>
      </c>
      <c r="AP10" s="3">
        <v>1</v>
      </c>
      <c r="AQ10" s="3">
        <v>1</v>
      </c>
      <c r="AR10" s="3">
        <v>0</v>
      </c>
      <c r="AS10" s="3">
        <v>0</v>
      </c>
      <c r="AT10" s="3">
        <v>0</v>
      </c>
      <c r="AU10" s="3">
        <v>2</v>
      </c>
      <c r="AV10" s="3">
        <v>0</v>
      </c>
      <c r="AW10" s="3">
        <v>2</v>
      </c>
      <c r="AX10" s="3">
        <v>1</v>
      </c>
      <c r="AY10" s="3">
        <v>1</v>
      </c>
      <c r="AZ10" s="3">
        <v>2</v>
      </c>
      <c r="BA10" s="3">
        <v>1</v>
      </c>
      <c r="BB10" s="3">
        <v>0</v>
      </c>
      <c r="BC10" s="3">
        <v>0</v>
      </c>
      <c r="BD10" s="3">
        <v>0</v>
      </c>
      <c r="BE10" s="3">
        <v>1</v>
      </c>
      <c r="BF10" s="3">
        <v>3</v>
      </c>
      <c r="BG10" s="3">
        <v>3</v>
      </c>
      <c r="BH10" s="3">
        <v>2</v>
      </c>
      <c r="BI10" s="3">
        <v>2</v>
      </c>
      <c r="BJ10" s="3">
        <v>2</v>
      </c>
      <c r="BK10" s="3">
        <v>2</v>
      </c>
      <c r="BL10" s="3">
        <v>2</v>
      </c>
      <c r="BM10" s="3" t="s">
        <v>274</v>
      </c>
      <c r="BN10" s="3" t="s">
        <v>274</v>
      </c>
      <c r="BO10" s="3" t="s">
        <v>274</v>
      </c>
      <c r="BP10" s="3" t="s">
        <v>274</v>
      </c>
      <c r="BQ10" s="3" t="s">
        <v>274</v>
      </c>
      <c r="BR10" s="3" t="s">
        <v>274</v>
      </c>
      <c r="BS10" s="3" t="s">
        <v>274</v>
      </c>
      <c r="BT10" s="3" t="s">
        <v>274</v>
      </c>
      <c r="BU10" s="2">
        <v>0</v>
      </c>
      <c r="BV10" s="2">
        <v>1</v>
      </c>
      <c r="BW10" s="2">
        <v>2</v>
      </c>
      <c r="BX10" s="2">
        <v>0</v>
      </c>
      <c r="BY10" s="2">
        <v>0</v>
      </c>
      <c r="BZ10" s="2">
        <v>0</v>
      </c>
      <c r="CA10" s="2">
        <v>0</v>
      </c>
      <c r="CB10" s="2">
        <v>2</v>
      </c>
      <c r="CC10" s="2">
        <v>0</v>
      </c>
      <c r="CD10" s="2">
        <v>0</v>
      </c>
      <c r="CE10" s="2">
        <v>1</v>
      </c>
      <c r="CF10" s="2">
        <v>0</v>
      </c>
      <c r="CG10" s="2">
        <v>0</v>
      </c>
      <c r="CH10" s="2">
        <v>0</v>
      </c>
      <c r="CI10" s="2">
        <v>2</v>
      </c>
      <c r="CJ10" s="2">
        <v>0</v>
      </c>
      <c r="CK10" s="2">
        <v>0</v>
      </c>
      <c r="CL10" s="2">
        <v>2</v>
      </c>
      <c r="CM10" s="2">
        <v>0</v>
      </c>
      <c r="CN10" s="2">
        <v>0</v>
      </c>
      <c r="CO10" s="2">
        <v>1</v>
      </c>
      <c r="CP10" s="2">
        <v>0</v>
      </c>
      <c r="CQ10" s="2">
        <v>1</v>
      </c>
      <c r="CR10" s="2">
        <v>1</v>
      </c>
      <c r="CS10" s="2">
        <v>1</v>
      </c>
      <c r="CT10" s="2">
        <v>0</v>
      </c>
      <c r="CU10" s="2">
        <v>0</v>
      </c>
      <c r="CV10" s="2">
        <v>2</v>
      </c>
      <c r="CW10" s="2">
        <v>0</v>
      </c>
      <c r="CX10" s="2">
        <v>0</v>
      </c>
      <c r="CY10" s="2">
        <v>0</v>
      </c>
      <c r="CZ10" s="2">
        <v>0</v>
      </c>
      <c r="DA10" s="2">
        <v>1</v>
      </c>
      <c r="DB10" s="2">
        <v>0</v>
      </c>
      <c r="DC10" s="2">
        <v>0</v>
      </c>
      <c r="DD10" s="2">
        <v>0</v>
      </c>
      <c r="DE10" s="2">
        <v>2</v>
      </c>
      <c r="DF10" s="2">
        <v>0</v>
      </c>
      <c r="DG10" s="2">
        <v>1</v>
      </c>
      <c r="DH10" s="2">
        <v>1</v>
      </c>
      <c r="DI10" s="2">
        <v>0</v>
      </c>
      <c r="DJ10" s="2">
        <v>1</v>
      </c>
      <c r="DK10" s="2">
        <v>0</v>
      </c>
      <c r="DL10" s="2">
        <v>0</v>
      </c>
      <c r="DM10" s="2">
        <v>0</v>
      </c>
      <c r="DN10" s="2">
        <v>0</v>
      </c>
      <c r="DO10" s="2">
        <v>0</v>
      </c>
      <c r="DP10" s="2">
        <v>0</v>
      </c>
      <c r="DQ10" s="2">
        <v>0</v>
      </c>
      <c r="DR10" s="2">
        <v>0</v>
      </c>
      <c r="DS10" s="2">
        <v>0</v>
      </c>
      <c r="DT10" s="2">
        <v>0</v>
      </c>
      <c r="DU10" s="2">
        <v>0</v>
      </c>
      <c r="DV10" s="2">
        <v>0</v>
      </c>
      <c r="DW10" s="2">
        <v>0</v>
      </c>
      <c r="DX10" s="2">
        <v>1</v>
      </c>
      <c r="DY10" s="2">
        <v>0</v>
      </c>
      <c r="DZ10" s="2">
        <v>0</v>
      </c>
      <c r="EA10" s="2">
        <v>0</v>
      </c>
      <c r="EB10" s="2">
        <v>0</v>
      </c>
      <c r="EC10" s="2">
        <v>0</v>
      </c>
      <c r="ED10" s="2">
        <v>0</v>
      </c>
      <c r="EE10" s="2">
        <v>0</v>
      </c>
      <c r="EF10" s="2">
        <v>0</v>
      </c>
      <c r="EG10" s="2">
        <v>0</v>
      </c>
      <c r="EH10" s="2">
        <v>0</v>
      </c>
      <c r="EI10" s="2">
        <v>0</v>
      </c>
      <c r="EJ10" s="2">
        <v>0</v>
      </c>
      <c r="EK10" s="2">
        <v>1</v>
      </c>
      <c r="EL10" s="2">
        <v>0</v>
      </c>
      <c r="EM10" s="2">
        <v>0</v>
      </c>
      <c r="EN10" s="2">
        <v>0</v>
      </c>
      <c r="EO10" s="2">
        <v>0</v>
      </c>
      <c r="EP10" s="2">
        <v>0</v>
      </c>
      <c r="EQ10" s="2">
        <v>1</v>
      </c>
      <c r="ER10" s="2">
        <v>0</v>
      </c>
      <c r="ES10" s="2">
        <v>1</v>
      </c>
      <c r="ET10" s="2">
        <v>0</v>
      </c>
      <c r="EU10" s="2">
        <v>0</v>
      </c>
      <c r="EV10" s="2">
        <v>0</v>
      </c>
      <c r="EW10" s="2">
        <v>1</v>
      </c>
      <c r="EX10" s="2">
        <v>0</v>
      </c>
      <c r="EY10" s="2">
        <v>0</v>
      </c>
      <c r="EZ10" s="2">
        <v>0</v>
      </c>
      <c r="FA10" s="2">
        <v>1</v>
      </c>
      <c r="FB10" s="2">
        <v>0</v>
      </c>
      <c r="FC10" s="2">
        <v>0</v>
      </c>
      <c r="FD10" s="2">
        <v>0</v>
      </c>
      <c r="FE10" s="2">
        <v>0</v>
      </c>
      <c r="FF10" s="2">
        <v>1</v>
      </c>
      <c r="FG10" s="2">
        <v>0</v>
      </c>
      <c r="FH10" s="2">
        <v>0</v>
      </c>
      <c r="FI10" s="2">
        <v>0</v>
      </c>
      <c r="FJ10" s="2">
        <v>0</v>
      </c>
      <c r="FK10" s="2">
        <v>0</v>
      </c>
      <c r="FL10" s="2">
        <v>0</v>
      </c>
      <c r="FM10" s="2">
        <v>1</v>
      </c>
      <c r="FN10" s="2">
        <v>1</v>
      </c>
      <c r="FO10" s="2">
        <v>0</v>
      </c>
      <c r="FP10" s="2">
        <v>0</v>
      </c>
      <c r="FQ10" s="2">
        <v>0</v>
      </c>
      <c r="FR10" s="2">
        <v>0</v>
      </c>
      <c r="FS10" s="2">
        <v>0</v>
      </c>
      <c r="FT10" s="2">
        <v>0</v>
      </c>
      <c r="FU10" s="2">
        <v>0</v>
      </c>
      <c r="FV10" s="2">
        <v>0</v>
      </c>
      <c r="FW10" s="2">
        <v>0</v>
      </c>
      <c r="FX10" s="2">
        <v>0</v>
      </c>
      <c r="FY10" s="2">
        <v>0</v>
      </c>
      <c r="FZ10" s="2">
        <v>0</v>
      </c>
      <c r="GA10" s="2">
        <v>0</v>
      </c>
      <c r="GB10" s="2">
        <v>1</v>
      </c>
      <c r="GC10" s="2" t="s">
        <v>274</v>
      </c>
      <c r="GD10" s="2" t="s">
        <v>274</v>
      </c>
      <c r="GE10" s="2" t="s">
        <v>274</v>
      </c>
      <c r="GF10" s="2" t="s">
        <v>274</v>
      </c>
      <c r="GG10" s="2" t="s">
        <v>274</v>
      </c>
      <c r="GH10" s="2" t="s">
        <v>274</v>
      </c>
      <c r="GI10" s="2" t="s">
        <v>274</v>
      </c>
      <c r="GJ10" s="2" t="s">
        <v>274</v>
      </c>
      <c r="GK10" s="2" t="s">
        <v>274</v>
      </c>
      <c r="GL10" s="2" t="s">
        <v>274</v>
      </c>
      <c r="GM10" s="2" t="s">
        <v>274</v>
      </c>
      <c r="GN10" s="3">
        <v>0</v>
      </c>
      <c r="GO10" s="3">
        <v>0</v>
      </c>
      <c r="GP10" s="3">
        <v>0</v>
      </c>
      <c r="GQ10" s="3">
        <v>1</v>
      </c>
      <c r="GR10" s="3">
        <v>0</v>
      </c>
      <c r="GS10" s="3">
        <v>2</v>
      </c>
      <c r="GT10" s="3">
        <v>1</v>
      </c>
      <c r="GU10" s="3">
        <v>1</v>
      </c>
      <c r="GV10" s="3">
        <v>0</v>
      </c>
      <c r="GW10" s="3">
        <v>0</v>
      </c>
      <c r="GX10" s="3">
        <v>0</v>
      </c>
      <c r="GY10" s="3">
        <v>2</v>
      </c>
      <c r="GZ10" s="3">
        <v>0</v>
      </c>
      <c r="HA10" s="3">
        <v>0</v>
      </c>
      <c r="HB10" s="3">
        <v>1</v>
      </c>
      <c r="HC10" s="3">
        <v>0</v>
      </c>
      <c r="HD10" s="3">
        <v>0</v>
      </c>
      <c r="HE10" s="3">
        <v>0</v>
      </c>
      <c r="HF10" s="3">
        <v>0</v>
      </c>
      <c r="HG10" s="3">
        <v>0</v>
      </c>
      <c r="HH10" s="3">
        <v>0</v>
      </c>
      <c r="HI10" s="3">
        <v>1</v>
      </c>
      <c r="HJ10" s="3">
        <v>0</v>
      </c>
      <c r="HK10" s="3">
        <v>0</v>
      </c>
      <c r="HL10" s="3">
        <v>0</v>
      </c>
      <c r="HM10" s="3">
        <v>0</v>
      </c>
      <c r="HN10" s="3">
        <v>0</v>
      </c>
      <c r="HO10" s="3">
        <v>0</v>
      </c>
      <c r="HP10" s="3">
        <v>0</v>
      </c>
      <c r="HQ10" s="3">
        <v>0</v>
      </c>
      <c r="HR10" s="3">
        <v>0</v>
      </c>
      <c r="HS10" s="3">
        <v>0</v>
      </c>
      <c r="HT10" s="3">
        <v>0</v>
      </c>
      <c r="HU10" s="3">
        <v>0</v>
      </c>
      <c r="HV10" s="3">
        <v>2</v>
      </c>
      <c r="HW10" s="3">
        <v>2</v>
      </c>
      <c r="HX10" s="3">
        <v>0</v>
      </c>
      <c r="HY10" s="3">
        <v>0</v>
      </c>
      <c r="HZ10" s="3">
        <v>0</v>
      </c>
      <c r="IA10" s="3">
        <v>0</v>
      </c>
      <c r="IB10" s="3">
        <v>1</v>
      </c>
      <c r="IC10" s="3">
        <v>0</v>
      </c>
      <c r="ID10" s="3">
        <v>0</v>
      </c>
      <c r="IE10" s="3">
        <v>0</v>
      </c>
      <c r="IF10" s="3">
        <v>0</v>
      </c>
      <c r="IG10" s="3">
        <v>0</v>
      </c>
      <c r="IH10" s="3">
        <v>0</v>
      </c>
      <c r="II10" s="3">
        <v>0</v>
      </c>
      <c r="IJ10" s="3">
        <v>0</v>
      </c>
      <c r="IK10" s="3">
        <v>0</v>
      </c>
      <c r="IL10" s="3">
        <v>0</v>
      </c>
      <c r="IM10" s="3">
        <v>0</v>
      </c>
      <c r="IN10" s="3">
        <v>0</v>
      </c>
      <c r="IO10" s="3">
        <v>0</v>
      </c>
      <c r="IP10" s="3">
        <v>0</v>
      </c>
      <c r="IQ10" s="3">
        <v>0</v>
      </c>
      <c r="IR10" s="3" t="s">
        <v>274</v>
      </c>
      <c r="IS10" s="3">
        <v>1</v>
      </c>
      <c r="IT10" s="3">
        <v>0</v>
      </c>
      <c r="IU10" s="3">
        <v>2</v>
      </c>
      <c r="IV10" s="3">
        <v>1</v>
      </c>
      <c r="IW10" s="3">
        <v>0</v>
      </c>
      <c r="IX10" s="3">
        <v>0</v>
      </c>
      <c r="IY10" s="3">
        <v>0</v>
      </c>
      <c r="IZ10" s="2" t="s">
        <v>268</v>
      </c>
      <c r="JA10" s="2"/>
    </row>
    <row r="11" spans="1:261" ht="13.2" x14ac:dyDescent="0.25">
      <c r="A11" s="10">
        <v>11</v>
      </c>
      <c r="B11" s="2" t="s">
        <v>317</v>
      </c>
      <c r="C11" s="2" t="s">
        <v>276</v>
      </c>
      <c r="D11" s="2" t="s">
        <v>270</v>
      </c>
      <c r="E11" s="2">
        <v>25</v>
      </c>
      <c r="F11" s="11" t="s">
        <v>318</v>
      </c>
      <c r="G11" s="11" t="s">
        <v>319</v>
      </c>
      <c r="H11" s="2" t="s">
        <v>320</v>
      </c>
      <c r="I11" s="3">
        <v>2</v>
      </c>
      <c r="J11" s="3">
        <v>1</v>
      </c>
      <c r="K11" s="3">
        <v>2</v>
      </c>
      <c r="L11" s="3">
        <v>3</v>
      </c>
      <c r="M11" s="3">
        <v>2</v>
      </c>
      <c r="N11" s="3">
        <v>2</v>
      </c>
      <c r="O11" s="3">
        <v>2</v>
      </c>
      <c r="P11" s="3">
        <v>0</v>
      </c>
      <c r="Q11" s="3">
        <v>1</v>
      </c>
      <c r="R11" s="3">
        <v>1</v>
      </c>
      <c r="S11" s="3">
        <v>0</v>
      </c>
      <c r="T11" s="3">
        <v>2</v>
      </c>
      <c r="U11" s="3">
        <v>0</v>
      </c>
      <c r="V11" s="3">
        <v>2</v>
      </c>
      <c r="W11" s="3">
        <v>0</v>
      </c>
      <c r="X11" s="3">
        <v>0</v>
      </c>
      <c r="Y11" s="3">
        <v>0</v>
      </c>
      <c r="Z11" s="3">
        <v>0</v>
      </c>
      <c r="AA11" s="3">
        <v>1</v>
      </c>
      <c r="AB11" s="3">
        <v>1</v>
      </c>
      <c r="AC11" s="3">
        <v>1</v>
      </c>
      <c r="AD11" s="3">
        <v>0</v>
      </c>
      <c r="AE11" s="3">
        <v>1</v>
      </c>
      <c r="AF11" s="3">
        <v>0</v>
      </c>
      <c r="AG11" s="3">
        <v>0</v>
      </c>
      <c r="AH11" s="3">
        <v>0</v>
      </c>
      <c r="AI11" s="3">
        <v>3</v>
      </c>
      <c r="AJ11" s="3">
        <v>3</v>
      </c>
      <c r="AK11" s="3">
        <v>3</v>
      </c>
      <c r="AL11" s="3">
        <v>2</v>
      </c>
      <c r="AM11" s="3">
        <v>0</v>
      </c>
      <c r="AN11" s="3">
        <v>0</v>
      </c>
      <c r="AO11" s="3">
        <v>1</v>
      </c>
      <c r="AP11" s="3">
        <v>1</v>
      </c>
      <c r="AQ11" s="3">
        <v>0</v>
      </c>
      <c r="AR11" s="3">
        <v>1</v>
      </c>
      <c r="AS11" s="3">
        <v>1</v>
      </c>
      <c r="AT11" s="3">
        <v>0</v>
      </c>
      <c r="AU11" s="3">
        <v>2</v>
      </c>
      <c r="AV11" s="3">
        <v>2</v>
      </c>
      <c r="AW11" s="3">
        <v>0</v>
      </c>
      <c r="AX11" s="3">
        <v>0</v>
      </c>
      <c r="AY11" s="3">
        <v>0</v>
      </c>
      <c r="AZ11" s="3">
        <v>0</v>
      </c>
      <c r="BA11" s="3">
        <v>0</v>
      </c>
      <c r="BB11" s="3">
        <v>2</v>
      </c>
      <c r="BC11" s="3">
        <v>0</v>
      </c>
      <c r="BD11" s="3">
        <v>2</v>
      </c>
      <c r="BE11" s="3">
        <v>2</v>
      </c>
      <c r="BF11" s="3">
        <v>0</v>
      </c>
      <c r="BG11" s="3">
        <v>1</v>
      </c>
      <c r="BH11" s="3">
        <v>3</v>
      </c>
      <c r="BI11" s="3">
        <v>3</v>
      </c>
      <c r="BJ11" s="3">
        <v>1</v>
      </c>
      <c r="BK11" s="3">
        <v>0</v>
      </c>
      <c r="BL11" s="3">
        <v>0</v>
      </c>
      <c r="BM11" s="3" t="s">
        <v>321</v>
      </c>
      <c r="BN11" s="3">
        <v>2</v>
      </c>
      <c r="BO11" s="3">
        <v>1</v>
      </c>
      <c r="BP11" s="3">
        <v>1</v>
      </c>
      <c r="BQ11" s="3">
        <v>2</v>
      </c>
      <c r="BR11" s="3">
        <v>2</v>
      </c>
      <c r="BS11" s="3">
        <v>1</v>
      </c>
      <c r="BT11" s="3">
        <v>0</v>
      </c>
      <c r="BU11" s="2">
        <v>2</v>
      </c>
      <c r="BV11" s="2">
        <v>2</v>
      </c>
      <c r="BW11" s="2">
        <v>2</v>
      </c>
      <c r="BX11" s="2">
        <v>1</v>
      </c>
      <c r="BY11" s="2">
        <v>1</v>
      </c>
      <c r="BZ11" s="2">
        <v>2</v>
      </c>
      <c r="CA11" s="2">
        <v>0</v>
      </c>
      <c r="CB11" s="2">
        <v>1</v>
      </c>
      <c r="CC11" s="2">
        <v>2</v>
      </c>
      <c r="CD11" s="2">
        <v>2</v>
      </c>
      <c r="CE11" s="2">
        <v>1</v>
      </c>
      <c r="CF11" s="2">
        <v>1</v>
      </c>
      <c r="CG11" s="2">
        <v>1</v>
      </c>
      <c r="CH11" s="2">
        <v>2</v>
      </c>
      <c r="CI11" s="2">
        <v>3</v>
      </c>
      <c r="CJ11" s="2">
        <v>1</v>
      </c>
      <c r="CK11" s="2">
        <v>1</v>
      </c>
      <c r="CL11" s="2">
        <v>2</v>
      </c>
      <c r="CM11" s="2">
        <v>2</v>
      </c>
      <c r="CN11" s="2">
        <v>2</v>
      </c>
      <c r="CO11" s="2">
        <v>1</v>
      </c>
      <c r="CP11" s="2">
        <v>2</v>
      </c>
      <c r="CQ11" s="2">
        <v>2</v>
      </c>
      <c r="CR11" s="2">
        <v>1</v>
      </c>
      <c r="CS11" s="2">
        <v>1</v>
      </c>
      <c r="CT11" s="2">
        <v>0</v>
      </c>
      <c r="CU11" s="2">
        <v>0</v>
      </c>
      <c r="CV11" s="2">
        <v>1</v>
      </c>
      <c r="CW11" s="2">
        <v>2</v>
      </c>
      <c r="CX11" s="2">
        <v>1</v>
      </c>
      <c r="CY11" s="2">
        <v>1</v>
      </c>
      <c r="CZ11" s="2">
        <v>2</v>
      </c>
      <c r="DA11" s="2">
        <v>2</v>
      </c>
      <c r="DB11" s="2">
        <v>1</v>
      </c>
      <c r="DC11" s="2">
        <v>1</v>
      </c>
      <c r="DD11" s="2">
        <v>2</v>
      </c>
      <c r="DE11" s="2">
        <v>1</v>
      </c>
      <c r="DF11" s="2">
        <v>2</v>
      </c>
      <c r="DG11" s="2">
        <v>3</v>
      </c>
      <c r="DH11" s="2">
        <v>2</v>
      </c>
      <c r="DI11" s="2">
        <v>2</v>
      </c>
      <c r="DJ11" s="2">
        <v>1</v>
      </c>
      <c r="DK11" s="2">
        <v>1</v>
      </c>
      <c r="DL11" s="2">
        <v>1</v>
      </c>
      <c r="DM11" s="2">
        <v>1</v>
      </c>
      <c r="DN11" s="2">
        <v>1</v>
      </c>
      <c r="DO11" s="2">
        <v>1</v>
      </c>
      <c r="DP11" s="2">
        <v>1</v>
      </c>
      <c r="DQ11" s="2">
        <v>1</v>
      </c>
      <c r="DR11" s="2">
        <v>1</v>
      </c>
      <c r="DS11" s="2">
        <v>1</v>
      </c>
      <c r="DT11" s="2">
        <v>1</v>
      </c>
      <c r="DU11" s="2">
        <v>1</v>
      </c>
      <c r="DV11" s="2">
        <v>1</v>
      </c>
      <c r="DW11" s="2">
        <v>0</v>
      </c>
      <c r="DX11" s="2">
        <v>2</v>
      </c>
      <c r="DY11" s="2">
        <v>1</v>
      </c>
      <c r="DZ11" s="2">
        <v>1</v>
      </c>
      <c r="EA11" s="2">
        <v>0</v>
      </c>
      <c r="EB11" s="2">
        <v>0</v>
      </c>
      <c r="EC11" s="2">
        <v>0</v>
      </c>
      <c r="ED11" s="2">
        <v>0</v>
      </c>
      <c r="EE11" s="2">
        <v>0</v>
      </c>
      <c r="EF11" s="2">
        <v>0</v>
      </c>
      <c r="EG11" s="2">
        <v>0</v>
      </c>
      <c r="EH11" s="2">
        <v>0</v>
      </c>
      <c r="EI11" s="2">
        <v>2</v>
      </c>
      <c r="EJ11" s="2">
        <v>3</v>
      </c>
      <c r="EK11" s="2">
        <v>4</v>
      </c>
      <c r="EL11" s="2">
        <v>2</v>
      </c>
      <c r="EM11" s="2">
        <v>1</v>
      </c>
      <c r="EN11" s="2">
        <v>0</v>
      </c>
      <c r="EO11" s="2">
        <v>0</v>
      </c>
      <c r="EP11" s="2">
        <v>0</v>
      </c>
      <c r="EQ11" s="2">
        <v>1</v>
      </c>
      <c r="ER11" s="2">
        <v>1</v>
      </c>
      <c r="ES11" s="2">
        <v>1</v>
      </c>
      <c r="ET11" s="2">
        <v>1</v>
      </c>
      <c r="EU11" s="2">
        <v>1</v>
      </c>
      <c r="EV11" s="2">
        <v>1</v>
      </c>
      <c r="EW11" s="2">
        <v>1</v>
      </c>
      <c r="EX11" s="2">
        <v>1</v>
      </c>
      <c r="EY11" s="2">
        <v>1</v>
      </c>
      <c r="EZ11" s="2">
        <v>1</v>
      </c>
      <c r="FA11" s="2">
        <v>1</v>
      </c>
      <c r="FB11" s="2">
        <v>1</v>
      </c>
      <c r="FC11" s="2">
        <v>1</v>
      </c>
      <c r="FD11" s="2">
        <v>2</v>
      </c>
      <c r="FE11" s="2">
        <v>2</v>
      </c>
      <c r="FF11" s="2">
        <v>2</v>
      </c>
      <c r="FG11" s="2">
        <v>2</v>
      </c>
      <c r="FH11" s="2">
        <v>1</v>
      </c>
      <c r="FI11" s="2">
        <v>2</v>
      </c>
      <c r="FJ11" s="2">
        <v>1</v>
      </c>
      <c r="FK11" s="2">
        <v>0</v>
      </c>
      <c r="FL11" s="2">
        <v>0</v>
      </c>
      <c r="FM11" s="2">
        <v>0</v>
      </c>
      <c r="FN11" s="2">
        <v>0</v>
      </c>
      <c r="FO11" s="2">
        <v>0</v>
      </c>
      <c r="FP11" s="2">
        <v>0</v>
      </c>
      <c r="FQ11" s="2">
        <v>4</v>
      </c>
      <c r="FR11" s="2">
        <v>3</v>
      </c>
      <c r="FS11" s="2">
        <v>3</v>
      </c>
      <c r="FT11" s="2">
        <v>3</v>
      </c>
      <c r="FU11" s="2">
        <v>2</v>
      </c>
      <c r="FV11" s="2">
        <v>2</v>
      </c>
      <c r="FW11" s="2">
        <v>3</v>
      </c>
      <c r="FX11" s="2">
        <v>2</v>
      </c>
      <c r="FY11" s="2">
        <v>3</v>
      </c>
      <c r="FZ11" s="2">
        <v>2</v>
      </c>
      <c r="GA11" s="2">
        <v>2</v>
      </c>
      <c r="GB11" s="2">
        <v>2</v>
      </c>
      <c r="GC11" s="2" t="s">
        <v>322</v>
      </c>
      <c r="GD11" s="2">
        <v>3</v>
      </c>
      <c r="GE11" s="2">
        <v>1</v>
      </c>
      <c r="GF11" s="2">
        <v>2</v>
      </c>
      <c r="GG11" s="2">
        <v>3</v>
      </c>
      <c r="GH11" s="2">
        <v>2</v>
      </c>
      <c r="GI11" s="2">
        <v>2</v>
      </c>
      <c r="GJ11" s="2">
        <v>2</v>
      </c>
      <c r="GK11" s="2">
        <v>2</v>
      </c>
      <c r="GL11" s="2">
        <v>3</v>
      </c>
      <c r="GM11" s="2">
        <v>1</v>
      </c>
      <c r="GN11" s="3">
        <v>4</v>
      </c>
      <c r="GO11" s="3">
        <v>4</v>
      </c>
      <c r="GP11" s="3">
        <v>2</v>
      </c>
      <c r="GQ11" s="3">
        <v>4</v>
      </c>
      <c r="GR11" s="3">
        <v>4</v>
      </c>
      <c r="GS11" s="3">
        <v>2</v>
      </c>
      <c r="GT11" s="3">
        <v>4</v>
      </c>
      <c r="GU11" s="3">
        <v>4</v>
      </c>
      <c r="GV11" s="3">
        <v>4</v>
      </c>
      <c r="GW11" s="3">
        <v>2</v>
      </c>
      <c r="GX11" s="3">
        <v>2</v>
      </c>
      <c r="GY11" s="3">
        <v>4</v>
      </c>
      <c r="GZ11" s="3">
        <v>4</v>
      </c>
      <c r="HA11" s="3">
        <v>2</v>
      </c>
      <c r="HB11" s="3">
        <v>2</v>
      </c>
      <c r="HC11" s="3">
        <v>3</v>
      </c>
      <c r="HD11" s="3">
        <v>2</v>
      </c>
      <c r="HE11" s="3">
        <v>2</v>
      </c>
      <c r="HF11" s="3">
        <v>2</v>
      </c>
      <c r="HG11" s="3">
        <v>2</v>
      </c>
      <c r="HH11" s="3">
        <v>4</v>
      </c>
      <c r="HI11" s="3">
        <v>4</v>
      </c>
      <c r="HJ11" s="3">
        <v>2</v>
      </c>
      <c r="HK11" s="3">
        <v>3</v>
      </c>
      <c r="HL11" s="3">
        <v>2</v>
      </c>
      <c r="HM11" s="3">
        <v>2</v>
      </c>
      <c r="HN11" s="3">
        <v>2</v>
      </c>
      <c r="HO11" s="3">
        <v>4</v>
      </c>
      <c r="HP11" s="3">
        <v>4</v>
      </c>
      <c r="HQ11" s="3">
        <v>4</v>
      </c>
      <c r="HR11" s="3">
        <v>2</v>
      </c>
      <c r="HS11" s="3">
        <v>0</v>
      </c>
      <c r="HT11" s="3">
        <v>2</v>
      </c>
      <c r="HU11" s="3">
        <v>0</v>
      </c>
      <c r="HV11" s="3">
        <v>4</v>
      </c>
      <c r="HW11" s="3">
        <v>4</v>
      </c>
      <c r="HX11" s="3">
        <v>0</v>
      </c>
      <c r="HY11" s="3">
        <v>0</v>
      </c>
      <c r="HZ11" s="3">
        <v>1</v>
      </c>
      <c r="IA11" s="3">
        <v>4</v>
      </c>
      <c r="IB11" s="3">
        <v>2</v>
      </c>
      <c r="IC11" s="3">
        <v>1</v>
      </c>
      <c r="ID11" s="3">
        <v>4</v>
      </c>
      <c r="IE11" s="3">
        <v>2</v>
      </c>
      <c r="IF11" s="3">
        <v>4</v>
      </c>
      <c r="IG11" s="3">
        <v>2</v>
      </c>
      <c r="IH11" s="3">
        <v>2</v>
      </c>
      <c r="II11" s="3">
        <v>2</v>
      </c>
      <c r="IJ11" s="3">
        <v>2</v>
      </c>
      <c r="IK11" s="3">
        <v>1</v>
      </c>
      <c r="IL11" s="3">
        <v>1</v>
      </c>
      <c r="IM11" s="3">
        <v>0</v>
      </c>
      <c r="IN11" s="3">
        <v>4</v>
      </c>
      <c r="IO11" s="3">
        <v>4</v>
      </c>
      <c r="IP11" s="3">
        <v>1</v>
      </c>
      <c r="IQ11" s="3">
        <v>2</v>
      </c>
      <c r="IR11" s="3" t="s">
        <v>323</v>
      </c>
      <c r="IS11" s="3">
        <v>4</v>
      </c>
      <c r="IT11" s="3">
        <v>4</v>
      </c>
      <c r="IU11" s="3">
        <v>3</v>
      </c>
      <c r="IV11" s="3">
        <v>3</v>
      </c>
      <c r="IW11" s="3">
        <v>4</v>
      </c>
      <c r="IX11" s="3">
        <v>2</v>
      </c>
      <c r="IY11" s="3">
        <v>2</v>
      </c>
      <c r="IZ11" s="2" t="s">
        <v>268</v>
      </c>
      <c r="JA11" s="2"/>
    </row>
    <row r="12" spans="1:261" ht="13.2" x14ac:dyDescent="0.25">
      <c r="A12" s="10">
        <v>12</v>
      </c>
      <c r="B12" s="2" t="s">
        <v>324</v>
      </c>
      <c r="C12" s="2" t="s">
        <v>276</v>
      </c>
      <c r="D12" s="2" t="s">
        <v>325</v>
      </c>
      <c r="E12" s="2">
        <v>29</v>
      </c>
      <c r="F12" s="11" t="s">
        <v>326</v>
      </c>
      <c r="G12" s="11" t="s">
        <v>327</v>
      </c>
      <c r="H12" s="2" t="s">
        <v>328</v>
      </c>
      <c r="I12" s="3">
        <v>2</v>
      </c>
      <c r="J12" s="3">
        <v>3</v>
      </c>
      <c r="K12" s="3">
        <v>2</v>
      </c>
      <c r="L12" s="3">
        <v>3</v>
      </c>
      <c r="M12" s="3">
        <v>1</v>
      </c>
      <c r="N12" s="3">
        <v>3</v>
      </c>
      <c r="O12" s="3">
        <v>1</v>
      </c>
      <c r="P12" s="3">
        <v>0</v>
      </c>
      <c r="Q12" s="3">
        <v>0</v>
      </c>
      <c r="R12" s="3">
        <v>1</v>
      </c>
      <c r="S12" s="3">
        <v>2</v>
      </c>
      <c r="T12" s="3">
        <v>0</v>
      </c>
      <c r="U12" s="3">
        <v>0</v>
      </c>
      <c r="V12" s="3">
        <v>2</v>
      </c>
      <c r="W12" s="3">
        <v>2</v>
      </c>
      <c r="X12" s="3">
        <v>0</v>
      </c>
      <c r="Y12" s="3">
        <v>2</v>
      </c>
      <c r="Z12" s="3">
        <v>1</v>
      </c>
      <c r="AA12" s="3">
        <v>3</v>
      </c>
      <c r="AB12" s="3">
        <v>2</v>
      </c>
      <c r="AC12" s="3">
        <v>2</v>
      </c>
      <c r="AD12" s="3">
        <v>0</v>
      </c>
      <c r="AE12" s="3">
        <v>0</v>
      </c>
      <c r="AF12" s="3">
        <v>0</v>
      </c>
      <c r="AG12" s="3">
        <v>0</v>
      </c>
      <c r="AH12" s="3">
        <v>0</v>
      </c>
      <c r="AI12" s="3">
        <v>2</v>
      </c>
      <c r="AJ12" s="3">
        <v>3</v>
      </c>
      <c r="AK12" s="3">
        <v>1</v>
      </c>
      <c r="AL12" s="3">
        <v>2</v>
      </c>
      <c r="AM12" s="3">
        <v>0</v>
      </c>
      <c r="AN12" s="3">
        <v>1</v>
      </c>
      <c r="AO12" s="3">
        <v>3</v>
      </c>
      <c r="AP12" s="3">
        <v>0</v>
      </c>
      <c r="AQ12" s="3">
        <v>0</v>
      </c>
      <c r="AR12" s="3">
        <v>0</v>
      </c>
      <c r="AS12" s="3">
        <v>0</v>
      </c>
      <c r="AT12" s="3">
        <v>0</v>
      </c>
      <c r="AU12" s="3">
        <v>1</v>
      </c>
      <c r="AV12" s="3">
        <v>0</v>
      </c>
      <c r="AW12" s="3">
        <v>0</v>
      </c>
      <c r="AX12" s="3">
        <v>0</v>
      </c>
      <c r="AY12" s="3">
        <v>0</v>
      </c>
      <c r="AZ12" s="3">
        <v>0</v>
      </c>
      <c r="BA12" s="3">
        <v>0</v>
      </c>
      <c r="BB12" s="3">
        <v>0</v>
      </c>
      <c r="BC12" s="3">
        <v>0</v>
      </c>
      <c r="BD12" s="3">
        <v>2</v>
      </c>
      <c r="BE12" s="3">
        <v>2</v>
      </c>
      <c r="BF12" s="3">
        <v>2</v>
      </c>
      <c r="BG12" s="3">
        <v>2</v>
      </c>
      <c r="BH12" s="3">
        <v>2</v>
      </c>
      <c r="BI12" s="3">
        <v>1</v>
      </c>
      <c r="BJ12" s="3">
        <v>3</v>
      </c>
      <c r="BK12" s="3">
        <v>3</v>
      </c>
      <c r="BL12" s="3">
        <v>0</v>
      </c>
      <c r="BM12" s="3" t="s">
        <v>329</v>
      </c>
      <c r="BN12" s="3">
        <v>3</v>
      </c>
      <c r="BO12" s="3">
        <v>3</v>
      </c>
      <c r="BP12" s="3">
        <v>3</v>
      </c>
      <c r="BQ12" s="3">
        <v>3</v>
      </c>
      <c r="BR12" s="3">
        <v>3</v>
      </c>
      <c r="BS12" s="3">
        <v>3</v>
      </c>
      <c r="BT12" s="3">
        <v>0</v>
      </c>
      <c r="BU12" s="2">
        <v>1</v>
      </c>
      <c r="BV12" s="2">
        <v>0</v>
      </c>
      <c r="BW12" s="2">
        <v>0</v>
      </c>
      <c r="BX12" s="2">
        <v>0</v>
      </c>
      <c r="BY12" s="2">
        <v>0</v>
      </c>
      <c r="BZ12" s="2">
        <v>0</v>
      </c>
      <c r="CA12" s="2">
        <v>0</v>
      </c>
      <c r="CB12" s="2">
        <v>0</v>
      </c>
      <c r="CC12" s="2">
        <v>0</v>
      </c>
      <c r="CD12" s="2">
        <v>0</v>
      </c>
      <c r="CE12" s="2">
        <v>0</v>
      </c>
      <c r="CF12" s="2">
        <v>0</v>
      </c>
      <c r="CG12" s="2">
        <v>0</v>
      </c>
      <c r="CH12" s="2">
        <v>0</v>
      </c>
      <c r="CI12" s="2">
        <v>0</v>
      </c>
      <c r="CJ12" s="2">
        <v>0</v>
      </c>
      <c r="CK12" s="2">
        <v>0</v>
      </c>
      <c r="CL12" s="2">
        <v>1</v>
      </c>
      <c r="CM12" s="2">
        <v>0</v>
      </c>
      <c r="CN12" s="2">
        <v>0</v>
      </c>
      <c r="CO12" s="2">
        <v>0</v>
      </c>
      <c r="CP12" s="2">
        <v>0</v>
      </c>
      <c r="CQ12" s="2">
        <v>0</v>
      </c>
      <c r="CR12" s="2">
        <v>0</v>
      </c>
      <c r="CS12" s="2">
        <v>0</v>
      </c>
      <c r="CT12" s="2">
        <v>0</v>
      </c>
      <c r="CU12" s="2">
        <v>0</v>
      </c>
      <c r="CV12" s="2">
        <v>0</v>
      </c>
      <c r="CW12" s="2">
        <v>0</v>
      </c>
      <c r="CX12" s="2">
        <v>0</v>
      </c>
      <c r="CY12" s="2">
        <v>0</v>
      </c>
      <c r="CZ12" s="2">
        <v>0</v>
      </c>
      <c r="DA12" s="2">
        <v>0</v>
      </c>
      <c r="DB12" s="2">
        <v>0</v>
      </c>
      <c r="DC12" s="2">
        <v>0</v>
      </c>
      <c r="DD12" s="2">
        <v>0</v>
      </c>
      <c r="DE12" s="2">
        <v>0</v>
      </c>
      <c r="DF12" s="2">
        <v>0</v>
      </c>
      <c r="DG12" s="2">
        <v>1</v>
      </c>
      <c r="DH12" s="2">
        <v>0</v>
      </c>
      <c r="DI12" s="2">
        <v>0</v>
      </c>
      <c r="DJ12" s="2">
        <v>0</v>
      </c>
      <c r="DK12" s="2">
        <v>0</v>
      </c>
      <c r="DL12" s="2">
        <v>0</v>
      </c>
      <c r="DM12" s="2">
        <v>0</v>
      </c>
      <c r="DN12" s="2">
        <v>0</v>
      </c>
      <c r="DO12" s="2">
        <v>0</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0</v>
      </c>
      <c r="EJ12" s="2">
        <v>0</v>
      </c>
      <c r="EK12" s="2">
        <v>1</v>
      </c>
      <c r="EL12" s="2">
        <v>0</v>
      </c>
      <c r="EM12" s="2">
        <v>0</v>
      </c>
      <c r="EN12" s="2">
        <v>0</v>
      </c>
      <c r="EO12" s="2">
        <v>0</v>
      </c>
      <c r="EP12" s="2">
        <v>0</v>
      </c>
      <c r="EQ12" s="2">
        <v>0</v>
      </c>
      <c r="ER12" s="2">
        <v>0</v>
      </c>
      <c r="ES12" s="2">
        <v>0</v>
      </c>
      <c r="ET12" s="2">
        <v>0</v>
      </c>
      <c r="EU12" s="2">
        <v>0</v>
      </c>
      <c r="EV12" s="2">
        <v>0</v>
      </c>
      <c r="EW12" s="2">
        <v>1</v>
      </c>
      <c r="EX12" s="2">
        <v>0</v>
      </c>
      <c r="EY12" s="2">
        <v>0</v>
      </c>
      <c r="EZ12" s="2">
        <v>0</v>
      </c>
      <c r="FA12" s="2">
        <v>0</v>
      </c>
      <c r="FB12" s="2">
        <v>0</v>
      </c>
      <c r="FC12" s="2">
        <v>0</v>
      </c>
      <c r="FD12" s="2">
        <v>0</v>
      </c>
      <c r="FE12" s="2">
        <v>0</v>
      </c>
      <c r="FF12" s="2">
        <v>0</v>
      </c>
      <c r="FG12" s="2">
        <v>0</v>
      </c>
      <c r="FH12" s="2">
        <v>0</v>
      </c>
      <c r="FI12" s="2">
        <v>0</v>
      </c>
      <c r="FJ12" s="2">
        <v>0</v>
      </c>
      <c r="FK12" s="2">
        <v>0</v>
      </c>
      <c r="FL12" s="2">
        <v>0</v>
      </c>
      <c r="FM12" s="2">
        <v>0</v>
      </c>
      <c r="FN12" s="2">
        <v>0</v>
      </c>
      <c r="FO12" s="2">
        <v>0</v>
      </c>
      <c r="FP12" s="2">
        <v>0</v>
      </c>
      <c r="FQ12" s="2">
        <v>0</v>
      </c>
      <c r="FR12" s="2">
        <v>0</v>
      </c>
      <c r="FS12" s="2">
        <v>0</v>
      </c>
      <c r="FT12" s="2">
        <v>0</v>
      </c>
      <c r="FU12" s="2">
        <v>0</v>
      </c>
      <c r="FV12" s="2">
        <v>0</v>
      </c>
      <c r="FW12" s="2">
        <v>0</v>
      </c>
      <c r="FX12" s="2">
        <v>0</v>
      </c>
      <c r="FY12" s="2">
        <v>0</v>
      </c>
      <c r="FZ12" s="2">
        <v>0</v>
      </c>
      <c r="GA12" s="2">
        <v>0</v>
      </c>
      <c r="GB12" s="2">
        <v>0</v>
      </c>
      <c r="GC12" s="2" t="s">
        <v>330</v>
      </c>
      <c r="GD12" s="2">
        <v>0</v>
      </c>
      <c r="GE12" s="2">
        <v>0</v>
      </c>
      <c r="GF12" s="2">
        <v>0</v>
      </c>
      <c r="GG12" s="2">
        <v>3</v>
      </c>
      <c r="GH12" s="2">
        <v>1</v>
      </c>
      <c r="GI12" s="2">
        <v>0</v>
      </c>
      <c r="GJ12" s="2">
        <v>0</v>
      </c>
      <c r="GK12" s="2">
        <v>0</v>
      </c>
      <c r="GL12" s="2">
        <v>0</v>
      </c>
      <c r="GM12" s="2">
        <v>0</v>
      </c>
      <c r="GN12" s="3">
        <v>2</v>
      </c>
      <c r="GO12" s="3">
        <v>0</v>
      </c>
      <c r="GP12" s="3">
        <v>0</v>
      </c>
      <c r="GQ12" s="3">
        <v>0</v>
      </c>
      <c r="GR12" s="3">
        <v>0</v>
      </c>
      <c r="GS12" s="3">
        <v>0</v>
      </c>
      <c r="GT12" s="3">
        <v>0</v>
      </c>
      <c r="GU12" s="3">
        <v>3</v>
      </c>
      <c r="GV12" s="3">
        <v>1</v>
      </c>
      <c r="GW12" s="3">
        <v>0</v>
      </c>
      <c r="GX12" s="3">
        <v>0</v>
      </c>
      <c r="GY12" s="3">
        <v>1</v>
      </c>
      <c r="GZ12" s="3">
        <v>0</v>
      </c>
      <c r="HA12" s="3">
        <v>0</v>
      </c>
      <c r="HB12" s="3">
        <v>0</v>
      </c>
      <c r="HC12" s="3">
        <v>2</v>
      </c>
      <c r="HD12" s="3">
        <v>0</v>
      </c>
      <c r="HE12" s="3">
        <v>0</v>
      </c>
      <c r="HF12" s="3">
        <v>0</v>
      </c>
      <c r="HG12" s="3">
        <v>0</v>
      </c>
      <c r="HH12" s="3">
        <v>0</v>
      </c>
      <c r="HI12" s="3">
        <v>1</v>
      </c>
      <c r="HJ12" s="3">
        <v>0</v>
      </c>
      <c r="HK12" s="3">
        <v>0</v>
      </c>
      <c r="HL12" s="3">
        <v>0</v>
      </c>
      <c r="HM12" s="3">
        <v>0</v>
      </c>
      <c r="HN12" s="3">
        <v>0</v>
      </c>
      <c r="HO12" s="3">
        <v>2</v>
      </c>
      <c r="HP12" s="3">
        <v>1</v>
      </c>
      <c r="HQ12" s="3">
        <v>0</v>
      </c>
      <c r="HR12" s="3">
        <v>0</v>
      </c>
      <c r="HS12" s="3">
        <v>0</v>
      </c>
      <c r="HT12" s="3">
        <v>0</v>
      </c>
      <c r="HU12" s="3">
        <v>0</v>
      </c>
      <c r="HV12" s="3">
        <v>0</v>
      </c>
      <c r="HW12" s="3">
        <v>0</v>
      </c>
      <c r="HX12" s="3">
        <v>0</v>
      </c>
      <c r="HY12" s="3">
        <v>0</v>
      </c>
      <c r="HZ12" s="3">
        <v>0</v>
      </c>
      <c r="IA12" s="3">
        <v>2</v>
      </c>
      <c r="IB12" s="3">
        <v>1</v>
      </c>
      <c r="IC12" s="3">
        <v>0</v>
      </c>
      <c r="ID12" s="3">
        <v>0</v>
      </c>
      <c r="IE12" s="3">
        <v>0</v>
      </c>
      <c r="IF12" s="3">
        <v>0</v>
      </c>
      <c r="IG12" s="3">
        <v>0</v>
      </c>
      <c r="IH12" s="3">
        <v>0</v>
      </c>
      <c r="II12" s="3">
        <v>0</v>
      </c>
      <c r="IJ12" s="3">
        <v>0</v>
      </c>
      <c r="IK12" s="3">
        <v>0</v>
      </c>
      <c r="IL12" s="3">
        <v>0</v>
      </c>
      <c r="IM12" s="3">
        <v>0</v>
      </c>
      <c r="IN12" s="3">
        <v>0</v>
      </c>
      <c r="IO12" s="3">
        <v>0</v>
      </c>
      <c r="IP12" s="3">
        <v>0</v>
      </c>
      <c r="IQ12" s="3">
        <v>3</v>
      </c>
      <c r="IR12" s="3" t="s">
        <v>331</v>
      </c>
      <c r="IS12" s="3">
        <v>3</v>
      </c>
      <c r="IT12" s="3">
        <v>2</v>
      </c>
      <c r="IU12" s="3">
        <v>3</v>
      </c>
      <c r="IV12" s="3">
        <v>2</v>
      </c>
      <c r="IW12" s="3">
        <v>2</v>
      </c>
      <c r="IX12" s="3">
        <v>0</v>
      </c>
      <c r="IY12" s="3">
        <v>0</v>
      </c>
      <c r="IZ12" s="2" t="s">
        <v>268</v>
      </c>
      <c r="JA12" s="2"/>
    </row>
    <row r="13" spans="1:261" ht="13.2" x14ac:dyDescent="0.25">
      <c r="A13" s="10">
        <v>13</v>
      </c>
      <c r="B13" s="2" t="s">
        <v>332</v>
      </c>
      <c r="C13" s="2" t="s">
        <v>276</v>
      </c>
      <c r="D13" s="2" t="s">
        <v>262</v>
      </c>
      <c r="E13" s="2">
        <v>56</v>
      </c>
      <c r="F13" s="11" t="s">
        <v>333</v>
      </c>
      <c r="G13" s="11" t="s">
        <v>334</v>
      </c>
      <c r="H13" s="2" t="s">
        <v>335</v>
      </c>
      <c r="I13" s="3">
        <v>3</v>
      </c>
      <c r="J13" s="3">
        <v>3</v>
      </c>
      <c r="K13" s="3">
        <v>0</v>
      </c>
      <c r="L13" s="3">
        <v>2</v>
      </c>
      <c r="M13" s="3">
        <v>2</v>
      </c>
      <c r="N13" s="3">
        <v>4</v>
      </c>
      <c r="O13" s="3">
        <v>3</v>
      </c>
      <c r="P13" s="3">
        <v>1</v>
      </c>
      <c r="Q13" s="3">
        <v>1</v>
      </c>
      <c r="R13" s="3">
        <v>0</v>
      </c>
      <c r="S13" s="3">
        <v>0</v>
      </c>
      <c r="T13" s="3">
        <v>2</v>
      </c>
      <c r="U13" s="3">
        <v>0</v>
      </c>
      <c r="V13" s="3">
        <v>3</v>
      </c>
      <c r="W13" s="3">
        <v>1</v>
      </c>
      <c r="X13" s="3">
        <v>0</v>
      </c>
      <c r="Y13" s="3">
        <v>0</v>
      </c>
      <c r="Z13" s="3">
        <v>0</v>
      </c>
      <c r="AA13" s="3">
        <v>1</v>
      </c>
      <c r="AB13" s="3">
        <v>0</v>
      </c>
      <c r="AC13" s="3">
        <v>1</v>
      </c>
      <c r="AD13" s="3">
        <v>0</v>
      </c>
      <c r="AE13" s="3">
        <v>2</v>
      </c>
      <c r="AF13" s="3">
        <v>0</v>
      </c>
      <c r="AG13" s="3">
        <v>0</v>
      </c>
      <c r="AH13" s="3">
        <v>0</v>
      </c>
      <c r="AI13" s="3">
        <v>4</v>
      </c>
      <c r="AJ13" s="3">
        <v>2</v>
      </c>
      <c r="AK13" s="3">
        <v>2</v>
      </c>
      <c r="AL13" s="3">
        <v>3</v>
      </c>
      <c r="AM13" s="3">
        <v>4</v>
      </c>
      <c r="AN13" s="3">
        <v>0</v>
      </c>
      <c r="AO13" s="3">
        <v>1</v>
      </c>
      <c r="AP13" s="3">
        <v>1</v>
      </c>
      <c r="AQ13" s="3">
        <v>2</v>
      </c>
      <c r="AR13" s="3">
        <v>2</v>
      </c>
      <c r="AS13" s="3">
        <v>2</v>
      </c>
      <c r="AT13" s="3">
        <v>0</v>
      </c>
      <c r="AU13" s="3">
        <v>0</v>
      </c>
      <c r="AV13" s="3">
        <v>0</v>
      </c>
      <c r="AW13" s="3">
        <v>1</v>
      </c>
      <c r="AX13" s="3">
        <v>0</v>
      </c>
      <c r="AY13" s="3">
        <v>0</v>
      </c>
      <c r="AZ13" s="3">
        <v>2</v>
      </c>
      <c r="BA13" s="3">
        <v>0</v>
      </c>
      <c r="BB13" s="3">
        <v>2</v>
      </c>
      <c r="BC13" s="3">
        <v>0</v>
      </c>
      <c r="BD13" s="3">
        <v>1</v>
      </c>
      <c r="BE13" s="3">
        <v>1</v>
      </c>
      <c r="BF13" s="3">
        <v>2</v>
      </c>
      <c r="BG13" s="3">
        <v>2</v>
      </c>
      <c r="BH13" s="3">
        <v>2</v>
      </c>
      <c r="BI13" s="3">
        <v>3</v>
      </c>
      <c r="BJ13" s="3">
        <v>1</v>
      </c>
      <c r="BK13" s="3">
        <v>1</v>
      </c>
      <c r="BL13" s="3">
        <v>0</v>
      </c>
      <c r="BM13" s="3" t="s">
        <v>274</v>
      </c>
      <c r="BN13" s="3">
        <v>3</v>
      </c>
      <c r="BO13" s="3">
        <v>0</v>
      </c>
      <c r="BP13" s="3">
        <v>3</v>
      </c>
      <c r="BQ13" s="3">
        <v>3</v>
      </c>
      <c r="BR13" s="3">
        <v>2</v>
      </c>
      <c r="BS13" s="3">
        <v>2</v>
      </c>
      <c r="BT13" s="3">
        <v>2</v>
      </c>
      <c r="BU13" s="2">
        <v>0</v>
      </c>
      <c r="BV13" s="2">
        <v>1</v>
      </c>
      <c r="BW13" s="2">
        <v>3</v>
      </c>
      <c r="BX13" s="2">
        <v>0</v>
      </c>
      <c r="BY13" s="2">
        <v>0</v>
      </c>
      <c r="BZ13" s="2">
        <v>0</v>
      </c>
      <c r="CA13" s="2">
        <v>0</v>
      </c>
      <c r="CB13" s="2">
        <v>2</v>
      </c>
      <c r="CC13" s="2">
        <v>0</v>
      </c>
      <c r="CD13" s="2">
        <v>0</v>
      </c>
      <c r="CE13" s="2">
        <v>0</v>
      </c>
      <c r="CF13" s="2">
        <v>3</v>
      </c>
      <c r="CG13" s="2">
        <v>0</v>
      </c>
      <c r="CH13" s="2">
        <v>0</v>
      </c>
      <c r="CI13" s="2">
        <v>0</v>
      </c>
      <c r="CJ13" s="2">
        <v>0</v>
      </c>
      <c r="CK13" s="2">
        <v>0</v>
      </c>
      <c r="CL13" s="2">
        <v>0</v>
      </c>
      <c r="CM13" s="2">
        <v>0</v>
      </c>
      <c r="CN13" s="2">
        <v>0</v>
      </c>
      <c r="CO13" s="2">
        <v>0</v>
      </c>
      <c r="CP13" s="2">
        <v>0</v>
      </c>
      <c r="CQ13" s="2">
        <v>3</v>
      </c>
      <c r="CR13" s="2">
        <v>0</v>
      </c>
      <c r="CS13" s="2">
        <v>0</v>
      </c>
      <c r="CT13" s="2">
        <v>0</v>
      </c>
      <c r="CU13" s="2">
        <v>0</v>
      </c>
      <c r="CV13" s="2">
        <v>0</v>
      </c>
      <c r="CW13" s="2">
        <v>1</v>
      </c>
      <c r="CX13" s="2">
        <v>0</v>
      </c>
      <c r="CY13" s="2">
        <v>0</v>
      </c>
      <c r="CZ13" s="2">
        <v>0</v>
      </c>
      <c r="DA13" s="2">
        <v>0</v>
      </c>
      <c r="DB13" s="2">
        <v>0</v>
      </c>
      <c r="DC13" s="2">
        <v>0</v>
      </c>
      <c r="DD13" s="2">
        <v>0</v>
      </c>
      <c r="DE13" s="2">
        <v>0</v>
      </c>
      <c r="DF13" s="2">
        <v>0</v>
      </c>
      <c r="DG13" s="2">
        <v>0</v>
      </c>
      <c r="DH13" s="2">
        <v>0</v>
      </c>
      <c r="DI13" s="2">
        <v>0</v>
      </c>
      <c r="DJ13" s="2">
        <v>0</v>
      </c>
      <c r="DK13" s="2">
        <v>0</v>
      </c>
      <c r="DL13" s="2">
        <v>0</v>
      </c>
      <c r="DM13" s="2">
        <v>1</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c r="EQ13" s="2">
        <v>0</v>
      </c>
      <c r="ER13" s="2">
        <v>0</v>
      </c>
      <c r="ES13" s="2">
        <v>0</v>
      </c>
      <c r="ET13" s="2">
        <v>0</v>
      </c>
      <c r="EU13" s="2">
        <v>0</v>
      </c>
      <c r="EV13" s="2">
        <v>0</v>
      </c>
      <c r="EW13" s="2">
        <v>2</v>
      </c>
      <c r="EX13" s="2">
        <v>2</v>
      </c>
      <c r="EY13" s="2">
        <v>0</v>
      </c>
      <c r="EZ13" s="2">
        <v>0</v>
      </c>
      <c r="FA13" s="2">
        <v>0</v>
      </c>
      <c r="FB13" s="2">
        <v>0</v>
      </c>
      <c r="FC13" s="2">
        <v>0</v>
      </c>
      <c r="FD13" s="2">
        <v>0</v>
      </c>
      <c r="FE13" s="2">
        <v>0</v>
      </c>
      <c r="FF13" s="2">
        <v>0</v>
      </c>
      <c r="FG13" s="2">
        <v>0</v>
      </c>
      <c r="FH13" s="2">
        <v>0</v>
      </c>
      <c r="FI13" s="2">
        <v>0</v>
      </c>
      <c r="FJ13" s="2">
        <v>0</v>
      </c>
      <c r="FK13" s="2">
        <v>0</v>
      </c>
      <c r="FL13" s="2">
        <v>0</v>
      </c>
      <c r="FM13" s="2">
        <v>0</v>
      </c>
      <c r="FN13" s="2">
        <v>0</v>
      </c>
      <c r="FO13" s="2">
        <v>0</v>
      </c>
      <c r="FP13" s="2">
        <v>0</v>
      </c>
      <c r="FQ13" s="2">
        <v>2</v>
      </c>
      <c r="FR13" s="2">
        <v>0</v>
      </c>
      <c r="FS13" s="2">
        <v>0</v>
      </c>
      <c r="FT13" s="2">
        <v>0</v>
      </c>
      <c r="FU13" s="2">
        <v>0</v>
      </c>
      <c r="FV13" s="2">
        <v>0</v>
      </c>
      <c r="FW13" s="2">
        <v>0</v>
      </c>
      <c r="FX13" s="2">
        <v>0</v>
      </c>
      <c r="FY13" s="2">
        <v>0</v>
      </c>
      <c r="FZ13" s="2">
        <v>0</v>
      </c>
      <c r="GA13" s="2">
        <v>0</v>
      </c>
      <c r="GB13" s="2">
        <v>0</v>
      </c>
      <c r="GC13" s="2" t="s">
        <v>274</v>
      </c>
      <c r="GD13" s="2">
        <v>0</v>
      </c>
      <c r="GE13" s="2">
        <v>0</v>
      </c>
      <c r="GF13" s="2">
        <v>0</v>
      </c>
      <c r="GG13" s="2">
        <v>0</v>
      </c>
      <c r="GH13" s="2">
        <v>3</v>
      </c>
      <c r="GI13" s="2">
        <v>0</v>
      </c>
      <c r="GJ13" s="2">
        <v>0</v>
      </c>
      <c r="GK13" s="2">
        <v>0</v>
      </c>
      <c r="GL13" s="2">
        <v>0</v>
      </c>
      <c r="GM13" s="2">
        <v>0</v>
      </c>
      <c r="GN13" s="3">
        <v>2</v>
      </c>
      <c r="GO13" s="3">
        <v>1</v>
      </c>
      <c r="GP13" s="3">
        <v>1</v>
      </c>
      <c r="GQ13" s="3">
        <v>2</v>
      </c>
      <c r="GR13" s="3">
        <v>1</v>
      </c>
      <c r="GS13" s="3">
        <v>1</v>
      </c>
      <c r="GT13" s="3">
        <v>1</v>
      </c>
      <c r="GU13" s="3">
        <v>0</v>
      </c>
      <c r="GV13" s="3">
        <v>1</v>
      </c>
      <c r="GW13" s="3">
        <v>0</v>
      </c>
      <c r="GX13" s="3">
        <v>0</v>
      </c>
      <c r="GY13" s="3">
        <v>0</v>
      </c>
      <c r="GZ13" s="3">
        <v>0</v>
      </c>
      <c r="HA13" s="3">
        <v>0</v>
      </c>
      <c r="HB13" s="3">
        <v>0</v>
      </c>
      <c r="HC13" s="3">
        <v>0</v>
      </c>
      <c r="HD13" s="3">
        <v>0</v>
      </c>
      <c r="HE13" s="3">
        <v>0</v>
      </c>
      <c r="HF13" s="3">
        <v>0</v>
      </c>
      <c r="HG13" s="3">
        <v>0</v>
      </c>
      <c r="HH13" s="3">
        <v>0</v>
      </c>
      <c r="HI13" s="3">
        <v>0</v>
      </c>
      <c r="HJ13" s="3">
        <v>0</v>
      </c>
      <c r="HK13" s="3">
        <v>2</v>
      </c>
      <c r="HL13" s="3">
        <v>0</v>
      </c>
      <c r="HM13" s="3">
        <v>0</v>
      </c>
      <c r="HN13" s="3">
        <v>0</v>
      </c>
      <c r="HO13" s="3">
        <v>2</v>
      </c>
      <c r="HP13" s="3">
        <v>0</v>
      </c>
      <c r="HQ13" s="3">
        <v>1</v>
      </c>
      <c r="HR13" s="3">
        <v>0</v>
      </c>
      <c r="HS13" s="3">
        <v>0</v>
      </c>
      <c r="HT13" s="3">
        <v>0</v>
      </c>
      <c r="HU13" s="3">
        <v>0</v>
      </c>
      <c r="HV13" s="3">
        <v>0</v>
      </c>
      <c r="HW13" s="3">
        <v>0</v>
      </c>
      <c r="HX13" s="3">
        <v>0</v>
      </c>
      <c r="HY13" s="3">
        <v>0</v>
      </c>
      <c r="HZ13" s="3">
        <v>0</v>
      </c>
      <c r="IA13" s="3">
        <v>3</v>
      </c>
      <c r="IB13" s="3">
        <v>0</v>
      </c>
      <c r="IC13" s="3">
        <v>0</v>
      </c>
      <c r="ID13" s="3">
        <v>2</v>
      </c>
      <c r="IE13" s="3">
        <v>0</v>
      </c>
      <c r="IF13" s="3">
        <v>1</v>
      </c>
      <c r="IG13" s="3">
        <v>0</v>
      </c>
      <c r="IH13" s="3">
        <v>0</v>
      </c>
      <c r="II13" s="3">
        <v>0</v>
      </c>
      <c r="IJ13" s="3">
        <v>1</v>
      </c>
      <c r="IK13" s="3">
        <v>0</v>
      </c>
      <c r="IL13" s="3">
        <v>0</v>
      </c>
      <c r="IM13" s="3">
        <v>0</v>
      </c>
      <c r="IN13" s="3">
        <v>0</v>
      </c>
      <c r="IO13" s="3">
        <v>0</v>
      </c>
      <c r="IP13" s="3">
        <v>0</v>
      </c>
      <c r="IQ13" s="3">
        <v>0</v>
      </c>
      <c r="IR13" s="3" t="s">
        <v>274</v>
      </c>
      <c r="IS13" s="3">
        <v>0</v>
      </c>
      <c r="IT13" s="3">
        <v>3</v>
      </c>
      <c r="IU13" s="3">
        <v>0</v>
      </c>
      <c r="IV13" s="3">
        <v>3</v>
      </c>
      <c r="IW13" s="3">
        <v>3</v>
      </c>
      <c r="IX13" s="3">
        <v>1</v>
      </c>
      <c r="IY13" s="3">
        <v>0</v>
      </c>
      <c r="IZ13" s="2" t="s">
        <v>268</v>
      </c>
      <c r="JA13" s="2"/>
    </row>
    <row r="14" spans="1:261" ht="13.2" x14ac:dyDescent="0.25">
      <c r="A14" s="10">
        <v>14</v>
      </c>
      <c r="B14" s="2" t="s">
        <v>336</v>
      </c>
      <c r="C14" s="2" t="s">
        <v>261</v>
      </c>
      <c r="D14" s="2" t="s">
        <v>325</v>
      </c>
      <c r="E14" s="2">
        <v>15</v>
      </c>
      <c r="F14" s="11" t="s">
        <v>337</v>
      </c>
      <c r="G14" s="11" t="s">
        <v>338</v>
      </c>
      <c r="H14" s="2" t="s">
        <v>339</v>
      </c>
      <c r="I14" s="3">
        <v>0</v>
      </c>
      <c r="J14" s="3">
        <v>0</v>
      </c>
      <c r="K14" s="3">
        <v>0</v>
      </c>
      <c r="L14" s="3">
        <v>0</v>
      </c>
      <c r="M14" s="3">
        <v>0</v>
      </c>
      <c r="N14" s="3">
        <v>0</v>
      </c>
      <c r="O14" s="3">
        <v>0</v>
      </c>
      <c r="P14" s="3">
        <v>0</v>
      </c>
      <c r="Q14" s="3">
        <v>0</v>
      </c>
      <c r="R14" s="3">
        <v>0</v>
      </c>
      <c r="S14" s="3">
        <v>0</v>
      </c>
      <c r="T14" s="3">
        <v>0</v>
      </c>
      <c r="U14" s="3">
        <v>0</v>
      </c>
      <c r="V14" s="3">
        <v>3</v>
      </c>
      <c r="W14" s="3">
        <v>2</v>
      </c>
      <c r="X14" s="3">
        <v>3</v>
      </c>
      <c r="Y14" s="3">
        <v>2</v>
      </c>
      <c r="Z14" s="3">
        <v>4</v>
      </c>
      <c r="AA14" s="3">
        <v>3</v>
      </c>
      <c r="AB14" s="3">
        <v>4</v>
      </c>
      <c r="AC14" s="3">
        <v>0</v>
      </c>
      <c r="AD14" s="3">
        <v>3</v>
      </c>
      <c r="AE14" s="3">
        <v>2</v>
      </c>
      <c r="AF14" s="3">
        <v>2</v>
      </c>
      <c r="AG14" s="3">
        <v>4</v>
      </c>
      <c r="AH14" s="3">
        <v>0</v>
      </c>
      <c r="AI14" s="3">
        <v>2</v>
      </c>
      <c r="AJ14" s="3">
        <v>4</v>
      </c>
      <c r="AK14" s="3">
        <v>0</v>
      </c>
      <c r="AL14" s="3">
        <v>4</v>
      </c>
      <c r="AM14" s="3">
        <v>3</v>
      </c>
      <c r="AN14" s="3">
        <v>3</v>
      </c>
      <c r="AO14" s="3">
        <v>3</v>
      </c>
      <c r="AP14" s="3">
        <v>2</v>
      </c>
      <c r="AQ14" s="3">
        <v>1</v>
      </c>
      <c r="AR14" s="3">
        <v>2</v>
      </c>
      <c r="AS14" s="3">
        <v>2</v>
      </c>
      <c r="AT14" s="3">
        <v>2</v>
      </c>
      <c r="AU14" s="3">
        <v>3</v>
      </c>
      <c r="AV14" s="3">
        <v>3</v>
      </c>
      <c r="AW14" s="3">
        <v>2</v>
      </c>
      <c r="AX14" s="3">
        <v>2</v>
      </c>
      <c r="AY14" s="3">
        <v>3</v>
      </c>
      <c r="AZ14" s="3">
        <v>3</v>
      </c>
      <c r="BA14" s="3">
        <v>3</v>
      </c>
      <c r="BB14" s="3">
        <v>2</v>
      </c>
      <c r="BC14" s="3">
        <v>0</v>
      </c>
      <c r="BD14" s="3">
        <v>0</v>
      </c>
      <c r="BE14" s="3">
        <v>2</v>
      </c>
      <c r="BF14" s="3">
        <v>2</v>
      </c>
      <c r="BG14" s="3">
        <v>2</v>
      </c>
      <c r="BH14" s="3">
        <v>2</v>
      </c>
      <c r="BI14" s="3">
        <v>2</v>
      </c>
      <c r="BJ14" s="3">
        <v>2</v>
      </c>
      <c r="BK14" s="3">
        <v>2</v>
      </c>
      <c r="BL14" s="3">
        <v>2</v>
      </c>
      <c r="BM14" s="3" t="s">
        <v>274</v>
      </c>
      <c r="BN14" s="3">
        <v>0</v>
      </c>
      <c r="BO14" s="3">
        <v>0</v>
      </c>
      <c r="BP14" s="3">
        <v>0</v>
      </c>
      <c r="BQ14" s="3">
        <v>0</v>
      </c>
      <c r="BR14" s="3">
        <v>0</v>
      </c>
      <c r="BS14" s="3">
        <v>0</v>
      </c>
      <c r="BT14" s="3">
        <v>0</v>
      </c>
      <c r="BU14" s="2">
        <v>0</v>
      </c>
      <c r="BV14" s="2">
        <v>0</v>
      </c>
      <c r="BW14" s="2">
        <v>0</v>
      </c>
      <c r="BX14" s="2">
        <v>0</v>
      </c>
      <c r="BY14" s="2">
        <v>0</v>
      </c>
      <c r="BZ14" s="2">
        <v>0</v>
      </c>
      <c r="CA14" s="2">
        <v>0</v>
      </c>
      <c r="CB14" s="2">
        <v>0</v>
      </c>
      <c r="CC14" s="2">
        <v>0</v>
      </c>
      <c r="CD14" s="2">
        <v>0</v>
      </c>
      <c r="CE14" s="2">
        <v>0</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c r="EQ14" s="2">
        <v>0</v>
      </c>
      <c r="ER14" s="2">
        <v>0</v>
      </c>
      <c r="ES14" s="2">
        <v>0</v>
      </c>
      <c r="ET14" s="2">
        <v>0</v>
      </c>
      <c r="EU14" s="2">
        <v>0</v>
      </c>
      <c r="EV14" s="2">
        <v>0</v>
      </c>
      <c r="EW14" s="2">
        <v>0</v>
      </c>
      <c r="EX14" s="2">
        <v>0</v>
      </c>
      <c r="EY14" s="2">
        <v>0</v>
      </c>
      <c r="EZ14" s="2">
        <v>0</v>
      </c>
      <c r="FA14" s="2">
        <v>0</v>
      </c>
      <c r="FB14" s="2">
        <v>0</v>
      </c>
      <c r="FC14" s="2">
        <v>0</v>
      </c>
      <c r="FD14" s="2">
        <v>0</v>
      </c>
      <c r="FE14" s="2">
        <v>0</v>
      </c>
      <c r="FF14" s="2">
        <v>0</v>
      </c>
      <c r="FG14" s="2">
        <v>0</v>
      </c>
      <c r="FH14" s="2">
        <v>0</v>
      </c>
      <c r="FI14" s="2">
        <v>0</v>
      </c>
      <c r="FJ14" s="2">
        <v>0</v>
      </c>
      <c r="FK14" s="2">
        <v>0</v>
      </c>
      <c r="FL14" s="2">
        <v>0</v>
      </c>
      <c r="FM14" s="2">
        <v>0</v>
      </c>
      <c r="FN14" s="2">
        <v>0</v>
      </c>
      <c r="FO14" s="2">
        <v>0</v>
      </c>
      <c r="FP14" s="2">
        <v>0</v>
      </c>
      <c r="FQ14" s="2">
        <v>0</v>
      </c>
      <c r="FR14" s="2">
        <v>0</v>
      </c>
      <c r="FS14" s="2">
        <v>0</v>
      </c>
      <c r="FT14" s="2">
        <v>0</v>
      </c>
      <c r="FU14" s="2">
        <v>0</v>
      </c>
      <c r="FV14" s="2">
        <v>0</v>
      </c>
      <c r="FW14" s="2">
        <v>0</v>
      </c>
      <c r="FX14" s="2">
        <v>0</v>
      </c>
      <c r="FY14" s="2">
        <v>0</v>
      </c>
      <c r="FZ14" s="2">
        <v>0</v>
      </c>
      <c r="GA14" s="2">
        <v>0</v>
      </c>
      <c r="GB14" s="2">
        <v>0</v>
      </c>
      <c r="GC14" s="2" t="s">
        <v>274</v>
      </c>
      <c r="GD14" s="2">
        <v>0</v>
      </c>
      <c r="GE14" s="2">
        <v>0</v>
      </c>
      <c r="GF14" s="2">
        <v>0</v>
      </c>
      <c r="GG14" s="2">
        <v>0</v>
      </c>
      <c r="GH14" s="2">
        <v>0</v>
      </c>
      <c r="GI14" s="2">
        <v>0</v>
      </c>
      <c r="GJ14" s="2" t="s">
        <v>274</v>
      </c>
      <c r="GK14" s="2">
        <v>0</v>
      </c>
      <c r="GL14" s="2">
        <v>0</v>
      </c>
      <c r="GM14" s="2">
        <v>0</v>
      </c>
      <c r="GN14" s="3">
        <v>0</v>
      </c>
      <c r="GO14" s="3">
        <v>0</v>
      </c>
      <c r="GP14" s="3">
        <v>0</v>
      </c>
      <c r="GQ14" s="3">
        <v>0</v>
      </c>
      <c r="GR14" s="3">
        <v>0</v>
      </c>
      <c r="GS14" s="3">
        <v>0</v>
      </c>
      <c r="GT14" s="3">
        <v>0</v>
      </c>
      <c r="GU14" s="3">
        <v>0</v>
      </c>
      <c r="GV14" s="3">
        <v>0</v>
      </c>
      <c r="GW14" s="3">
        <v>0</v>
      </c>
      <c r="GX14" s="3">
        <v>0</v>
      </c>
      <c r="GY14" s="3">
        <v>0</v>
      </c>
      <c r="GZ14" s="3">
        <v>0</v>
      </c>
      <c r="HA14" s="3">
        <v>0</v>
      </c>
      <c r="HB14" s="3">
        <v>0</v>
      </c>
      <c r="HC14" s="3">
        <v>0</v>
      </c>
      <c r="HD14" s="3">
        <v>0</v>
      </c>
      <c r="HE14" s="3">
        <v>0</v>
      </c>
      <c r="HF14" s="3">
        <v>0</v>
      </c>
      <c r="HG14" s="3">
        <v>0</v>
      </c>
      <c r="HH14" s="3">
        <v>0</v>
      </c>
      <c r="HI14" s="3">
        <v>0</v>
      </c>
      <c r="HJ14" s="3">
        <v>0</v>
      </c>
      <c r="HK14" s="3">
        <v>0</v>
      </c>
      <c r="HL14" s="3">
        <v>0</v>
      </c>
      <c r="HM14" s="3">
        <v>0</v>
      </c>
      <c r="HN14" s="3">
        <v>0</v>
      </c>
      <c r="HO14" s="3">
        <v>0</v>
      </c>
      <c r="HP14" s="3">
        <v>0</v>
      </c>
      <c r="HQ14" s="3">
        <v>0</v>
      </c>
      <c r="HR14" s="3">
        <v>0</v>
      </c>
      <c r="HS14" s="3">
        <v>0</v>
      </c>
      <c r="HT14" s="3">
        <v>0</v>
      </c>
      <c r="HU14" s="3">
        <v>0</v>
      </c>
      <c r="HV14" s="3">
        <v>0</v>
      </c>
      <c r="HW14" s="3">
        <v>0</v>
      </c>
      <c r="HX14" s="3">
        <v>0</v>
      </c>
      <c r="HY14" s="3">
        <v>0</v>
      </c>
      <c r="HZ14" s="3">
        <v>0</v>
      </c>
      <c r="IA14" s="3">
        <v>0</v>
      </c>
      <c r="IB14" s="3">
        <v>0</v>
      </c>
      <c r="IC14" s="3">
        <v>0</v>
      </c>
      <c r="ID14" s="3">
        <v>0</v>
      </c>
      <c r="IE14" s="3">
        <v>0</v>
      </c>
      <c r="IF14" s="3">
        <v>0</v>
      </c>
      <c r="IG14" s="3">
        <v>0</v>
      </c>
      <c r="IH14" s="3">
        <v>0</v>
      </c>
      <c r="II14" s="3">
        <v>0</v>
      </c>
      <c r="IJ14" s="3">
        <v>0</v>
      </c>
      <c r="IK14" s="3">
        <v>0</v>
      </c>
      <c r="IL14" s="3">
        <v>0</v>
      </c>
      <c r="IM14" s="3">
        <v>0</v>
      </c>
      <c r="IN14" s="3">
        <v>0</v>
      </c>
      <c r="IO14" s="3">
        <v>0</v>
      </c>
      <c r="IP14" s="3">
        <v>0</v>
      </c>
      <c r="IQ14" s="3">
        <v>0</v>
      </c>
      <c r="IR14" s="3" t="s">
        <v>274</v>
      </c>
      <c r="IS14" s="3">
        <v>0</v>
      </c>
      <c r="IT14" s="3">
        <v>0</v>
      </c>
      <c r="IU14" s="3">
        <v>0</v>
      </c>
      <c r="IV14" s="3">
        <v>0</v>
      </c>
      <c r="IW14" s="3">
        <v>0</v>
      </c>
      <c r="IX14" s="3">
        <v>0</v>
      </c>
      <c r="IY14" s="3">
        <v>2</v>
      </c>
      <c r="IZ14" s="2" t="s">
        <v>268</v>
      </c>
      <c r="JA14" s="2"/>
    </row>
    <row r="15" spans="1:261" ht="13.2" x14ac:dyDescent="0.25">
      <c r="A15" s="10">
        <v>15</v>
      </c>
      <c r="B15" s="2" t="s">
        <v>340</v>
      </c>
      <c r="C15" s="2" t="s">
        <v>276</v>
      </c>
      <c r="D15" s="2" t="s">
        <v>262</v>
      </c>
      <c r="E15" s="2">
        <v>44</v>
      </c>
      <c r="F15" s="11" t="s">
        <v>341</v>
      </c>
      <c r="G15" s="11" t="s">
        <v>342</v>
      </c>
      <c r="H15" s="2" t="s">
        <v>343</v>
      </c>
      <c r="I15" s="3">
        <v>1</v>
      </c>
      <c r="J15" s="3">
        <v>2</v>
      </c>
      <c r="K15" s="3">
        <v>3</v>
      </c>
      <c r="L15" s="3">
        <v>0</v>
      </c>
      <c r="M15" s="3">
        <v>1</v>
      </c>
      <c r="N15" s="3">
        <v>2</v>
      </c>
      <c r="O15" s="3">
        <v>2</v>
      </c>
      <c r="P15" s="3">
        <v>0</v>
      </c>
      <c r="Q15" s="3">
        <v>0</v>
      </c>
      <c r="R15" s="3">
        <v>1</v>
      </c>
      <c r="S15" s="3">
        <v>0</v>
      </c>
      <c r="T15" s="3">
        <v>0</v>
      </c>
      <c r="U15" s="3">
        <v>0</v>
      </c>
      <c r="V15" s="3">
        <v>0</v>
      </c>
      <c r="W15" s="3">
        <v>1</v>
      </c>
      <c r="X15" s="3">
        <v>1</v>
      </c>
      <c r="Y15" s="3">
        <v>0</v>
      </c>
      <c r="Z15" s="3">
        <v>0</v>
      </c>
      <c r="AA15" s="3">
        <v>1</v>
      </c>
      <c r="AB15" s="3">
        <v>0</v>
      </c>
      <c r="AC15" s="3">
        <v>0</v>
      </c>
      <c r="AD15" s="3">
        <v>0</v>
      </c>
      <c r="AE15" s="3">
        <v>0</v>
      </c>
      <c r="AF15" s="3">
        <v>3</v>
      </c>
      <c r="AG15" s="3">
        <v>4</v>
      </c>
      <c r="AH15" s="3">
        <v>3</v>
      </c>
      <c r="AI15" s="3">
        <v>0</v>
      </c>
      <c r="AJ15" s="3">
        <v>3</v>
      </c>
      <c r="AK15" s="3">
        <v>0</v>
      </c>
      <c r="AL15" s="3">
        <v>1</v>
      </c>
      <c r="AM15" s="3">
        <v>1</v>
      </c>
      <c r="AN15" s="3">
        <v>0</v>
      </c>
      <c r="AO15" s="3">
        <v>2</v>
      </c>
      <c r="AP15" s="3">
        <v>2</v>
      </c>
      <c r="AQ15" s="3">
        <v>0</v>
      </c>
      <c r="AR15" s="3">
        <v>2</v>
      </c>
      <c r="AS15" s="3">
        <v>2</v>
      </c>
      <c r="AT15" s="3">
        <v>0</v>
      </c>
      <c r="AU15" s="3">
        <v>0</v>
      </c>
      <c r="AV15" s="3">
        <v>0</v>
      </c>
      <c r="AW15" s="3">
        <v>3</v>
      </c>
      <c r="AX15" s="3">
        <v>2</v>
      </c>
      <c r="AY15" s="3">
        <v>4</v>
      </c>
      <c r="AZ15" s="3">
        <v>3</v>
      </c>
      <c r="BA15" s="3">
        <v>1</v>
      </c>
      <c r="BB15" s="3">
        <v>3</v>
      </c>
      <c r="BC15" s="3">
        <v>0</v>
      </c>
      <c r="BD15" s="3">
        <v>3</v>
      </c>
      <c r="BE15" s="3">
        <v>1</v>
      </c>
      <c r="BF15" s="3">
        <v>0</v>
      </c>
      <c r="BG15" s="3">
        <v>0</v>
      </c>
      <c r="BH15" s="3">
        <v>0</v>
      </c>
      <c r="BI15" s="3">
        <v>1</v>
      </c>
      <c r="BJ15" s="3">
        <v>2</v>
      </c>
      <c r="BK15" s="3">
        <v>1</v>
      </c>
      <c r="BL15" s="3">
        <v>0</v>
      </c>
      <c r="BM15" s="3" t="s">
        <v>274</v>
      </c>
      <c r="BN15" s="3">
        <v>3</v>
      </c>
      <c r="BO15" s="3">
        <v>0</v>
      </c>
      <c r="BP15" s="3">
        <v>0</v>
      </c>
      <c r="BQ15" s="3">
        <v>0</v>
      </c>
      <c r="BR15" s="3">
        <v>2</v>
      </c>
      <c r="BS15" s="3">
        <v>3</v>
      </c>
      <c r="BT15" s="3">
        <v>1</v>
      </c>
      <c r="BU15" s="2">
        <v>0</v>
      </c>
      <c r="BV15" s="2">
        <v>1</v>
      </c>
      <c r="BW15" s="2">
        <v>1</v>
      </c>
      <c r="BX15" s="2">
        <v>0</v>
      </c>
      <c r="BY15" s="2">
        <v>0</v>
      </c>
      <c r="BZ15" s="2">
        <v>0</v>
      </c>
      <c r="CA15" s="2">
        <v>0</v>
      </c>
      <c r="CB15" s="2">
        <v>2</v>
      </c>
      <c r="CC15" s="2">
        <v>0</v>
      </c>
      <c r="CD15" s="2">
        <v>1</v>
      </c>
      <c r="CE15" s="2">
        <v>1</v>
      </c>
      <c r="CF15" s="2">
        <v>2</v>
      </c>
      <c r="CG15" s="2">
        <v>2</v>
      </c>
      <c r="CH15" s="2">
        <v>0</v>
      </c>
      <c r="CI15" s="2">
        <v>2</v>
      </c>
      <c r="CJ15" s="2">
        <v>0</v>
      </c>
      <c r="CK15" s="2">
        <v>2</v>
      </c>
      <c r="CL15" s="2">
        <v>2</v>
      </c>
      <c r="CM15" s="2">
        <v>2</v>
      </c>
      <c r="CN15" s="2">
        <v>1</v>
      </c>
      <c r="CO15" s="2">
        <v>2</v>
      </c>
      <c r="CP15" s="2">
        <v>0</v>
      </c>
      <c r="CQ15" s="2">
        <v>2</v>
      </c>
      <c r="CR15" s="2">
        <v>0</v>
      </c>
      <c r="CS15" s="2">
        <v>1</v>
      </c>
      <c r="CT15" s="2">
        <v>0</v>
      </c>
      <c r="CU15" s="2">
        <v>0</v>
      </c>
      <c r="CV15" s="2">
        <v>1</v>
      </c>
      <c r="CW15" s="2">
        <v>1</v>
      </c>
      <c r="CX15" s="2">
        <v>0</v>
      </c>
      <c r="CY15" s="2">
        <v>0</v>
      </c>
      <c r="CZ15" s="2">
        <v>0</v>
      </c>
      <c r="DA15" s="2">
        <v>0</v>
      </c>
      <c r="DB15" s="2">
        <v>0</v>
      </c>
      <c r="DC15" s="2">
        <v>0</v>
      </c>
      <c r="DD15" s="2">
        <v>0</v>
      </c>
      <c r="DE15" s="2">
        <v>3</v>
      </c>
      <c r="DF15" s="2">
        <v>3</v>
      </c>
      <c r="DG15" s="2">
        <v>3</v>
      </c>
      <c r="DH15" s="2">
        <v>3</v>
      </c>
      <c r="DI15" s="2">
        <v>3</v>
      </c>
      <c r="DJ15" s="2">
        <v>3</v>
      </c>
      <c r="DK15" s="2">
        <v>3</v>
      </c>
      <c r="DL15" s="2">
        <v>0</v>
      </c>
      <c r="DM15" s="2">
        <v>0</v>
      </c>
      <c r="DN15" s="2">
        <v>0</v>
      </c>
      <c r="DO15" s="2">
        <v>0</v>
      </c>
      <c r="DP15" s="2">
        <v>0</v>
      </c>
      <c r="DQ15" s="2">
        <v>0</v>
      </c>
      <c r="DR15" s="2">
        <v>0</v>
      </c>
      <c r="DS15" s="2">
        <v>1</v>
      </c>
      <c r="DT15" s="2">
        <v>0</v>
      </c>
      <c r="DU15" s="2">
        <v>0</v>
      </c>
      <c r="DV15" s="2">
        <v>0</v>
      </c>
      <c r="DW15" s="2">
        <v>0</v>
      </c>
      <c r="DX15" s="2">
        <v>2</v>
      </c>
      <c r="DY15" s="2">
        <v>3</v>
      </c>
      <c r="DZ15" s="2">
        <v>0</v>
      </c>
      <c r="EA15" s="2">
        <v>0</v>
      </c>
      <c r="EB15" s="2">
        <v>2</v>
      </c>
      <c r="EC15" s="2">
        <v>2</v>
      </c>
      <c r="ED15" s="2">
        <v>2</v>
      </c>
      <c r="EE15" s="2">
        <v>2</v>
      </c>
      <c r="EF15" s="2">
        <v>3</v>
      </c>
      <c r="EG15" s="2">
        <v>4</v>
      </c>
      <c r="EH15" s="2">
        <v>3</v>
      </c>
      <c r="EI15" s="2">
        <v>3</v>
      </c>
      <c r="EJ15" s="2">
        <v>3</v>
      </c>
      <c r="EK15" s="2">
        <v>3</v>
      </c>
      <c r="EL15" s="2">
        <v>2</v>
      </c>
      <c r="EM15" s="2">
        <v>0</v>
      </c>
      <c r="EN15" s="2">
        <v>1</v>
      </c>
      <c r="EO15" s="2">
        <v>2</v>
      </c>
      <c r="EP15" s="2">
        <v>2</v>
      </c>
      <c r="EQ15" s="2">
        <v>0</v>
      </c>
      <c r="ER15" s="2">
        <v>0</v>
      </c>
      <c r="ES15" s="2">
        <v>0</v>
      </c>
      <c r="ET15" s="2">
        <v>0</v>
      </c>
      <c r="EU15" s="2">
        <v>3</v>
      </c>
      <c r="EV15" s="2">
        <v>2</v>
      </c>
      <c r="EW15" s="2">
        <v>2</v>
      </c>
      <c r="EX15" s="2">
        <v>2</v>
      </c>
      <c r="EY15" s="2">
        <v>1</v>
      </c>
      <c r="EZ15" s="2">
        <v>0</v>
      </c>
      <c r="FA15" s="2">
        <v>2</v>
      </c>
      <c r="FB15" s="2">
        <v>2</v>
      </c>
      <c r="FC15" s="2">
        <v>3</v>
      </c>
      <c r="FD15" s="2">
        <v>2</v>
      </c>
      <c r="FE15" s="2">
        <v>2</v>
      </c>
      <c r="FF15" s="2">
        <v>0</v>
      </c>
      <c r="FG15" s="2">
        <v>0</v>
      </c>
      <c r="FH15" s="2">
        <v>0</v>
      </c>
      <c r="FI15" s="2">
        <v>0</v>
      </c>
      <c r="FJ15" s="2">
        <v>0</v>
      </c>
      <c r="FK15" s="2">
        <v>3</v>
      </c>
      <c r="FL15" s="2">
        <v>3</v>
      </c>
      <c r="FM15" s="2">
        <v>3</v>
      </c>
      <c r="FN15" s="2">
        <v>3</v>
      </c>
      <c r="FO15" s="2">
        <v>0</v>
      </c>
      <c r="FP15" s="2">
        <v>4</v>
      </c>
      <c r="FQ15" s="2">
        <v>3</v>
      </c>
      <c r="FR15" s="2">
        <v>3</v>
      </c>
      <c r="FS15" s="2">
        <v>3</v>
      </c>
      <c r="FT15" s="2">
        <v>3</v>
      </c>
      <c r="FU15" s="2">
        <v>0</v>
      </c>
      <c r="FV15" s="2">
        <v>0</v>
      </c>
      <c r="FW15" s="2">
        <v>0</v>
      </c>
      <c r="FX15" s="2">
        <v>0</v>
      </c>
      <c r="FY15" s="2">
        <v>0</v>
      </c>
      <c r="FZ15" s="2">
        <v>0</v>
      </c>
      <c r="GA15" s="2">
        <v>0</v>
      </c>
      <c r="GB15" s="2">
        <v>3</v>
      </c>
      <c r="GC15" s="2" t="s">
        <v>274</v>
      </c>
      <c r="GD15" s="2">
        <v>2</v>
      </c>
      <c r="GE15" s="2">
        <v>2</v>
      </c>
      <c r="GF15" s="2">
        <v>2</v>
      </c>
      <c r="GG15" s="2">
        <v>3</v>
      </c>
      <c r="GH15" s="2">
        <v>3</v>
      </c>
      <c r="GI15" s="2">
        <v>3</v>
      </c>
      <c r="GJ15" s="2">
        <v>3</v>
      </c>
      <c r="GK15" s="2">
        <v>2</v>
      </c>
      <c r="GL15" s="2">
        <v>1</v>
      </c>
      <c r="GM15" s="2">
        <v>0</v>
      </c>
      <c r="GN15" s="3">
        <v>0</v>
      </c>
      <c r="GO15" s="3">
        <v>0</v>
      </c>
      <c r="GP15" s="3">
        <v>0</v>
      </c>
      <c r="GQ15" s="3">
        <v>0</v>
      </c>
      <c r="GR15" s="3">
        <v>0</v>
      </c>
      <c r="GS15" s="3">
        <v>0</v>
      </c>
      <c r="GT15" s="3">
        <v>0</v>
      </c>
      <c r="GU15" s="3">
        <v>0</v>
      </c>
      <c r="GV15" s="3">
        <v>0</v>
      </c>
      <c r="GW15" s="3">
        <v>0</v>
      </c>
      <c r="GX15" s="3">
        <v>0</v>
      </c>
      <c r="GY15" s="3">
        <v>0</v>
      </c>
      <c r="GZ15" s="3">
        <v>0</v>
      </c>
      <c r="HA15" s="3">
        <v>0</v>
      </c>
      <c r="HB15" s="3">
        <v>0</v>
      </c>
      <c r="HC15" s="3">
        <v>0</v>
      </c>
      <c r="HD15" s="3">
        <v>0</v>
      </c>
      <c r="HE15" s="3">
        <v>0</v>
      </c>
      <c r="HF15" s="3">
        <v>0</v>
      </c>
      <c r="HG15" s="3">
        <v>0</v>
      </c>
      <c r="HH15" s="3">
        <v>0</v>
      </c>
      <c r="HI15" s="3">
        <v>0</v>
      </c>
      <c r="HJ15" s="3">
        <v>0</v>
      </c>
      <c r="HK15" s="3">
        <v>0</v>
      </c>
      <c r="HL15" s="3">
        <v>0</v>
      </c>
      <c r="HM15" s="3">
        <v>0</v>
      </c>
      <c r="HN15" s="3">
        <v>0</v>
      </c>
      <c r="HO15" s="3">
        <v>0</v>
      </c>
      <c r="HP15" s="3">
        <v>0</v>
      </c>
      <c r="HQ15" s="3">
        <v>0</v>
      </c>
      <c r="HR15" s="3">
        <v>0</v>
      </c>
      <c r="HS15" s="3">
        <v>0</v>
      </c>
      <c r="HT15" s="3">
        <v>0</v>
      </c>
      <c r="HU15" s="3">
        <v>0</v>
      </c>
      <c r="HV15" s="3">
        <v>1</v>
      </c>
      <c r="HW15" s="3">
        <v>0</v>
      </c>
      <c r="HX15" s="3">
        <v>2</v>
      </c>
      <c r="HY15" s="3">
        <v>0</v>
      </c>
      <c r="HZ15" s="3">
        <v>0</v>
      </c>
      <c r="IA15" s="3">
        <v>0</v>
      </c>
      <c r="IB15" s="3">
        <v>0</v>
      </c>
      <c r="IC15" s="3">
        <v>0</v>
      </c>
      <c r="ID15" s="3">
        <v>0</v>
      </c>
      <c r="IE15" s="3">
        <v>0</v>
      </c>
      <c r="IF15" s="3">
        <v>0</v>
      </c>
      <c r="IG15" s="3">
        <v>0</v>
      </c>
      <c r="IH15" s="3">
        <v>0</v>
      </c>
      <c r="II15" s="3">
        <v>0</v>
      </c>
      <c r="IJ15" s="3">
        <v>0</v>
      </c>
      <c r="IK15" s="3">
        <v>0</v>
      </c>
      <c r="IL15" s="3">
        <v>0</v>
      </c>
      <c r="IM15" s="3">
        <v>0</v>
      </c>
      <c r="IN15" s="3">
        <v>0</v>
      </c>
      <c r="IO15" s="3">
        <v>0</v>
      </c>
      <c r="IP15" s="3">
        <v>0</v>
      </c>
      <c r="IQ15" s="3">
        <v>0</v>
      </c>
      <c r="IR15" s="3" t="s">
        <v>274</v>
      </c>
      <c r="IS15" s="3">
        <v>0</v>
      </c>
      <c r="IT15" s="3">
        <v>1</v>
      </c>
      <c r="IU15" s="3">
        <v>0</v>
      </c>
      <c r="IV15" s="3">
        <v>0</v>
      </c>
      <c r="IW15" s="3">
        <v>0</v>
      </c>
      <c r="IX15" s="3">
        <v>0</v>
      </c>
      <c r="IY15" s="3">
        <v>0</v>
      </c>
      <c r="IZ15" s="2" t="s">
        <v>268</v>
      </c>
      <c r="JA15" s="2"/>
    </row>
    <row r="16" spans="1:261" ht="13.2" x14ac:dyDescent="0.25">
      <c r="A16" s="10">
        <v>16</v>
      </c>
      <c r="B16" s="2" t="s">
        <v>344</v>
      </c>
      <c r="C16" s="2" t="s">
        <v>276</v>
      </c>
      <c r="D16" s="2" t="s">
        <v>262</v>
      </c>
      <c r="E16" s="2">
        <v>33</v>
      </c>
      <c r="F16" s="11" t="s">
        <v>345</v>
      </c>
      <c r="G16" s="11" t="s">
        <v>346</v>
      </c>
      <c r="H16" s="2" t="s">
        <v>347</v>
      </c>
      <c r="I16" s="3">
        <v>3</v>
      </c>
      <c r="J16" s="3">
        <v>1</v>
      </c>
      <c r="K16" s="3">
        <v>2</v>
      </c>
      <c r="L16" s="3">
        <v>3</v>
      </c>
      <c r="M16" s="3">
        <v>2</v>
      </c>
      <c r="N16" s="3">
        <v>4</v>
      </c>
      <c r="O16" s="3">
        <v>2</v>
      </c>
      <c r="P16" s="3">
        <v>0</v>
      </c>
      <c r="Q16" s="3">
        <v>0</v>
      </c>
      <c r="R16" s="3">
        <v>1</v>
      </c>
      <c r="S16" s="3">
        <v>1</v>
      </c>
      <c r="T16" s="3">
        <v>0</v>
      </c>
      <c r="U16" s="3">
        <v>1</v>
      </c>
      <c r="V16" s="3">
        <v>3</v>
      </c>
      <c r="W16" s="3">
        <v>1</v>
      </c>
      <c r="X16" s="3">
        <v>0</v>
      </c>
      <c r="Y16" s="3">
        <v>1</v>
      </c>
      <c r="Z16" s="3">
        <v>0</v>
      </c>
      <c r="AA16" s="3">
        <v>2</v>
      </c>
      <c r="AB16" s="3">
        <v>2</v>
      </c>
      <c r="AC16" s="3">
        <v>2</v>
      </c>
      <c r="AD16" s="3">
        <v>0</v>
      </c>
      <c r="AE16" s="3">
        <v>0</v>
      </c>
      <c r="AF16" s="3">
        <v>3</v>
      </c>
      <c r="AG16" s="3">
        <v>3</v>
      </c>
      <c r="AH16" s="3">
        <v>3</v>
      </c>
      <c r="AI16" s="3">
        <v>2</v>
      </c>
      <c r="AJ16" s="3">
        <v>3</v>
      </c>
      <c r="AK16" s="3">
        <v>3</v>
      </c>
      <c r="AL16" s="3">
        <v>1</v>
      </c>
      <c r="AM16" s="3">
        <v>2</v>
      </c>
      <c r="AN16" s="3">
        <v>2</v>
      </c>
      <c r="AO16" s="3">
        <v>2</v>
      </c>
      <c r="AP16" s="3">
        <v>1</v>
      </c>
      <c r="AQ16" s="3">
        <v>0</v>
      </c>
      <c r="AR16" s="3">
        <v>0</v>
      </c>
      <c r="AS16" s="3">
        <v>0</v>
      </c>
      <c r="AT16" s="3">
        <v>0</v>
      </c>
      <c r="AU16" s="3">
        <v>2</v>
      </c>
      <c r="AV16" s="3">
        <v>2</v>
      </c>
      <c r="AW16" s="3">
        <v>3</v>
      </c>
      <c r="AX16" s="3">
        <v>1</v>
      </c>
      <c r="AY16" s="3">
        <v>1</v>
      </c>
      <c r="AZ16" s="3">
        <v>3</v>
      </c>
      <c r="BA16" s="3">
        <v>0</v>
      </c>
      <c r="BB16" s="3">
        <v>3</v>
      </c>
      <c r="BC16" s="3">
        <v>1</v>
      </c>
      <c r="BD16" s="3">
        <v>3</v>
      </c>
      <c r="BE16" s="3">
        <v>0</v>
      </c>
      <c r="BF16" s="3">
        <v>0</v>
      </c>
      <c r="BG16" s="3">
        <v>2</v>
      </c>
      <c r="BH16" s="3">
        <v>0</v>
      </c>
      <c r="BI16" s="3">
        <v>1</v>
      </c>
      <c r="BJ16" s="3">
        <v>0</v>
      </c>
      <c r="BK16" s="3">
        <v>1</v>
      </c>
      <c r="BL16" s="3">
        <v>0</v>
      </c>
      <c r="BM16" s="3" t="s">
        <v>348</v>
      </c>
      <c r="BN16" s="3">
        <v>3</v>
      </c>
      <c r="BO16" s="3">
        <v>3</v>
      </c>
      <c r="BP16" s="3">
        <v>3</v>
      </c>
      <c r="BQ16" s="3">
        <v>3</v>
      </c>
      <c r="BR16" s="3">
        <v>3</v>
      </c>
      <c r="BS16" s="3">
        <v>2</v>
      </c>
      <c r="BT16" s="3">
        <v>1</v>
      </c>
      <c r="BU16" s="2">
        <v>2</v>
      </c>
      <c r="BV16" s="2">
        <v>2</v>
      </c>
      <c r="BW16" s="2">
        <v>1</v>
      </c>
      <c r="BX16" s="2">
        <v>0</v>
      </c>
      <c r="BY16" s="2">
        <v>1</v>
      </c>
      <c r="BZ16" s="2">
        <v>0</v>
      </c>
      <c r="CA16" s="2">
        <v>0</v>
      </c>
      <c r="CB16" s="2">
        <v>1</v>
      </c>
      <c r="CC16" s="2">
        <v>1</v>
      </c>
      <c r="CD16" s="2">
        <v>1</v>
      </c>
      <c r="CE16" s="2">
        <v>1</v>
      </c>
      <c r="CF16" s="2">
        <v>0</v>
      </c>
      <c r="CG16" s="2">
        <v>0</v>
      </c>
      <c r="CH16" s="2">
        <v>0</v>
      </c>
      <c r="CI16" s="2">
        <v>0</v>
      </c>
      <c r="CJ16" s="2">
        <v>0</v>
      </c>
      <c r="CK16" s="2">
        <v>0</v>
      </c>
      <c r="CL16" s="2">
        <v>0</v>
      </c>
      <c r="CM16" s="2">
        <v>0</v>
      </c>
      <c r="CN16" s="2">
        <v>0</v>
      </c>
      <c r="CO16" s="2">
        <v>0</v>
      </c>
      <c r="CP16" s="2">
        <v>0</v>
      </c>
      <c r="CQ16" s="2">
        <v>2</v>
      </c>
      <c r="CR16" s="2">
        <v>2</v>
      </c>
      <c r="CS16" s="2">
        <v>2</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1</v>
      </c>
      <c r="DN16" s="2">
        <v>1</v>
      </c>
      <c r="DO16" s="2">
        <v>1</v>
      </c>
      <c r="DP16" s="2">
        <v>0</v>
      </c>
      <c r="DQ16" s="2">
        <v>1</v>
      </c>
      <c r="DR16" s="2">
        <v>2</v>
      </c>
      <c r="DS16" s="2">
        <v>0</v>
      </c>
      <c r="DT16" s="2">
        <v>0</v>
      </c>
      <c r="DU16" s="2">
        <v>0</v>
      </c>
      <c r="DV16" s="2">
        <v>0</v>
      </c>
      <c r="DW16" s="2">
        <v>0</v>
      </c>
      <c r="DX16" s="2">
        <v>2</v>
      </c>
      <c r="DY16" s="2">
        <v>1</v>
      </c>
      <c r="DZ16" s="2">
        <v>1</v>
      </c>
      <c r="EA16" s="2">
        <v>1</v>
      </c>
      <c r="EB16" s="2">
        <v>3</v>
      </c>
      <c r="EC16" s="2">
        <v>3</v>
      </c>
      <c r="ED16" s="2">
        <v>2</v>
      </c>
      <c r="EE16" s="2">
        <v>3</v>
      </c>
      <c r="EF16" s="2">
        <v>3</v>
      </c>
      <c r="EG16" s="2">
        <v>3</v>
      </c>
      <c r="EH16" s="2">
        <v>1</v>
      </c>
      <c r="EI16" s="2">
        <v>0</v>
      </c>
      <c r="EJ16" s="2">
        <v>0</v>
      </c>
      <c r="EK16" s="2">
        <v>0</v>
      </c>
      <c r="EL16" s="2">
        <v>0</v>
      </c>
      <c r="EM16" s="2">
        <v>0</v>
      </c>
      <c r="EN16" s="2">
        <v>0</v>
      </c>
      <c r="EO16" s="2">
        <v>0</v>
      </c>
      <c r="EP16" s="2">
        <v>0</v>
      </c>
      <c r="EQ16" s="2">
        <v>0</v>
      </c>
      <c r="ER16" s="2">
        <v>0</v>
      </c>
      <c r="ES16" s="2">
        <v>0</v>
      </c>
      <c r="ET16" s="2">
        <v>0</v>
      </c>
      <c r="EU16" s="2">
        <v>0</v>
      </c>
      <c r="EV16" s="2">
        <v>0</v>
      </c>
      <c r="EW16" s="2">
        <v>0</v>
      </c>
      <c r="EX16" s="2">
        <v>3</v>
      </c>
      <c r="EY16" s="2">
        <v>2</v>
      </c>
      <c r="EZ16" s="2">
        <v>0</v>
      </c>
      <c r="FA16" s="2">
        <v>0</v>
      </c>
      <c r="FB16" s="2">
        <v>0</v>
      </c>
      <c r="FC16" s="2">
        <v>2</v>
      </c>
      <c r="FD16" s="2">
        <v>0</v>
      </c>
      <c r="FE16" s="2">
        <v>0</v>
      </c>
      <c r="FF16" s="2">
        <v>0</v>
      </c>
      <c r="FG16" s="2">
        <v>0</v>
      </c>
      <c r="FH16" s="2">
        <v>0</v>
      </c>
      <c r="FI16" s="2">
        <v>0</v>
      </c>
      <c r="FJ16" s="2">
        <v>0</v>
      </c>
      <c r="FK16" s="2">
        <v>0</v>
      </c>
      <c r="FL16" s="2">
        <v>0</v>
      </c>
      <c r="FM16" s="2">
        <v>2</v>
      </c>
      <c r="FN16" s="2">
        <v>0</v>
      </c>
      <c r="FO16" s="2">
        <v>3</v>
      </c>
      <c r="FP16" s="2">
        <v>2</v>
      </c>
      <c r="FQ16" s="2">
        <v>2</v>
      </c>
      <c r="FR16" s="2">
        <v>2</v>
      </c>
      <c r="FS16" s="2">
        <v>2</v>
      </c>
      <c r="FT16" s="2">
        <v>2</v>
      </c>
      <c r="FU16" s="2">
        <v>2</v>
      </c>
      <c r="FV16" s="2">
        <v>2</v>
      </c>
      <c r="FW16" s="2">
        <v>2</v>
      </c>
      <c r="FX16" s="2">
        <v>0</v>
      </c>
      <c r="FY16" s="2">
        <v>0</v>
      </c>
      <c r="FZ16" s="2">
        <v>0</v>
      </c>
      <c r="GA16" s="2">
        <v>0</v>
      </c>
      <c r="GB16" s="2">
        <v>0</v>
      </c>
      <c r="GC16" s="2" t="s">
        <v>349</v>
      </c>
      <c r="GD16" s="2">
        <v>0</v>
      </c>
      <c r="GE16" s="2">
        <v>0</v>
      </c>
      <c r="GF16" s="2">
        <v>0</v>
      </c>
      <c r="GG16" s="2">
        <v>2</v>
      </c>
      <c r="GH16" s="2">
        <v>2</v>
      </c>
      <c r="GI16" s="2">
        <v>1</v>
      </c>
      <c r="GJ16" s="2">
        <v>0</v>
      </c>
      <c r="GK16" s="2">
        <v>0</v>
      </c>
      <c r="GL16" s="2">
        <v>0</v>
      </c>
      <c r="GM16" s="2">
        <v>0</v>
      </c>
      <c r="GN16" s="3">
        <v>1</v>
      </c>
      <c r="GO16" s="3">
        <v>0</v>
      </c>
      <c r="GP16" s="3">
        <v>1</v>
      </c>
      <c r="GQ16" s="3">
        <v>1</v>
      </c>
      <c r="GR16" s="3">
        <v>0</v>
      </c>
      <c r="GS16" s="3">
        <v>2</v>
      </c>
      <c r="GT16" s="3">
        <v>2</v>
      </c>
      <c r="GU16" s="3">
        <v>0</v>
      </c>
      <c r="GV16" s="3">
        <v>0</v>
      </c>
      <c r="GW16" s="3">
        <v>0</v>
      </c>
      <c r="GX16" s="3">
        <v>0</v>
      </c>
      <c r="GY16" s="3">
        <v>0</v>
      </c>
      <c r="GZ16" s="3">
        <v>0</v>
      </c>
      <c r="HA16" s="3">
        <v>0</v>
      </c>
      <c r="HB16" s="3">
        <v>0</v>
      </c>
      <c r="HC16" s="3">
        <v>0</v>
      </c>
      <c r="HD16" s="3">
        <v>0</v>
      </c>
      <c r="HE16" s="3">
        <v>0</v>
      </c>
      <c r="HF16" s="3">
        <v>0</v>
      </c>
      <c r="HG16" s="3">
        <v>0</v>
      </c>
      <c r="HH16" s="3">
        <v>0</v>
      </c>
      <c r="HI16" s="3">
        <v>0</v>
      </c>
      <c r="HJ16" s="3">
        <v>0</v>
      </c>
      <c r="HK16" s="3">
        <v>2</v>
      </c>
      <c r="HL16" s="3">
        <v>0</v>
      </c>
      <c r="HM16" s="3">
        <v>0</v>
      </c>
      <c r="HN16" s="3">
        <v>0</v>
      </c>
      <c r="HO16" s="3">
        <v>2</v>
      </c>
      <c r="HP16" s="3">
        <v>0</v>
      </c>
      <c r="HQ16" s="3">
        <v>0</v>
      </c>
      <c r="HR16" s="3">
        <v>2</v>
      </c>
      <c r="HS16" s="3">
        <v>2</v>
      </c>
      <c r="HT16" s="3">
        <v>2</v>
      </c>
      <c r="HU16" s="3">
        <v>2</v>
      </c>
      <c r="HV16" s="3">
        <v>2</v>
      </c>
      <c r="HW16" s="3">
        <v>0</v>
      </c>
      <c r="HX16" s="3">
        <v>0</v>
      </c>
      <c r="HY16" s="3">
        <v>0</v>
      </c>
      <c r="HZ16" s="3">
        <v>0</v>
      </c>
      <c r="IA16" s="3">
        <v>3</v>
      </c>
      <c r="IB16" s="3">
        <v>0</v>
      </c>
      <c r="IC16" s="3">
        <v>0</v>
      </c>
      <c r="ID16" s="3">
        <v>0</v>
      </c>
      <c r="IE16" s="3">
        <v>0</v>
      </c>
      <c r="IF16" s="3">
        <v>0</v>
      </c>
      <c r="IG16" s="3">
        <v>0</v>
      </c>
      <c r="IH16" s="3">
        <v>0</v>
      </c>
      <c r="II16" s="3">
        <v>0</v>
      </c>
      <c r="IJ16" s="3">
        <v>0</v>
      </c>
      <c r="IK16" s="3">
        <v>0</v>
      </c>
      <c r="IL16" s="3">
        <v>0</v>
      </c>
      <c r="IM16" s="3">
        <v>1</v>
      </c>
      <c r="IN16" s="3">
        <v>0</v>
      </c>
      <c r="IO16" s="3">
        <v>0</v>
      </c>
      <c r="IP16" s="3">
        <v>0</v>
      </c>
      <c r="IQ16" s="3">
        <v>0</v>
      </c>
      <c r="IR16" s="3" t="s">
        <v>350</v>
      </c>
      <c r="IS16" s="3">
        <v>1</v>
      </c>
      <c r="IT16" s="3">
        <v>0</v>
      </c>
      <c r="IU16" s="3">
        <v>0</v>
      </c>
      <c r="IV16" s="3">
        <v>0</v>
      </c>
      <c r="IW16" s="3">
        <v>0</v>
      </c>
      <c r="IX16" s="3">
        <v>0</v>
      </c>
      <c r="IY16" s="3">
        <v>0</v>
      </c>
      <c r="IZ16" s="2" t="s">
        <v>268</v>
      </c>
      <c r="JA16" s="2"/>
    </row>
    <row r="17" spans="1:261" ht="13.2" x14ac:dyDescent="0.25">
      <c r="A17" s="10">
        <v>17</v>
      </c>
      <c r="B17" s="2" t="s">
        <v>351</v>
      </c>
      <c r="C17" s="2" t="s">
        <v>276</v>
      </c>
      <c r="D17" s="2" t="s">
        <v>262</v>
      </c>
      <c r="E17" s="2">
        <v>53</v>
      </c>
      <c r="F17" s="11" t="s">
        <v>352</v>
      </c>
      <c r="G17" s="11" t="s">
        <v>346</v>
      </c>
      <c r="H17" s="2" t="s">
        <v>353</v>
      </c>
      <c r="I17" s="3">
        <v>3</v>
      </c>
      <c r="J17" s="3">
        <v>2</v>
      </c>
      <c r="K17" s="3">
        <v>2</v>
      </c>
      <c r="L17" s="3">
        <v>3</v>
      </c>
      <c r="M17" s="3">
        <v>3</v>
      </c>
      <c r="N17" s="3">
        <v>2</v>
      </c>
      <c r="O17" s="3">
        <v>2</v>
      </c>
      <c r="P17" s="3">
        <v>2</v>
      </c>
      <c r="Q17" s="3">
        <v>2</v>
      </c>
      <c r="R17" s="3">
        <v>2</v>
      </c>
      <c r="S17" s="3">
        <v>1</v>
      </c>
      <c r="T17" s="3">
        <v>1</v>
      </c>
      <c r="U17" s="3">
        <v>0</v>
      </c>
      <c r="V17" s="3">
        <v>0</v>
      </c>
      <c r="W17" s="3">
        <v>2</v>
      </c>
      <c r="X17" s="3">
        <v>1</v>
      </c>
      <c r="Y17" s="3">
        <v>1</v>
      </c>
      <c r="Z17" s="3">
        <v>2</v>
      </c>
      <c r="AA17" s="3">
        <v>2</v>
      </c>
      <c r="AB17" s="3">
        <v>1</v>
      </c>
      <c r="AC17" s="3">
        <v>1</v>
      </c>
      <c r="AD17" s="3">
        <v>1</v>
      </c>
      <c r="AE17" s="3">
        <v>1</v>
      </c>
      <c r="AF17" s="3">
        <v>0</v>
      </c>
      <c r="AG17" s="3">
        <v>0</v>
      </c>
      <c r="AH17" s="3">
        <v>0</v>
      </c>
      <c r="AI17" s="3">
        <v>2</v>
      </c>
      <c r="AJ17" s="3">
        <v>2</v>
      </c>
      <c r="AK17" s="3">
        <v>3</v>
      </c>
      <c r="AL17" s="3">
        <v>2</v>
      </c>
      <c r="AM17" s="3">
        <v>0</v>
      </c>
      <c r="AN17" s="3">
        <v>1</v>
      </c>
      <c r="AO17" s="3">
        <v>2</v>
      </c>
      <c r="AP17" s="3">
        <v>0</v>
      </c>
      <c r="AQ17" s="3">
        <v>0</v>
      </c>
      <c r="AR17" s="3">
        <v>0</v>
      </c>
      <c r="AS17" s="3">
        <v>0</v>
      </c>
      <c r="AT17" s="3">
        <v>0</v>
      </c>
      <c r="AU17" s="3">
        <v>1</v>
      </c>
      <c r="AV17" s="3">
        <v>0</v>
      </c>
      <c r="AW17" s="3">
        <v>1</v>
      </c>
      <c r="AX17" s="3">
        <v>0</v>
      </c>
      <c r="AY17" s="3">
        <v>1</v>
      </c>
      <c r="AZ17" s="3">
        <v>1</v>
      </c>
      <c r="BA17" s="3">
        <v>0</v>
      </c>
      <c r="BB17" s="3">
        <v>2</v>
      </c>
      <c r="BC17" s="3">
        <v>0</v>
      </c>
      <c r="BD17" s="3">
        <v>2</v>
      </c>
      <c r="BE17" s="3">
        <v>2</v>
      </c>
      <c r="BF17" s="3">
        <v>2</v>
      </c>
      <c r="BG17" s="3">
        <v>2</v>
      </c>
      <c r="BH17" s="3">
        <v>2</v>
      </c>
      <c r="BI17" s="3">
        <v>1</v>
      </c>
      <c r="BJ17" s="3">
        <v>3</v>
      </c>
      <c r="BK17" s="3">
        <v>2</v>
      </c>
      <c r="BL17" s="3">
        <v>1</v>
      </c>
      <c r="BM17" s="3" t="s">
        <v>274</v>
      </c>
      <c r="BN17" s="3">
        <v>2</v>
      </c>
      <c r="BO17" s="3">
        <v>3</v>
      </c>
      <c r="BP17" s="3">
        <v>3</v>
      </c>
      <c r="BQ17" s="3">
        <v>3</v>
      </c>
      <c r="BR17" s="3">
        <v>1</v>
      </c>
      <c r="BS17" s="3">
        <v>3</v>
      </c>
      <c r="BT17" s="3">
        <v>1</v>
      </c>
      <c r="BU17" s="2">
        <v>1</v>
      </c>
      <c r="BV17" s="2">
        <v>3</v>
      </c>
      <c r="BW17" s="2">
        <v>2</v>
      </c>
      <c r="BX17" s="2">
        <v>0</v>
      </c>
      <c r="BY17" s="2">
        <v>1</v>
      </c>
      <c r="BZ17" s="2">
        <v>0</v>
      </c>
      <c r="CA17" s="2">
        <v>2</v>
      </c>
      <c r="CB17" s="2">
        <v>2</v>
      </c>
      <c r="CC17" s="2">
        <v>1</v>
      </c>
      <c r="CD17" s="2">
        <v>3</v>
      </c>
      <c r="CE17" s="2">
        <v>3</v>
      </c>
      <c r="CF17" s="2">
        <v>2</v>
      </c>
      <c r="CG17" s="2">
        <v>1</v>
      </c>
      <c r="CH17" s="2">
        <v>1</v>
      </c>
      <c r="CI17" s="2">
        <v>2</v>
      </c>
      <c r="CJ17" s="2">
        <v>3</v>
      </c>
      <c r="CK17" s="2">
        <v>2</v>
      </c>
      <c r="CL17" s="2">
        <v>4</v>
      </c>
      <c r="CM17" s="2">
        <v>2</v>
      </c>
      <c r="CN17" s="2">
        <v>2</v>
      </c>
      <c r="CO17" s="2">
        <v>3</v>
      </c>
      <c r="CP17" s="2">
        <v>0</v>
      </c>
      <c r="CQ17" s="2">
        <v>3</v>
      </c>
      <c r="CR17" s="2">
        <v>2</v>
      </c>
      <c r="CS17" s="2">
        <v>3</v>
      </c>
      <c r="CT17" s="2">
        <v>0</v>
      </c>
      <c r="CU17" s="2">
        <v>0</v>
      </c>
      <c r="CV17" s="2">
        <v>0</v>
      </c>
      <c r="CW17" s="2">
        <v>0</v>
      </c>
      <c r="CX17" s="2">
        <v>0</v>
      </c>
      <c r="CY17" s="2">
        <v>0</v>
      </c>
      <c r="CZ17" s="2">
        <v>0</v>
      </c>
      <c r="DA17" s="2">
        <v>3</v>
      </c>
      <c r="DB17" s="2">
        <v>3</v>
      </c>
      <c r="DC17" s="2">
        <v>0</v>
      </c>
      <c r="DD17" s="2">
        <v>0</v>
      </c>
      <c r="DE17" s="2">
        <v>1</v>
      </c>
      <c r="DF17" s="2">
        <v>4</v>
      </c>
      <c r="DG17" s="2">
        <v>4</v>
      </c>
      <c r="DH17" s="2">
        <v>3</v>
      </c>
      <c r="DI17" s="2">
        <v>3</v>
      </c>
      <c r="DJ17" s="2">
        <v>1</v>
      </c>
      <c r="DK17" s="2">
        <v>1</v>
      </c>
      <c r="DL17" s="2">
        <v>1</v>
      </c>
      <c r="DM17" s="2">
        <v>0</v>
      </c>
      <c r="DN17" s="2">
        <v>0</v>
      </c>
      <c r="DO17" s="2">
        <v>0</v>
      </c>
      <c r="DP17" s="2">
        <v>1</v>
      </c>
      <c r="DQ17" s="2">
        <v>1</v>
      </c>
      <c r="DR17" s="2">
        <v>0</v>
      </c>
      <c r="DS17" s="2">
        <v>1</v>
      </c>
      <c r="DT17" s="2">
        <v>1</v>
      </c>
      <c r="DU17" s="2">
        <v>1</v>
      </c>
      <c r="DV17" s="2">
        <v>0</v>
      </c>
      <c r="DW17" s="2">
        <v>1</v>
      </c>
      <c r="DX17" s="2">
        <v>3</v>
      </c>
      <c r="DY17" s="2">
        <v>2</v>
      </c>
      <c r="DZ17" s="2">
        <v>3</v>
      </c>
      <c r="EA17" s="2">
        <v>3</v>
      </c>
      <c r="EB17" s="2">
        <v>0</v>
      </c>
      <c r="EC17" s="2">
        <v>0</v>
      </c>
      <c r="ED17" s="2">
        <v>0</v>
      </c>
      <c r="EE17" s="2">
        <v>0</v>
      </c>
      <c r="EF17" s="2">
        <v>0</v>
      </c>
      <c r="EG17" s="2">
        <v>0</v>
      </c>
      <c r="EH17" s="2">
        <v>0</v>
      </c>
      <c r="EI17" s="2">
        <v>3</v>
      </c>
      <c r="EJ17" s="2">
        <v>3</v>
      </c>
      <c r="EK17" s="2">
        <v>4</v>
      </c>
      <c r="EL17" s="2">
        <v>3</v>
      </c>
      <c r="EM17" s="2">
        <v>1</v>
      </c>
      <c r="EN17" s="2">
        <v>3</v>
      </c>
      <c r="EO17" s="2">
        <v>0</v>
      </c>
      <c r="EP17" s="2">
        <v>1</v>
      </c>
      <c r="EQ17" s="2">
        <v>3</v>
      </c>
      <c r="ER17" s="2">
        <v>0</v>
      </c>
      <c r="ES17" s="2">
        <v>0</v>
      </c>
      <c r="ET17" s="2">
        <v>0</v>
      </c>
      <c r="EU17" s="2">
        <v>1</v>
      </c>
      <c r="EV17" s="2">
        <v>0</v>
      </c>
      <c r="EW17" s="2">
        <v>3</v>
      </c>
      <c r="EX17" s="2">
        <v>3</v>
      </c>
      <c r="EY17" s="2">
        <v>0</v>
      </c>
      <c r="EZ17" s="2">
        <v>0</v>
      </c>
      <c r="FA17" s="2">
        <v>0</v>
      </c>
      <c r="FB17" s="2">
        <v>1</v>
      </c>
      <c r="FC17" s="2">
        <v>0</v>
      </c>
      <c r="FD17" s="2">
        <v>4</v>
      </c>
      <c r="FE17" s="2">
        <v>3</v>
      </c>
      <c r="FF17" s="2">
        <v>1</v>
      </c>
      <c r="FG17" s="2">
        <v>1</v>
      </c>
      <c r="FH17" s="2">
        <v>0</v>
      </c>
      <c r="FI17" s="2">
        <v>0</v>
      </c>
      <c r="FJ17" s="2">
        <v>0</v>
      </c>
      <c r="FK17" s="2">
        <v>4</v>
      </c>
      <c r="FL17" s="2">
        <v>1</v>
      </c>
      <c r="FM17" s="2">
        <v>0</v>
      </c>
      <c r="FN17" s="2">
        <v>0</v>
      </c>
      <c r="FO17" s="2">
        <v>0</v>
      </c>
      <c r="FP17" s="2">
        <v>0</v>
      </c>
      <c r="FQ17" s="2">
        <v>3</v>
      </c>
      <c r="FR17" s="2">
        <v>2</v>
      </c>
      <c r="FS17" s="2">
        <v>1</v>
      </c>
      <c r="FT17" s="2">
        <v>2</v>
      </c>
      <c r="FU17" s="2">
        <v>0</v>
      </c>
      <c r="FV17" s="2">
        <v>0</v>
      </c>
      <c r="FW17" s="2">
        <v>3</v>
      </c>
      <c r="FX17" s="2">
        <v>1</v>
      </c>
      <c r="FY17" s="2">
        <v>0</v>
      </c>
      <c r="FZ17" s="2">
        <v>1</v>
      </c>
      <c r="GA17" s="2">
        <v>0</v>
      </c>
      <c r="GB17" s="2">
        <v>1</v>
      </c>
      <c r="GC17" s="2" t="s">
        <v>354</v>
      </c>
      <c r="GD17" s="2">
        <v>2</v>
      </c>
      <c r="GE17" s="2">
        <v>2</v>
      </c>
      <c r="GF17" s="2">
        <v>2</v>
      </c>
      <c r="GG17" s="2">
        <v>4</v>
      </c>
      <c r="GH17" s="2">
        <v>4</v>
      </c>
      <c r="GI17" s="2">
        <v>3</v>
      </c>
      <c r="GJ17" s="2">
        <v>0</v>
      </c>
      <c r="GK17" s="2">
        <v>3</v>
      </c>
      <c r="GL17" s="2">
        <v>0</v>
      </c>
      <c r="GM17" s="2">
        <v>4</v>
      </c>
      <c r="GN17" s="3">
        <v>0</v>
      </c>
      <c r="GO17" s="3">
        <v>0</v>
      </c>
      <c r="GP17" s="3">
        <v>0</v>
      </c>
      <c r="GQ17" s="3">
        <v>1</v>
      </c>
      <c r="GR17" s="3">
        <v>0</v>
      </c>
      <c r="GS17" s="3">
        <v>1</v>
      </c>
      <c r="GT17" s="3">
        <v>0</v>
      </c>
      <c r="GU17" s="3">
        <v>0</v>
      </c>
      <c r="GV17" s="3">
        <v>3</v>
      </c>
      <c r="GW17" s="3">
        <v>2</v>
      </c>
      <c r="GX17" s="3">
        <v>0</v>
      </c>
      <c r="GY17" s="3">
        <v>0</v>
      </c>
      <c r="GZ17" s="3">
        <v>2</v>
      </c>
      <c r="HA17" s="3">
        <v>0</v>
      </c>
      <c r="HB17" s="3">
        <v>0</v>
      </c>
      <c r="HC17" s="3">
        <v>0</v>
      </c>
      <c r="HD17" s="3">
        <v>0</v>
      </c>
      <c r="HE17" s="3">
        <v>0</v>
      </c>
      <c r="HF17" s="3">
        <v>0</v>
      </c>
      <c r="HG17" s="3">
        <v>0</v>
      </c>
      <c r="HH17" s="3">
        <v>0</v>
      </c>
      <c r="HI17" s="3">
        <v>0</v>
      </c>
      <c r="HJ17" s="3">
        <v>1</v>
      </c>
      <c r="HK17" s="3">
        <v>0</v>
      </c>
      <c r="HL17" s="3">
        <v>1</v>
      </c>
      <c r="HM17" s="3">
        <v>0</v>
      </c>
      <c r="HN17" s="3">
        <v>0</v>
      </c>
      <c r="HO17" s="3">
        <v>0</v>
      </c>
      <c r="HP17" s="3">
        <v>1</v>
      </c>
      <c r="HQ17" s="3">
        <v>3</v>
      </c>
      <c r="HR17" s="3">
        <v>0</v>
      </c>
      <c r="HS17" s="3">
        <v>0</v>
      </c>
      <c r="HT17" s="3">
        <v>0</v>
      </c>
      <c r="HU17" s="3">
        <v>0</v>
      </c>
      <c r="HV17" s="3">
        <v>1</v>
      </c>
      <c r="HW17" s="3">
        <v>0</v>
      </c>
      <c r="HX17" s="3">
        <v>0</v>
      </c>
      <c r="HY17" s="3">
        <v>0</v>
      </c>
      <c r="HZ17" s="3">
        <v>0</v>
      </c>
      <c r="IA17" s="3">
        <v>0</v>
      </c>
      <c r="IB17" s="3">
        <v>0</v>
      </c>
      <c r="IC17" s="3">
        <v>0</v>
      </c>
      <c r="ID17" s="3">
        <v>0</v>
      </c>
      <c r="IE17" s="3">
        <v>0</v>
      </c>
      <c r="IF17" s="3">
        <v>1</v>
      </c>
      <c r="IG17" s="3">
        <v>0</v>
      </c>
      <c r="IH17" s="3">
        <v>0</v>
      </c>
      <c r="II17" s="3">
        <v>0</v>
      </c>
      <c r="IJ17" s="3">
        <v>0</v>
      </c>
      <c r="IK17" s="3">
        <v>0</v>
      </c>
      <c r="IL17" s="3">
        <v>0</v>
      </c>
      <c r="IM17" s="3">
        <v>0</v>
      </c>
      <c r="IN17" s="3">
        <v>0</v>
      </c>
      <c r="IO17" s="3">
        <v>0</v>
      </c>
      <c r="IP17" s="3">
        <v>0</v>
      </c>
      <c r="IQ17" s="3">
        <v>1</v>
      </c>
      <c r="IR17" s="3" t="s">
        <v>274</v>
      </c>
      <c r="IS17" s="3">
        <v>3</v>
      </c>
      <c r="IT17" s="3">
        <v>0</v>
      </c>
      <c r="IU17" s="3">
        <v>0</v>
      </c>
      <c r="IV17" s="3">
        <v>2</v>
      </c>
      <c r="IW17" s="3">
        <v>2</v>
      </c>
      <c r="IX17" s="3">
        <v>0</v>
      </c>
      <c r="IY17" s="3">
        <v>0</v>
      </c>
      <c r="IZ17" s="2" t="s">
        <v>268</v>
      </c>
      <c r="JA17" s="2"/>
    </row>
    <row r="18" spans="1:261" ht="13.2" x14ac:dyDescent="0.25">
      <c r="A18" s="10">
        <v>18</v>
      </c>
      <c r="B18" s="2" t="s">
        <v>355</v>
      </c>
      <c r="C18" s="2" t="s">
        <v>261</v>
      </c>
      <c r="D18" s="2" t="s">
        <v>270</v>
      </c>
      <c r="E18" s="2">
        <v>29</v>
      </c>
      <c r="F18" s="11" t="s">
        <v>356</v>
      </c>
      <c r="G18" s="11" t="s">
        <v>357</v>
      </c>
      <c r="H18" s="2" t="s">
        <v>358</v>
      </c>
      <c r="I18" s="3">
        <v>3</v>
      </c>
      <c r="J18" s="3">
        <v>2</v>
      </c>
      <c r="K18" s="3">
        <v>2</v>
      </c>
      <c r="L18" s="3">
        <v>3</v>
      </c>
      <c r="M18" s="3">
        <v>3</v>
      </c>
      <c r="N18" s="3">
        <v>2</v>
      </c>
      <c r="O18" s="3">
        <v>2</v>
      </c>
      <c r="P18" s="3">
        <v>2</v>
      </c>
      <c r="Q18" s="3">
        <v>0</v>
      </c>
      <c r="R18" s="3">
        <v>3</v>
      </c>
      <c r="S18" s="3">
        <v>0</v>
      </c>
      <c r="T18" s="3">
        <v>3</v>
      </c>
      <c r="U18" s="3">
        <v>1</v>
      </c>
      <c r="V18" s="3">
        <v>1</v>
      </c>
      <c r="W18" s="3">
        <v>0</v>
      </c>
      <c r="X18" s="3">
        <v>0</v>
      </c>
      <c r="Y18" s="3">
        <v>0</v>
      </c>
      <c r="Z18" s="3">
        <v>0</v>
      </c>
      <c r="AA18" s="3">
        <v>2</v>
      </c>
      <c r="AB18" s="3">
        <v>2</v>
      </c>
      <c r="AC18" s="3">
        <v>3</v>
      </c>
      <c r="AD18" s="3">
        <v>4</v>
      </c>
      <c r="AE18" s="3">
        <v>1</v>
      </c>
      <c r="AF18" s="3">
        <v>0</v>
      </c>
      <c r="AG18" s="3">
        <v>0</v>
      </c>
      <c r="AH18" s="3">
        <v>0</v>
      </c>
      <c r="AI18" s="3">
        <v>1</v>
      </c>
      <c r="AJ18" s="3">
        <v>2</v>
      </c>
      <c r="AK18" s="3">
        <v>1</v>
      </c>
      <c r="AL18" s="3">
        <v>2</v>
      </c>
      <c r="AM18" s="3">
        <v>0</v>
      </c>
      <c r="AN18" s="3">
        <v>1</v>
      </c>
      <c r="AO18" s="3">
        <v>2</v>
      </c>
      <c r="AP18" s="3">
        <v>0</v>
      </c>
      <c r="AQ18" s="3">
        <v>0</v>
      </c>
      <c r="AR18" s="3">
        <v>0</v>
      </c>
      <c r="AS18" s="3">
        <v>0</v>
      </c>
      <c r="AT18" s="3">
        <v>0</v>
      </c>
      <c r="AU18" s="3">
        <v>1</v>
      </c>
      <c r="AV18" s="3">
        <v>0</v>
      </c>
      <c r="AW18" s="3">
        <v>3</v>
      </c>
      <c r="AX18" s="3">
        <v>0</v>
      </c>
      <c r="AY18" s="3">
        <v>0</v>
      </c>
      <c r="AZ18" s="3">
        <v>4</v>
      </c>
      <c r="BA18" s="3">
        <v>2</v>
      </c>
      <c r="BB18" s="3">
        <v>1</v>
      </c>
      <c r="BC18" s="3">
        <v>0</v>
      </c>
      <c r="BD18" s="3">
        <v>1</v>
      </c>
      <c r="BE18" s="3">
        <v>1</v>
      </c>
      <c r="BF18" s="3">
        <v>0</v>
      </c>
      <c r="BG18" s="3">
        <v>0</v>
      </c>
      <c r="BH18" s="3">
        <v>4</v>
      </c>
      <c r="BI18" s="3">
        <v>0</v>
      </c>
      <c r="BJ18" s="3">
        <v>3</v>
      </c>
      <c r="BK18" s="3">
        <v>1</v>
      </c>
      <c r="BL18" s="3">
        <v>0</v>
      </c>
      <c r="BM18" s="3" t="s">
        <v>359</v>
      </c>
      <c r="BN18" s="3">
        <v>1</v>
      </c>
      <c r="BO18" s="3">
        <v>1</v>
      </c>
      <c r="BP18" s="3">
        <v>1</v>
      </c>
      <c r="BQ18" s="3">
        <v>1</v>
      </c>
      <c r="BR18" s="3">
        <v>3</v>
      </c>
      <c r="BS18" s="3">
        <v>3</v>
      </c>
      <c r="BT18" s="3">
        <v>4</v>
      </c>
      <c r="BU18" s="2">
        <v>1</v>
      </c>
      <c r="BV18" s="2">
        <v>0</v>
      </c>
      <c r="BW18" s="2">
        <v>1</v>
      </c>
      <c r="BX18" s="2">
        <v>0</v>
      </c>
      <c r="BY18" s="2">
        <v>0</v>
      </c>
      <c r="BZ18" s="2">
        <v>0</v>
      </c>
      <c r="CA18" s="2">
        <v>0</v>
      </c>
      <c r="CB18" s="2">
        <v>1</v>
      </c>
      <c r="CC18" s="2">
        <v>1</v>
      </c>
      <c r="CD18" s="2">
        <v>2</v>
      </c>
      <c r="CE18" s="2">
        <v>0</v>
      </c>
      <c r="CF18" s="2">
        <v>0</v>
      </c>
      <c r="CG18" s="2">
        <v>0</v>
      </c>
      <c r="CH18" s="2">
        <v>0</v>
      </c>
      <c r="CI18" s="2">
        <v>0</v>
      </c>
      <c r="CJ18" s="2">
        <v>0</v>
      </c>
      <c r="CK18" s="2">
        <v>0</v>
      </c>
      <c r="CL18" s="2">
        <v>0</v>
      </c>
      <c r="CM18" s="2">
        <v>0</v>
      </c>
      <c r="CN18" s="2">
        <v>0</v>
      </c>
      <c r="CO18" s="2">
        <v>0</v>
      </c>
      <c r="CP18" s="2">
        <v>0</v>
      </c>
      <c r="CQ18" s="2">
        <v>0</v>
      </c>
      <c r="CR18" s="2">
        <v>2</v>
      </c>
      <c r="CS18" s="2">
        <v>0</v>
      </c>
      <c r="CT18" s="2">
        <v>2</v>
      </c>
      <c r="CU18" s="2">
        <v>0</v>
      </c>
      <c r="CV18" s="2">
        <v>0</v>
      </c>
      <c r="CW18" s="2">
        <v>0</v>
      </c>
      <c r="CX18" s="2">
        <v>0</v>
      </c>
      <c r="CY18" s="2">
        <v>0</v>
      </c>
      <c r="CZ18" s="2">
        <v>2</v>
      </c>
      <c r="DA18" s="2">
        <v>1</v>
      </c>
      <c r="DB18" s="2">
        <v>0</v>
      </c>
      <c r="DC18" s="2">
        <v>0</v>
      </c>
      <c r="DD18" s="2">
        <v>0</v>
      </c>
      <c r="DE18" s="2">
        <v>0</v>
      </c>
      <c r="DF18" s="2">
        <v>1</v>
      </c>
      <c r="DG18" s="2">
        <v>0</v>
      </c>
      <c r="DH18" s="2">
        <v>0</v>
      </c>
      <c r="DI18" s="2">
        <v>0</v>
      </c>
      <c r="DJ18" s="2">
        <v>0</v>
      </c>
      <c r="DK18" s="2">
        <v>0</v>
      </c>
      <c r="DL18" s="2">
        <v>0</v>
      </c>
      <c r="DM18" s="2">
        <v>0</v>
      </c>
      <c r="DN18" s="2">
        <v>0</v>
      </c>
      <c r="DO18" s="2">
        <v>0</v>
      </c>
      <c r="DP18" s="2">
        <v>2</v>
      </c>
      <c r="DQ18" s="2">
        <v>3</v>
      </c>
      <c r="DR18" s="2">
        <v>0</v>
      </c>
      <c r="DS18" s="2">
        <v>3</v>
      </c>
      <c r="DT18" s="2">
        <v>1</v>
      </c>
      <c r="DU18" s="2">
        <v>0</v>
      </c>
      <c r="DV18" s="2">
        <v>0</v>
      </c>
      <c r="DW18" s="2">
        <v>3</v>
      </c>
      <c r="DX18" s="2">
        <v>1</v>
      </c>
      <c r="DY18" s="2">
        <v>1</v>
      </c>
      <c r="DZ18" s="2">
        <v>0</v>
      </c>
      <c r="EA18" s="2">
        <v>0</v>
      </c>
      <c r="EB18" s="2">
        <v>0</v>
      </c>
      <c r="EC18" s="2">
        <v>0</v>
      </c>
      <c r="ED18" s="2">
        <v>0</v>
      </c>
      <c r="EE18" s="2">
        <v>0</v>
      </c>
      <c r="EF18" s="2">
        <v>0</v>
      </c>
      <c r="EG18" s="2">
        <v>0</v>
      </c>
      <c r="EH18" s="2">
        <v>0</v>
      </c>
      <c r="EI18" s="2">
        <v>0</v>
      </c>
      <c r="EJ18" s="2">
        <v>0</v>
      </c>
      <c r="EK18" s="2">
        <v>0</v>
      </c>
      <c r="EL18" s="2">
        <v>1</v>
      </c>
      <c r="EM18" s="2">
        <v>2</v>
      </c>
      <c r="EN18" s="2">
        <v>0</v>
      </c>
      <c r="EO18" s="2">
        <v>0</v>
      </c>
      <c r="EP18" s="2">
        <v>0</v>
      </c>
      <c r="EQ18" s="2">
        <v>0</v>
      </c>
      <c r="ER18" s="2">
        <v>0</v>
      </c>
      <c r="ES18" s="2">
        <v>1</v>
      </c>
      <c r="ET18" s="2">
        <v>0</v>
      </c>
      <c r="EU18" s="2">
        <v>1</v>
      </c>
      <c r="EV18" s="2">
        <v>0</v>
      </c>
      <c r="EW18" s="2">
        <v>0</v>
      </c>
      <c r="EX18" s="2">
        <v>1</v>
      </c>
      <c r="EY18" s="2">
        <v>1</v>
      </c>
      <c r="EZ18" s="2">
        <v>0</v>
      </c>
      <c r="FA18" s="2">
        <v>0</v>
      </c>
      <c r="FB18" s="2">
        <v>0</v>
      </c>
      <c r="FC18" s="2">
        <v>0</v>
      </c>
      <c r="FD18" s="2">
        <v>0</v>
      </c>
      <c r="FE18" s="2">
        <v>0</v>
      </c>
      <c r="FF18" s="2">
        <v>0</v>
      </c>
      <c r="FG18" s="2">
        <v>0</v>
      </c>
      <c r="FH18" s="2">
        <v>0</v>
      </c>
      <c r="FI18" s="2">
        <v>0</v>
      </c>
      <c r="FJ18" s="2">
        <v>0</v>
      </c>
      <c r="FK18" s="2">
        <v>3</v>
      </c>
      <c r="FL18" s="2">
        <v>3</v>
      </c>
      <c r="FM18" s="2">
        <v>2</v>
      </c>
      <c r="FN18" s="2">
        <v>1</v>
      </c>
      <c r="FO18" s="2">
        <v>0</v>
      </c>
      <c r="FP18" s="2">
        <v>1</v>
      </c>
      <c r="FQ18" s="2">
        <v>0</v>
      </c>
      <c r="FR18" s="2">
        <v>1</v>
      </c>
      <c r="FS18" s="2">
        <v>0</v>
      </c>
      <c r="FT18" s="2">
        <v>0</v>
      </c>
      <c r="FU18" s="2">
        <v>0</v>
      </c>
      <c r="FV18" s="2">
        <v>0</v>
      </c>
      <c r="FW18" s="2">
        <v>0</v>
      </c>
      <c r="FX18" s="2">
        <v>1</v>
      </c>
      <c r="FY18" s="2">
        <v>1</v>
      </c>
      <c r="FZ18" s="2">
        <v>0</v>
      </c>
      <c r="GA18" s="2">
        <v>0</v>
      </c>
      <c r="GB18" s="2">
        <v>0</v>
      </c>
      <c r="GC18" s="2" t="s">
        <v>274</v>
      </c>
      <c r="GD18" s="2" t="s">
        <v>274</v>
      </c>
      <c r="GE18" s="2" t="s">
        <v>274</v>
      </c>
      <c r="GF18" s="2" t="s">
        <v>274</v>
      </c>
      <c r="GG18" s="2" t="s">
        <v>274</v>
      </c>
      <c r="GH18" s="2" t="s">
        <v>274</v>
      </c>
      <c r="GI18" s="2" t="s">
        <v>274</v>
      </c>
      <c r="GJ18" s="2" t="s">
        <v>274</v>
      </c>
      <c r="GK18" s="2" t="s">
        <v>274</v>
      </c>
      <c r="GL18" s="2" t="s">
        <v>274</v>
      </c>
      <c r="GM18" s="2" t="s">
        <v>274</v>
      </c>
      <c r="GN18" s="3">
        <v>3</v>
      </c>
      <c r="GO18" s="3">
        <v>3</v>
      </c>
      <c r="GP18" s="3">
        <v>3</v>
      </c>
      <c r="GQ18" s="3">
        <v>0</v>
      </c>
      <c r="GR18" s="3">
        <v>0</v>
      </c>
      <c r="GS18" s="3">
        <v>0</v>
      </c>
      <c r="GT18" s="3">
        <v>0</v>
      </c>
      <c r="GU18" s="3">
        <v>0</v>
      </c>
      <c r="GV18" s="3">
        <v>0</v>
      </c>
      <c r="GW18" s="3">
        <v>0</v>
      </c>
      <c r="GX18" s="3">
        <v>0</v>
      </c>
      <c r="GY18" s="3">
        <v>0</v>
      </c>
      <c r="GZ18" s="3">
        <v>0</v>
      </c>
      <c r="HA18" s="3">
        <v>1</v>
      </c>
      <c r="HB18" s="3">
        <v>0</v>
      </c>
      <c r="HC18" s="3">
        <v>0</v>
      </c>
      <c r="HD18" s="3">
        <v>0</v>
      </c>
      <c r="HE18" s="3">
        <v>0</v>
      </c>
      <c r="HF18" s="3">
        <v>0</v>
      </c>
      <c r="HG18" s="3">
        <v>0</v>
      </c>
      <c r="HH18" s="3">
        <v>1</v>
      </c>
      <c r="HI18" s="3">
        <v>0</v>
      </c>
      <c r="HJ18" s="3">
        <v>0</v>
      </c>
      <c r="HK18" s="3">
        <v>2</v>
      </c>
      <c r="HL18" s="3">
        <v>0</v>
      </c>
      <c r="HM18" s="3">
        <v>2</v>
      </c>
      <c r="HN18" s="3">
        <v>0</v>
      </c>
      <c r="HO18" s="3">
        <v>2</v>
      </c>
      <c r="HP18" s="3">
        <v>0</v>
      </c>
      <c r="HQ18" s="3">
        <v>3</v>
      </c>
      <c r="HR18" s="3">
        <v>0</v>
      </c>
      <c r="HS18" s="3">
        <v>0</v>
      </c>
      <c r="HT18" s="3">
        <v>0</v>
      </c>
      <c r="HU18" s="3">
        <v>0</v>
      </c>
      <c r="HV18" s="3">
        <v>0</v>
      </c>
      <c r="HW18" s="3">
        <v>0</v>
      </c>
      <c r="HX18" s="3">
        <v>0</v>
      </c>
      <c r="HY18" s="3">
        <v>0</v>
      </c>
      <c r="HZ18" s="3">
        <v>1</v>
      </c>
      <c r="IA18" s="3">
        <v>0</v>
      </c>
      <c r="IB18" s="3">
        <v>0</v>
      </c>
      <c r="IC18" s="3">
        <v>0</v>
      </c>
      <c r="ID18" s="3">
        <v>0</v>
      </c>
      <c r="IE18" s="3">
        <v>0</v>
      </c>
      <c r="IF18" s="3">
        <v>1</v>
      </c>
      <c r="IG18" s="3">
        <v>0</v>
      </c>
      <c r="IH18" s="3">
        <v>0</v>
      </c>
      <c r="II18" s="3">
        <v>1</v>
      </c>
      <c r="IJ18" s="3">
        <v>1</v>
      </c>
      <c r="IK18" s="3">
        <v>3</v>
      </c>
      <c r="IL18" s="3">
        <v>4</v>
      </c>
      <c r="IM18" s="3">
        <v>2</v>
      </c>
      <c r="IN18" s="3">
        <v>0</v>
      </c>
      <c r="IO18" s="3">
        <v>0</v>
      </c>
      <c r="IP18" s="3">
        <v>0</v>
      </c>
      <c r="IQ18" s="3">
        <v>0</v>
      </c>
      <c r="IR18" s="3" t="s">
        <v>359</v>
      </c>
      <c r="IS18" s="3">
        <v>0</v>
      </c>
      <c r="IT18" s="3">
        <v>4</v>
      </c>
      <c r="IU18" s="3">
        <v>0</v>
      </c>
      <c r="IV18" s="3">
        <v>4</v>
      </c>
      <c r="IW18" s="3">
        <v>3</v>
      </c>
      <c r="IX18" s="3">
        <v>3</v>
      </c>
      <c r="IY18" s="3">
        <v>4</v>
      </c>
      <c r="IZ18" s="2" t="s">
        <v>268</v>
      </c>
      <c r="JA18" s="2"/>
    </row>
    <row r="19" spans="1:261" ht="13.2" x14ac:dyDescent="0.25">
      <c r="A19" s="10">
        <v>19</v>
      </c>
      <c r="B19" s="2" t="s">
        <v>360</v>
      </c>
      <c r="C19" s="2" t="s">
        <v>261</v>
      </c>
      <c r="D19" s="2" t="s">
        <v>270</v>
      </c>
      <c r="E19" s="2">
        <v>33</v>
      </c>
      <c r="F19" s="11" t="s">
        <v>361</v>
      </c>
      <c r="G19" s="11" t="s">
        <v>362</v>
      </c>
      <c r="H19" s="2" t="s">
        <v>363</v>
      </c>
      <c r="I19" s="3">
        <v>2</v>
      </c>
      <c r="J19" s="3">
        <v>1</v>
      </c>
      <c r="K19" s="3">
        <v>2</v>
      </c>
      <c r="L19" s="3">
        <v>3</v>
      </c>
      <c r="M19" s="3">
        <v>2</v>
      </c>
      <c r="N19" s="3">
        <v>3</v>
      </c>
      <c r="O19" s="3">
        <v>3</v>
      </c>
      <c r="P19" s="3">
        <v>1</v>
      </c>
      <c r="Q19" s="3">
        <v>1</v>
      </c>
      <c r="R19" s="3">
        <v>2</v>
      </c>
      <c r="S19" s="3">
        <v>1</v>
      </c>
      <c r="T19" s="3">
        <v>1</v>
      </c>
      <c r="U19" s="3">
        <v>1</v>
      </c>
      <c r="V19" s="3">
        <v>3</v>
      </c>
      <c r="W19" s="3">
        <v>3</v>
      </c>
      <c r="X19" s="3">
        <v>2</v>
      </c>
      <c r="Y19" s="3">
        <v>2</v>
      </c>
      <c r="Z19" s="3">
        <v>2</v>
      </c>
      <c r="AA19" s="3">
        <v>3</v>
      </c>
      <c r="AB19" s="3">
        <v>3</v>
      </c>
      <c r="AC19" s="3">
        <v>3</v>
      </c>
      <c r="AD19" s="3">
        <v>3</v>
      </c>
      <c r="AE19" s="3">
        <v>3</v>
      </c>
      <c r="AF19" s="3">
        <v>0</v>
      </c>
      <c r="AG19" s="3">
        <v>0</v>
      </c>
      <c r="AH19" s="3">
        <v>0</v>
      </c>
      <c r="AI19" s="3">
        <v>3</v>
      </c>
      <c r="AJ19" s="3">
        <v>2</v>
      </c>
      <c r="AK19" s="3">
        <v>2</v>
      </c>
      <c r="AL19" s="3">
        <v>3</v>
      </c>
      <c r="AM19" s="3">
        <v>3</v>
      </c>
      <c r="AN19" s="3">
        <v>3</v>
      </c>
      <c r="AO19" s="3">
        <v>3</v>
      </c>
      <c r="AP19" s="3">
        <v>3</v>
      </c>
      <c r="AQ19" s="3">
        <v>3</v>
      </c>
      <c r="AR19" s="3">
        <v>2</v>
      </c>
      <c r="AS19" s="3">
        <v>2</v>
      </c>
      <c r="AT19" s="3">
        <v>2</v>
      </c>
      <c r="AU19" s="3">
        <v>3</v>
      </c>
      <c r="AV19" s="3">
        <v>3</v>
      </c>
      <c r="AW19" s="3">
        <v>2</v>
      </c>
      <c r="AX19" s="3">
        <v>2</v>
      </c>
      <c r="AY19" s="3">
        <v>1</v>
      </c>
      <c r="AZ19" s="3">
        <v>2</v>
      </c>
      <c r="BA19" s="3">
        <v>2</v>
      </c>
      <c r="BB19" s="3">
        <v>3</v>
      </c>
      <c r="BC19" s="3">
        <v>2</v>
      </c>
      <c r="BD19" s="3">
        <v>2</v>
      </c>
      <c r="BE19" s="3">
        <v>3</v>
      </c>
      <c r="BF19" s="3">
        <v>2</v>
      </c>
      <c r="BG19" s="3">
        <v>2</v>
      </c>
      <c r="BH19" s="3">
        <v>2</v>
      </c>
      <c r="BI19" s="3">
        <v>2</v>
      </c>
      <c r="BJ19" s="3">
        <v>3</v>
      </c>
      <c r="BK19" s="3">
        <v>3</v>
      </c>
      <c r="BL19" s="3">
        <v>1</v>
      </c>
      <c r="BM19" s="3" t="s">
        <v>274</v>
      </c>
      <c r="BN19" s="3">
        <v>3</v>
      </c>
      <c r="BO19" s="3">
        <v>2</v>
      </c>
      <c r="BP19" s="3">
        <v>3</v>
      </c>
      <c r="BQ19" s="3">
        <v>2</v>
      </c>
      <c r="BR19" s="3">
        <v>2</v>
      </c>
      <c r="BS19" s="3">
        <v>2</v>
      </c>
      <c r="BT19" s="3">
        <v>3</v>
      </c>
      <c r="BU19" s="2">
        <v>2</v>
      </c>
      <c r="BV19" s="2">
        <v>1</v>
      </c>
      <c r="BW19" s="2">
        <v>2</v>
      </c>
      <c r="BX19" s="2">
        <v>2</v>
      </c>
      <c r="BY19" s="2">
        <v>1</v>
      </c>
      <c r="BZ19" s="2">
        <v>1</v>
      </c>
      <c r="CA19" s="2">
        <v>1</v>
      </c>
      <c r="CB19" s="2">
        <v>1</v>
      </c>
      <c r="CC19" s="2">
        <v>1</v>
      </c>
      <c r="CD19" s="2">
        <v>1</v>
      </c>
      <c r="CE19" s="2">
        <v>1</v>
      </c>
      <c r="CF19" s="2">
        <v>1</v>
      </c>
      <c r="CG19" s="2">
        <v>1</v>
      </c>
      <c r="CH19" s="2">
        <v>1</v>
      </c>
      <c r="CI19" s="2">
        <v>1</v>
      </c>
      <c r="CJ19" s="2">
        <v>1</v>
      </c>
      <c r="CK19" s="2">
        <v>1</v>
      </c>
      <c r="CL19" s="2">
        <v>2</v>
      </c>
      <c r="CM19" s="2">
        <v>2</v>
      </c>
      <c r="CN19" s="2">
        <v>2</v>
      </c>
      <c r="CO19" s="2">
        <v>1</v>
      </c>
      <c r="CP19" s="2">
        <v>1</v>
      </c>
      <c r="CQ19" s="2">
        <v>2</v>
      </c>
      <c r="CR19" s="2">
        <v>1</v>
      </c>
      <c r="CS19" s="2">
        <v>1</v>
      </c>
      <c r="CT19" s="2">
        <v>2</v>
      </c>
      <c r="CU19" s="2">
        <v>1</v>
      </c>
      <c r="CV19" s="2">
        <v>1</v>
      </c>
      <c r="CW19" s="2">
        <v>1</v>
      </c>
      <c r="CX19" s="2">
        <v>1</v>
      </c>
      <c r="CY19" s="2">
        <v>1</v>
      </c>
      <c r="CZ19" s="2">
        <v>2</v>
      </c>
      <c r="DA19" s="2">
        <v>2</v>
      </c>
      <c r="DB19" s="2">
        <v>2</v>
      </c>
      <c r="DC19" s="2">
        <v>1</v>
      </c>
      <c r="DD19" s="2">
        <v>1</v>
      </c>
      <c r="DE19" s="2">
        <v>1</v>
      </c>
      <c r="DF19" s="2">
        <v>1</v>
      </c>
      <c r="DG19" s="2">
        <v>2</v>
      </c>
      <c r="DH19" s="2">
        <v>2</v>
      </c>
      <c r="DI19" s="2">
        <v>2</v>
      </c>
      <c r="DJ19" s="2">
        <v>1</v>
      </c>
      <c r="DK19" s="2">
        <v>1</v>
      </c>
      <c r="DL19" s="2">
        <v>1</v>
      </c>
      <c r="DM19" s="2">
        <v>1</v>
      </c>
      <c r="DN19" s="2">
        <v>1</v>
      </c>
      <c r="DO19" s="2">
        <v>1</v>
      </c>
      <c r="DP19" s="2">
        <v>1</v>
      </c>
      <c r="DQ19" s="2">
        <v>1</v>
      </c>
      <c r="DR19" s="2">
        <v>1</v>
      </c>
      <c r="DS19" s="2">
        <v>3</v>
      </c>
      <c r="DT19" s="2">
        <v>3</v>
      </c>
      <c r="DU19" s="2">
        <v>1</v>
      </c>
      <c r="DV19" s="2">
        <v>1</v>
      </c>
      <c r="DW19" s="2">
        <v>2</v>
      </c>
      <c r="DX19" s="2">
        <v>2</v>
      </c>
      <c r="DY19" s="2">
        <v>2</v>
      </c>
      <c r="DZ19" s="2">
        <v>2</v>
      </c>
      <c r="EA19" s="2">
        <v>2</v>
      </c>
      <c r="EB19" s="2">
        <v>1</v>
      </c>
      <c r="EC19" s="2">
        <v>1</v>
      </c>
      <c r="ED19" s="2">
        <v>1</v>
      </c>
      <c r="EE19" s="2">
        <v>1</v>
      </c>
      <c r="EF19" s="2">
        <v>1</v>
      </c>
      <c r="EG19" s="2">
        <v>1</v>
      </c>
      <c r="EH19" s="2">
        <v>1</v>
      </c>
      <c r="EI19" s="2">
        <v>1</v>
      </c>
      <c r="EJ19" s="2">
        <v>1</v>
      </c>
      <c r="EK19" s="2">
        <v>1</v>
      </c>
      <c r="EL19" s="2">
        <v>2</v>
      </c>
      <c r="EM19" s="2">
        <v>1</v>
      </c>
      <c r="EN19" s="2">
        <v>2</v>
      </c>
      <c r="EO19" s="2">
        <v>2</v>
      </c>
      <c r="EP19" s="2">
        <v>1</v>
      </c>
      <c r="EQ19" s="2">
        <v>2</v>
      </c>
      <c r="ER19" s="2">
        <v>1</v>
      </c>
      <c r="ES19" s="2">
        <v>3</v>
      </c>
      <c r="ET19" s="2">
        <v>1</v>
      </c>
      <c r="EU19" s="2">
        <v>1</v>
      </c>
      <c r="EV19" s="2">
        <v>2</v>
      </c>
      <c r="EW19" s="2">
        <v>1</v>
      </c>
      <c r="EX19" s="2">
        <v>2</v>
      </c>
      <c r="EY19" s="2">
        <v>2</v>
      </c>
      <c r="EZ19" s="2">
        <v>1</v>
      </c>
      <c r="FA19" s="2">
        <v>1</v>
      </c>
      <c r="FB19" s="2">
        <v>1</v>
      </c>
      <c r="FC19" s="2">
        <v>1</v>
      </c>
      <c r="FD19" s="2">
        <v>1</v>
      </c>
      <c r="FE19" s="2">
        <v>2</v>
      </c>
      <c r="FF19" s="2">
        <v>1</v>
      </c>
      <c r="FG19" s="2">
        <v>2</v>
      </c>
      <c r="FH19" s="2">
        <v>1</v>
      </c>
      <c r="FI19" s="2">
        <v>3</v>
      </c>
      <c r="FJ19" s="2">
        <v>2</v>
      </c>
      <c r="FK19" s="2">
        <v>2</v>
      </c>
      <c r="FL19" s="2">
        <v>2</v>
      </c>
      <c r="FM19" s="2">
        <v>2</v>
      </c>
      <c r="FN19" s="2">
        <v>1</v>
      </c>
      <c r="FO19" s="2">
        <v>1</v>
      </c>
      <c r="FP19" s="2">
        <v>0</v>
      </c>
      <c r="FQ19" s="2">
        <v>0</v>
      </c>
      <c r="FR19" s="2">
        <v>2</v>
      </c>
      <c r="FS19" s="2">
        <v>1</v>
      </c>
      <c r="FT19" s="2">
        <v>0</v>
      </c>
      <c r="FU19" s="2">
        <v>1</v>
      </c>
      <c r="FV19" s="2">
        <v>3</v>
      </c>
      <c r="FW19" s="2">
        <v>1</v>
      </c>
      <c r="FX19" s="2">
        <v>3</v>
      </c>
      <c r="FY19" s="2">
        <v>2</v>
      </c>
      <c r="FZ19" s="2">
        <v>1</v>
      </c>
      <c r="GA19" s="2">
        <v>1</v>
      </c>
      <c r="GB19" s="2">
        <v>1</v>
      </c>
      <c r="GC19" s="2" t="s">
        <v>274</v>
      </c>
      <c r="GD19" s="2">
        <v>1</v>
      </c>
      <c r="GE19" s="2">
        <v>1</v>
      </c>
      <c r="GF19" s="2">
        <v>3</v>
      </c>
      <c r="GG19" s="2">
        <v>1</v>
      </c>
      <c r="GH19" s="2">
        <v>2</v>
      </c>
      <c r="GI19" s="2">
        <v>3</v>
      </c>
      <c r="GJ19" s="2">
        <v>1</v>
      </c>
      <c r="GK19" s="2">
        <v>1</v>
      </c>
      <c r="GL19" s="2">
        <v>1</v>
      </c>
      <c r="GM19" s="2">
        <v>2</v>
      </c>
      <c r="GN19" s="3">
        <v>2</v>
      </c>
      <c r="GO19" s="3">
        <v>1</v>
      </c>
      <c r="GP19" s="3">
        <v>1</v>
      </c>
      <c r="GQ19" s="3">
        <v>2</v>
      </c>
      <c r="GR19" s="3">
        <v>1</v>
      </c>
      <c r="GS19" s="3">
        <v>0</v>
      </c>
      <c r="GT19" s="3">
        <v>2</v>
      </c>
      <c r="GU19" s="3">
        <v>4</v>
      </c>
      <c r="GV19" s="3">
        <v>2</v>
      </c>
      <c r="GW19" s="3">
        <v>2</v>
      </c>
      <c r="GX19" s="3">
        <v>1</v>
      </c>
      <c r="GY19" s="3">
        <v>3</v>
      </c>
      <c r="GZ19" s="3">
        <v>1</v>
      </c>
      <c r="HA19" s="3">
        <v>1</v>
      </c>
      <c r="HB19" s="3">
        <v>0</v>
      </c>
      <c r="HC19" s="3">
        <v>3</v>
      </c>
      <c r="HD19" s="3">
        <v>0</v>
      </c>
      <c r="HE19" s="3">
        <v>2</v>
      </c>
      <c r="HF19" s="3">
        <v>1</v>
      </c>
      <c r="HG19" s="3">
        <v>2</v>
      </c>
      <c r="HH19" s="3">
        <v>2</v>
      </c>
      <c r="HI19" s="3">
        <v>3</v>
      </c>
      <c r="HJ19" s="3">
        <v>1</v>
      </c>
      <c r="HK19" s="3">
        <v>1</v>
      </c>
      <c r="HL19" s="3">
        <v>0</v>
      </c>
      <c r="HM19" s="3">
        <v>0</v>
      </c>
      <c r="HN19" s="3">
        <v>2</v>
      </c>
      <c r="HO19" s="3">
        <v>1</v>
      </c>
      <c r="HP19" s="3">
        <v>2</v>
      </c>
      <c r="HQ19" s="3">
        <v>1</v>
      </c>
      <c r="HR19" s="3">
        <v>0</v>
      </c>
      <c r="HS19" s="3">
        <v>0</v>
      </c>
      <c r="HT19" s="3">
        <v>0</v>
      </c>
      <c r="HU19" s="3">
        <v>0</v>
      </c>
      <c r="HV19" s="3">
        <v>0</v>
      </c>
      <c r="HW19" s="3">
        <v>2</v>
      </c>
      <c r="HX19" s="3">
        <v>1</v>
      </c>
      <c r="HY19" s="3">
        <v>2</v>
      </c>
      <c r="HZ19" s="3">
        <v>2</v>
      </c>
      <c r="IA19" s="3">
        <v>2</v>
      </c>
      <c r="IB19" s="3">
        <v>3</v>
      </c>
      <c r="IC19" s="3">
        <v>0</v>
      </c>
      <c r="ID19" s="3">
        <v>2</v>
      </c>
      <c r="IE19" s="3">
        <v>1</v>
      </c>
      <c r="IF19" s="3">
        <v>1</v>
      </c>
      <c r="IG19" s="3">
        <v>0</v>
      </c>
      <c r="IH19" s="3">
        <v>0</v>
      </c>
      <c r="II19" s="3">
        <v>3</v>
      </c>
      <c r="IJ19" s="3">
        <v>2</v>
      </c>
      <c r="IK19" s="3">
        <v>2</v>
      </c>
      <c r="IL19" s="3">
        <v>2</v>
      </c>
      <c r="IM19" s="3">
        <v>1</v>
      </c>
      <c r="IN19" s="3">
        <v>2</v>
      </c>
      <c r="IO19" s="3">
        <v>1</v>
      </c>
      <c r="IP19" s="3">
        <v>2</v>
      </c>
      <c r="IQ19" s="3">
        <v>2</v>
      </c>
      <c r="IR19" s="3" t="s">
        <v>274</v>
      </c>
      <c r="IS19" s="3">
        <v>0</v>
      </c>
      <c r="IT19" s="3">
        <v>2</v>
      </c>
      <c r="IU19" s="3">
        <v>4</v>
      </c>
      <c r="IV19" s="3">
        <v>3</v>
      </c>
      <c r="IW19" s="3">
        <v>2</v>
      </c>
      <c r="IX19" s="3">
        <v>1</v>
      </c>
      <c r="IY19" s="3">
        <v>2</v>
      </c>
      <c r="IZ19" s="2" t="s">
        <v>268</v>
      </c>
      <c r="JA19" s="2"/>
    </row>
    <row r="20" spans="1:261" ht="13.2" x14ac:dyDescent="0.25">
      <c r="A20" s="10">
        <v>20</v>
      </c>
      <c r="B20" s="2" t="s">
        <v>364</v>
      </c>
      <c r="C20" s="2" t="s">
        <v>276</v>
      </c>
      <c r="D20" s="2" t="s">
        <v>270</v>
      </c>
      <c r="E20" s="2">
        <v>25</v>
      </c>
      <c r="F20" s="11" t="s">
        <v>365</v>
      </c>
      <c r="G20" s="11" t="s">
        <v>366</v>
      </c>
      <c r="H20" s="2" t="s">
        <v>367</v>
      </c>
      <c r="I20" s="3">
        <v>3</v>
      </c>
      <c r="J20" s="3">
        <v>4</v>
      </c>
      <c r="K20" s="3">
        <v>4</v>
      </c>
      <c r="L20" s="3">
        <v>4</v>
      </c>
      <c r="M20" s="3">
        <v>4</v>
      </c>
      <c r="N20" s="3">
        <v>4</v>
      </c>
      <c r="O20" s="3">
        <v>4</v>
      </c>
      <c r="P20" s="3">
        <v>3</v>
      </c>
      <c r="Q20" s="3">
        <v>3</v>
      </c>
      <c r="R20" s="3">
        <v>4</v>
      </c>
      <c r="S20" s="3">
        <v>2</v>
      </c>
      <c r="T20" s="3">
        <v>1</v>
      </c>
      <c r="U20" s="3">
        <v>0</v>
      </c>
      <c r="V20" s="3">
        <v>0</v>
      </c>
      <c r="W20" s="3">
        <v>2</v>
      </c>
      <c r="X20" s="3">
        <v>3</v>
      </c>
      <c r="Y20" s="3">
        <v>4</v>
      </c>
      <c r="Z20" s="3">
        <v>4</v>
      </c>
      <c r="AA20" s="3">
        <v>3</v>
      </c>
      <c r="AB20" s="3">
        <v>2</v>
      </c>
      <c r="AC20" s="3">
        <v>2</v>
      </c>
      <c r="AD20" s="3">
        <v>2</v>
      </c>
      <c r="AE20" s="3">
        <v>3</v>
      </c>
      <c r="AF20" s="3">
        <v>3</v>
      </c>
      <c r="AG20" s="3">
        <v>1</v>
      </c>
      <c r="AH20" s="3">
        <v>0</v>
      </c>
      <c r="AI20" s="3">
        <v>4</v>
      </c>
      <c r="AJ20" s="3">
        <v>0</v>
      </c>
      <c r="AK20" s="3">
        <v>4</v>
      </c>
      <c r="AL20" s="3">
        <v>4</v>
      </c>
      <c r="AM20" s="3">
        <v>2</v>
      </c>
      <c r="AN20" s="3">
        <v>1</v>
      </c>
      <c r="AO20" s="3">
        <v>4</v>
      </c>
      <c r="AP20" s="3">
        <v>1</v>
      </c>
      <c r="AQ20" s="3">
        <v>0</v>
      </c>
      <c r="AR20" s="3">
        <v>1</v>
      </c>
      <c r="AS20" s="3">
        <v>1</v>
      </c>
      <c r="AT20" s="3">
        <v>0</v>
      </c>
      <c r="AU20" s="3">
        <v>4</v>
      </c>
      <c r="AV20" s="3">
        <v>4</v>
      </c>
      <c r="AW20" s="3">
        <v>4</v>
      </c>
      <c r="AX20" s="3">
        <v>2</v>
      </c>
      <c r="AY20" s="3">
        <v>4</v>
      </c>
      <c r="AZ20" s="3">
        <v>4</v>
      </c>
      <c r="BA20" s="3">
        <v>2</v>
      </c>
      <c r="BB20" s="3">
        <v>3</v>
      </c>
      <c r="BC20" s="3">
        <v>3</v>
      </c>
      <c r="BD20" s="3">
        <v>4</v>
      </c>
      <c r="BE20" s="3">
        <v>4</v>
      </c>
      <c r="BF20" s="3">
        <v>4</v>
      </c>
      <c r="BG20" s="3">
        <v>4</v>
      </c>
      <c r="BH20" s="3">
        <v>4</v>
      </c>
      <c r="BI20" s="3">
        <v>1</v>
      </c>
      <c r="BJ20" s="3">
        <v>0</v>
      </c>
      <c r="BK20" s="3">
        <v>0</v>
      </c>
      <c r="BL20" s="3">
        <v>0</v>
      </c>
      <c r="BM20" s="3" t="s">
        <v>274</v>
      </c>
      <c r="BN20" s="3">
        <v>4</v>
      </c>
      <c r="BO20" s="3">
        <v>4</v>
      </c>
      <c r="BP20" s="3">
        <v>4</v>
      </c>
      <c r="BQ20" s="3">
        <v>4</v>
      </c>
      <c r="BR20" s="3">
        <v>2</v>
      </c>
      <c r="BS20" s="3">
        <v>4</v>
      </c>
      <c r="BT20" s="3">
        <v>4</v>
      </c>
      <c r="BU20" s="2">
        <v>0</v>
      </c>
      <c r="BV20" s="2">
        <v>4</v>
      </c>
      <c r="BW20" s="2">
        <v>4</v>
      </c>
      <c r="BX20" s="2">
        <v>0</v>
      </c>
      <c r="BY20" s="2">
        <v>0</v>
      </c>
      <c r="BZ20" s="2">
        <v>0</v>
      </c>
      <c r="CA20" s="2">
        <v>0</v>
      </c>
      <c r="CB20" s="2">
        <v>2</v>
      </c>
      <c r="CC20" s="2">
        <v>2</v>
      </c>
      <c r="CD20" s="2">
        <v>2</v>
      </c>
      <c r="CE20" s="2">
        <v>4</v>
      </c>
      <c r="CF20" s="2">
        <v>4</v>
      </c>
      <c r="CG20" s="2">
        <v>0</v>
      </c>
      <c r="CH20" s="2">
        <v>0</v>
      </c>
      <c r="CI20" s="2">
        <v>0</v>
      </c>
      <c r="CJ20" s="2">
        <v>0</v>
      </c>
      <c r="CK20" s="2">
        <v>0</v>
      </c>
      <c r="CL20" s="2">
        <v>4</v>
      </c>
      <c r="CM20" s="2">
        <v>0</v>
      </c>
      <c r="CN20" s="2">
        <v>0</v>
      </c>
      <c r="CO20" s="2">
        <v>0</v>
      </c>
      <c r="CP20" s="2">
        <v>0</v>
      </c>
      <c r="CQ20" s="2">
        <v>4</v>
      </c>
      <c r="CR20" s="2">
        <v>1</v>
      </c>
      <c r="CS20" s="2">
        <v>4</v>
      </c>
      <c r="CT20" s="2">
        <v>0</v>
      </c>
      <c r="CU20" s="2">
        <v>0</v>
      </c>
      <c r="CV20" s="2">
        <v>0</v>
      </c>
      <c r="CW20" s="2">
        <v>3</v>
      </c>
      <c r="CX20" s="2">
        <v>0</v>
      </c>
      <c r="CY20" s="2">
        <v>0</v>
      </c>
      <c r="CZ20" s="2">
        <v>1</v>
      </c>
      <c r="DA20" s="2">
        <v>2</v>
      </c>
      <c r="DB20" s="2">
        <v>0</v>
      </c>
      <c r="DC20" s="2">
        <v>0</v>
      </c>
      <c r="DD20" s="2">
        <v>0</v>
      </c>
      <c r="DE20" s="2">
        <v>2</v>
      </c>
      <c r="DF20" s="2">
        <v>2</v>
      </c>
      <c r="DG20" s="2">
        <v>4</v>
      </c>
      <c r="DH20" s="2">
        <v>3</v>
      </c>
      <c r="DI20" s="2">
        <v>2</v>
      </c>
      <c r="DJ20" s="2">
        <v>0</v>
      </c>
      <c r="DK20" s="2">
        <v>0</v>
      </c>
      <c r="DL20" s="2">
        <v>0</v>
      </c>
      <c r="DM20" s="2">
        <v>0</v>
      </c>
      <c r="DN20" s="2">
        <v>0</v>
      </c>
      <c r="DO20" s="2">
        <v>0</v>
      </c>
      <c r="DP20" s="2">
        <v>2</v>
      </c>
      <c r="DQ20" s="2">
        <v>0</v>
      </c>
      <c r="DR20" s="2">
        <v>3</v>
      </c>
      <c r="DS20" s="2">
        <v>3</v>
      </c>
      <c r="DT20" s="2">
        <v>2</v>
      </c>
      <c r="DU20" s="2">
        <v>2</v>
      </c>
      <c r="DV20" s="2">
        <v>0</v>
      </c>
      <c r="DW20" s="2">
        <v>0</v>
      </c>
      <c r="DX20" s="2">
        <v>4</v>
      </c>
      <c r="DY20" s="2">
        <v>2</v>
      </c>
      <c r="DZ20" s="2">
        <v>2</v>
      </c>
      <c r="EA20" s="2">
        <v>4</v>
      </c>
      <c r="EB20" s="2">
        <v>0</v>
      </c>
      <c r="EC20" s="2">
        <v>0</v>
      </c>
      <c r="ED20" s="2">
        <v>2</v>
      </c>
      <c r="EE20" s="2">
        <v>1</v>
      </c>
      <c r="EF20" s="2">
        <v>2</v>
      </c>
      <c r="EG20" s="2">
        <v>0</v>
      </c>
      <c r="EH20" s="2">
        <v>0</v>
      </c>
      <c r="EI20" s="2">
        <v>1</v>
      </c>
      <c r="EJ20" s="2">
        <v>0</v>
      </c>
      <c r="EK20" s="2">
        <v>4</v>
      </c>
      <c r="EL20" s="2">
        <v>0</v>
      </c>
      <c r="EM20" s="2">
        <v>0</v>
      </c>
      <c r="EN20" s="2">
        <v>0</v>
      </c>
      <c r="EO20" s="2">
        <v>0</v>
      </c>
      <c r="EP20" s="2">
        <v>0</v>
      </c>
      <c r="EQ20" s="2">
        <v>1</v>
      </c>
      <c r="ER20" s="2">
        <v>0</v>
      </c>
      <c r="ES20" s="2">
        <v>0</v>
      </c>
      <c r="ET20" s="2">
        <v>1</v>
      </c>
      <c r="EU20" s="2">
        <v>0</v>
      </c>
      <c r="EV20" s="2">
        <v>1</v>
      </c>
      <c r="EW20" s="2">
        <v>4</v>
      </c>
      <c r="EX20" s="2">
        <v>4</v>
      </c>
      <c r="EY20" s="2">
        <v>0</v>
      </c>
      <c r="EZ20" s="2">
        <v>0</v>
      </c>
      <c r="FA20" s="2">
        <v>0</v>
      </c>
      <c r="FB20" s="2">
        <v>0</v>
      </c>
      <c r="FC20" s="2">
        <v>0</v>
      </c>
      <c r="FD20" s="2">
        <v>1</v>
      </c>
      <c r="FE20" s="2">
        <v>0</v>
      </c>
      <c r="FF20" s="2">
        <v>3</v>
      </c>
      <c r="FG20" s="2">
        <v>0</v>
      </c>
      <c r="FH20" s="2">
        <v>3</v>
      </c>
      <c r="FI20" s="2">
        <v>0</v>
      </c>
      <c r="FJ20" s="2">
        <v>0</v>
      </c>
      <c r="FK20" s="2">
        <v>0</v>
      </c>
      <c r="FL20" s="2">
        <v>0</v>
      </c>
      <c r="FM20" s="2">
        <v>0</v>
      </c>
      <c r="FN20" s="2">
        <v>0</v>
      </c>
      <c r="FO20" s="2">
        <v>0</v>
      </c>
      <c r="FP20" s="2">
        <v>0</v>
      </c>
      <c r="FQ20" s="2">
        <v>0</v>
      </c>
      <c r="FR20" s="2">
        <v>0</v>
      </c>
      <c r="FS20" s="2">
        <v>0</v>
      </c>
      <c r="FT20" s="2">
        <v>0</v>
      </c>
      <c r="FU20" s="2">
        <v>0</v>
      </c>
      <c r="FV20" s="2">
        <v>0</v>
      </c>
      <c r="FW20" s="2">
        <v>4</v>
      </c>
      <c r="FX20" s="2">
        <v>0</v>
      </c>
      <c r="FY20" s="2">
        <v>0</v>
      </c>
      <c r="FZ20" s="2">
        <v>0</v>
      </c>
      <c r="GA20" s="2">
        <v>0</v>
      </c>
      <c r="GB20" s="2">
        <v>2</v>
      </c>
      <c r="GC20" s="2" t="s">
        <v>274</v>
      </c>
      <c r="GD20" s="2">
        <v>0</v>
      </c>
      <c r="GE20" s="2">
        <v>0</v>
      </c>
      <c r="GF20" s="2">
        <v>0</v>
      </c>
      <c r="GG20" s="2">
        <v>4</v>
      </c>
      <c r="GH20" s="2">
        <v>2</v>
      </c>
      <c r="GI20" s="2">
        <v>0</v>
      </c>
      <c r="GJ20" s="2">
        <v>0</v>
      </c>
      <c r="GK20" s="2">
        <v>0</v>
      </c>
      <c r="GL20" s="2">
        <v>0</v>
      </c>
      <c r="GM20" s="2">
        <v>0</v>
      </c>
      <c r="GN20" s="3">
        <v>2</v>
      </c>
      <c r="GO20" s="3">
        <v>2</v>
      </c>
      <c r="GP20" s="3">
        <v>1</v>
      </c>
      <c r="GQ20" s="3">
        <v>1</v>
      </c>
      <c r="GR20" s="3">
        <v>1</v>
      </c>
      <c r="GS20" s="3">
        <v>1</v>
      </c>
      <c r="GT20" s="3">
        <v>0</v>
      </c>
      <c r="GU20" s="3">
        <v>3</v>
      </c>
      <c r="GV20" s="3">
        <v>0</v>
      </c>
      <c r="GW20" s="3">
        <v>0</v>
      </c>
      <c r="GX20" s="3">
        <v>2</v>
      </c>
      <c r="GY20" s="3">
        <v>2</v>
      </c>
      <c r="GZ20" s="3">
        <v>0</v>
      </c>
      <c r="HA20" s="3">
        <v>0</v>
      </c>
      <c r="HB20" s="3">
        <v>0</v>
      </c>
      <c r="HC20" s="3">
        <v>2</v>
      </c>
      <c r="HD20" s="3">
        <v>2</v>
      </c>
      <c r="HE20" s="3">
        <v>1</v>
      </c>
      <c r="HF20" s="3">
        <v>1</v>
      </c>
      <c r="HG20" s="3">
        <v>0</v>
      </c>
      <c r="HH20" s="3">
        <v>1</v>
      </c>
      <c r="HI20" s="3">
        <v>0</v>
      </c>
      <c r="HJ20" s="3">
        <v>1</v>
      </c>
      <c r="HK20" s="3">
        <v>2</v>
      </c>
      <c r="HL20" s="3">
        <v>0</v>
      </c>
      <c r="HM20" s="3">
        <v>2</v>
      </c>
      <c r="HN20" s="3">
        <v>0</v>
      </c>
      <c r="HO20" s="3">
        <v>0</v>
      </c>
      <c r="HP20" s="3">
        <v>0</v>
      </c>
      <c r="HQ20" s="3">
        <v>0</v>
      </c>
      <c r="HR20" s="3">
        <v>0</v>
      </c>
      <c r="HS20" s="3">
        <v>0</v>
      </c>
      <c r="HT20" s="3">
        <v>0</v>
      </c>
      <c r="HU20" s="3">
        <v>0</v>
      </c>
      <c r="HV20" s="3">
        <v>3</v>
      </c>
      <c r="HW20" s="3">
        <v>1</v>
      </c>
      <c r="HX20" s="3">
        <v>0</v>
      </c>
      <c r="HY20" s="3">
        <v>0</v>
      </c>
      <c r="HZ20" s="3">
        <v>0</v>
      </c>
      <c r="IA20" s="3">
        <v>1</v>
      </c>
      <c r="IB20" s="3">
        <v>0</v>
      </c>
      <c r="IC20" s="3">
        <v>0</v>
      </c>
      <c r="ID20" s="3">
        <v>0</v>
      </c>
      <c r="IE20" s="3">
        <v>0</v>
      </c>
      <c r="IF20" s="3">
        <v>0</v>
      </c>
      <c r="IG20" s="3">
        <v>0</v>
      </c>
      <c r="IH20" s="3">
        <v>0</v>
      </c>
      <c r="II20" s="3">
        <v>0</v>
      </c>
      <c r="IJ20" s="3">
        <v>2</v>
      </c>
      <c r="IK20" s="3">
        <v>3</v>
      </c>
      <c r="IL20" s="3">
        <v>3</v>
      </c>
      <c r="IM20" s="3">
        <v>1</v>
      </c>
      <c r="IN20" s="3">
        <v>0</v>
      </c>
      <c r="IO20" s="3">
        <v>0</v>
      </c>
      <c r="IP20" s="3">
        <v>0</v>
      </c>
      <c r="IQ20" s="3">
        <v>0</v>
      </c>
      <c r="IR20" s="3" t="s">
        <v>274</v>
      </c>
      <c r="IS20" s="3">
        <v>2</v>
      </c>
      <c r="IT20" s="3">
        <v>3</v>
      </c>
      <c r="IU20" s="3">
        <v>2</v>
      </c>
      <c r="IV20" s="3">
        <v>2</v>
      </c>
      <c r="IW20" s="3">
        <v>2</v>
      </c>
      <c r="IX20" s="3">
        <v>2</v>
      </c>
      <c r="IY20" s="3">
        <v>1</v>
      </c>
      <c r="IZ20" s="2" t="s">
        <v>268</v>
      </c>
      <c r="JA20" s="2"/>
    </row>
    <row r="21" spans="1:261" ht="13.2" x14ac:dyDescent="0.25">
      <c r="A21" s="10">
        <v>21</v>
      </c>
      <c r="B21" s="2" t="s">
        <v>368</v>
      </c>
      <c r="C21" s="2" t="s">
        <v>261</v>
      </c>
      <c r="D21" s="2" t="s">
        <v>325</v>
      </c>
      <c r="E21" s="2">
        <v>52</v>
      </c>
      <c r="F21" s="11" t="s">
        <v>369</v>
      </c>
      <c r="G21" s="11" t="s">
        <v>370</v>
      </c>
      <c r="H21" s="2" t="s">
        <v>371</v>
      </c>
      <c r="I21" s="3">
        <v>3</v>
      </c>
      <c r="J21" s="3">
        <v>1</v>
      </c>
      <c r="K21" s="3">
        <v>4</v>
      </c>
      <c r="L21" s="3">
        <v>0</v>
      </c>
      <c r="M21" s="3">
        <v>1</v>
      </c>
      <c r="N21" s="3">
        <v>1</v>
      </c>
      <c r="O21" s="3">
        <v>1</v>
      </c>
      <c r="P21" s="3">
        <v>1</v>
      </c>
      <c r="Q21" s="3">
        <v>0</v>
      </c>
      <c r="R21" s="3">
        <v>0</v>
      </c>
      <c r="S21" s="3">
        <v>0</v>
      </c>
      <c r="T21" s="3">
        <v>0</v>
      </c>
      <c r="U21" s="3">
        <v>0</v>
      </c>
      <c r="V21" s="3">
        <v>0</v>
      </c>
      <c r="W21" s="3">
        <v>0</v>
      </c>
      <c r="X21" s="3">
        <v>0</v>
      </c>
      <c r="Y21" s="3">
        <v>0</v>
      </c>
      <c r="Z21" s="3">
        <v>0</v>
      </c>
      <c r="AA21" s="3">
        <v>1</v>
      </c>
      <c r="AB21" s="3">
        <v>0</v>
      </c>
      <c r="AC21" s="3">
        <v>0</v>
      </c>
      <c r="AD21" s="3">
        <v>0</v>
      </c>
      <c r="AE21" s="3">
        <v>0</v>
      </c>
      <c r="AF21" s="3">
        <v>0</v>
      </c>
      <c r="AG21" s="3">
        <v>0</v>
      </c>
      <c r="AH21" s="3">
        <v>0</v>
      </c>
      <c r="AI21" s="3">
        <v>0</v>
      </c>
      <c r="AJ21" s="3">
        <v>0</v>
      </c>
      <c r="AK21" s="3">
        <v>0</v>
      </c>
      <c r="AL21" s="3">
        <v>0</v>
      </c>
      <c r="AM21" s="3">
        <v>2</v>
      </c>
      <c r="AN21" s="3">
        <v>0</v>
      </c>
      <c r="AO21" s="3">
        <v>0</v>
      </c>
      <c r="AP21" s="3">
        <v>0</v>
      </c>
      <c r="AQ21" s="3">
        <v>0</v>
      </c>
      <c r="AR21" s="3">
        <v>0</v>
      </c>
      <c r="AS21" s="3">
        <v>0</v>
      </c>
      <c r="AT21" s="3">
        <v>0</v>
      </c>
      <c r="AU21" s="3">
        <v>2</v>
      </c>
      <c r="AV21" s="3">
        <v>1</v>
      </c>
      <c r="AW21" s="3">
        <v>3</v>
      </c>
      <c r="AX21" s="3">
        <v>0</v>
      </c>
      <c r="AY21" s="3">
        <v>0</v>
      </c>
      <c r="AZ21" s="3">
        <v>4</v>
      </c>
      <c r="BA21" s="3">
        <v>0</v>
      </c>
      <c r="BB21" s="3">
        <v>4</v>
      </c>
      <c r="BC21" s="3">
        <v>0</v>
      </c>
      <c r="BD21" s="3">
        <v>1</v>
      </c>
      <c r="BE21" s="3">
        <v>0</v>
      </c>
      <c r="BF21" s="3">
        <v>0</v>
      </c>
      <c r="BG21" s="3">
        <v>0</v>
      </c>
      <c r="BH21" s="3">
        <v>0</v>
      </c>
      <c r="BI21" s="3">
        <v>0</v>
      </c>
      <c r="BJ21" s="3">
        <v>0</v>
      </c>
      <c r="BK21" s="3">
        <v>0</v>
      </c>
      <c r="BL21" s="3">
        <v>0</v>
      </c>
      <c r="BM21" s="3" t="s">
        <v>274</v>
      </c>
      <c r="BN21" s="3">
        <v>2</v>
      </c>
      <c r="BO21" s="3">
        <v>0</v>
      </c>
      <c r="BP21" s="3">
        <v>1</v>
      </c>
      <c r="BQ21" s="3">
        <v>1</v>
      </c>
      <c r="BR21" s="3">
        <v>1</v>
      </c>
      <c r="BS21" s="3">
        <v>0</v>
      </c>
      <c r="BT21" s="3">
        <v>0</v>
      </c>
      <c r="BU21" s="2">
        <v>1</v>
      </c>
      <c r="BV21" s="2">
        <v>0</v>
      </c>
      <c r="BW21" s="2">
        <v>1</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2</v>
      </c>
      <c r="DB21" s="2">
        <v>0</v>
      </c>
      <c r="DC21" s="2">
        <v>0</v>
      </c>
      <c r="DD21" s="2">
        <v>0</v>
      </c>
      <c r="DE21" s="2">
        <v>0</v>
      </c>
      <c r="DF21" s="2">
        <v>0</v>
      </c>
      <c r="DG21" s="2">
        <v>0</v>
      </c>
      <c r="DH21" s="2">
        <v>1</v>
      </c>
      <c r="DI21" s="2">
        <v>0</v>
      </c>
      <c r="DJ21" s="2">
        <v>0</v>
      </c>
      <c r="DK21" s="2">
        <v>0</v>
      </c>
      <c r="DL21" s="2">
        <v>1</v>
      </c>
      <c r="DM21" s="2">
        <v>1</v>
      </c>
      <c r="DN21" s="2">
        <v>0</v>
      </c>
      <c r="DO21" s="2">
        <v>0</v>
      </c>
      <c r="DP21" s="2">
        <v>0</v>
      </c>
      <c r="DQ21" s="2">
        <v>2</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2</v>
      </c>
      <c r="EO21" s="2">
        <v>2</v>
      </c>
      <c r="EP21" s="2">
        <v>0</v>
      </c>
      <c r="EQ21" s="2">
        <v>0</v>
      </c>
      <c r="ER21" s="2">
        <v>0</v>
      </c>
      <c r="ES21" s="2">
        <v>0</v>
      </c>
      <c r="ET21" s="2">
        <v>0</v>
      </c>
      <c r="EU21" s="2">
        <v>0</v>
      </c>
      <c r="EV21" s="2">
        <v>0</v>
      </c>
      <c r="EW21" s="2">
        <v>0</v>
      </c>
      <c r="EX21" s="2">
        <v>0</v>
      </c>
      <c r="EY21" s="2">
        <v>0</v>
      </c>
      <c r="EZ21" s="2">
        <v>0</v>
      </c>
      <c r="FA21" s="2">
        <v>0</v>
      </c>
      <c r="FB21" s="2">
        <v>0</v>
      </c>
      <c r="FC21" s="2">
        <v>0</v>
      </c>
      <c r="FD21" s="2">
        <v>0</v>
      </c>
      <c r="FE21" s="2">
        <v>0</v>
      </c>
      <c r="FF21" s="2">
        <v>0</v>
      </c>
      <c r="FG21" s="2">
        <v>0</v>
      </c>
      <c r="FH21" s="2">
        <v>0</v>
      </c>
      <c r="FI21" s="2">
        <v>0</v>
      </c>
      <c r="FJ21" s="2">
        <v>0</v>
      </c>
      <c r="FK21" s="2">
        <v>2</v>
      </c>
      <c r="FL21" s="2">
        <v>2</v>
      </c>
      <c r="FM21" s="2">
        <v>2</v>
      </c>
      <c r="FN21" s="2">
        <v>0</v>
      </c>
      <c r="FO21" s="2">
        <v>0</v>
      </c>
      <c r="FP21" s="2">
        <v>0</v>
      </c>
      <c r="FQ21" s="2">
        <v>0</v>
      </c>
      <c r="FR21" s="2">
        <v>2</v>
      </c>
      <c r="FS21" s="2">
        <v>0</v>
      </c>
      <c r="FT21" s="2">
        <v>0</v>
      </c>
      <c r="FU21" s="2">
        <v>0</v>
      </c>
      <c r="FV21" s="2">
        <v>0</v>
      </c>
      <c r="FW21" s="2">
        <v>0</v>
      </c>
      <c r="FX21" s="2">
        <v>0</v>
      </c>
      <c r="FY21" s="2">
        <v>0</v>
      </c>
      <c r="FZ21" s="2">
        <v>0</v>
      </c>
      <c r="GA21" s="2">
        <v>0</v>
      </c>
      <c r="GB21" s="2">
        <v>0</v>
      </c>
      <c r="GC21" s="2" t="s">
        <v>274</v>
      </c>
      <c r="GD21" s="2">
        <v>0</v>
      </c>
      <c r="GE21" s="2">
        <v>0</v>
      </c>
      <c r="GF21" s="2">
        <v>0</v>
      </c>
      <c r="GG21" s="2">
        <v>1</v>
      </c>
      <c r="GH21" s="2">
        <v>1</v>
      </c>
      <c r="GI21" s="2">
        <v>1</v>
      </c>
      <c r="GJ21" s="2">
        <v>0</v>
      </c>
      <c r="GK21" s="2">
        <v>0</v>
      </c>
      <c r="GL21" s="2">
        <v>0</v>
      </c>
      <c r="GM21" s="2">
        <v>0</v>
      </c>
      <c r="GN21" s="3">
        <v>0</v>
      </c>
      <c r="GO21" s="3">
        <v>0</v>
      </c>
      <c r="GP21" s="3">
        <v>0</v>
      </c>
      <c r="GQ21" s="3">
        <v>0</v>
      </c>
      <c r="GR21" s="3">
        <v>0</v>
      </c>
      <c r="GS21" s="3">
        <v>0</v>
      </c>
      <c r="GT21" s="3">
        <v>0</v>
      </c>
      <c r="GU21" s="3">
        <v>1</v>
      </c>
      <c r="GV21" s="3">
        <v>0</v>
      </c>
      <c r="GW21" s="3">
        <v>0</v>
      </c>
      <c r="GX21" s="3">
        <v>0</v>
      </c>
      <c r="GY21" s="3">
        <v>1</v>
      </c>
      <c r="GZ21" s="3">
        <v>0</v>
      </c>
      <c r="HA21" s="3">
        <v>0</v>
      </c>
      <c r="HB21" s="3">
        <v>0</v>
      </c>
      <c r="HC21" s="3">
        <v>0</v>
      </c>
      <c r="HD21" s="3">
        <v>0</v>
      </c>
      <c r="HE21" s="3">
        <v>0</v>
      </c>
      <c r="HF21" s="3">
        <v>0</v>
      </c>
      <c r="HG21" s="3">
        <v>0</v>
      </c>
      <c r="HH21" s="3">
        <v>0</v>
      </c>
      <c r="HI21" s="3">
        <v>3</v>
      </c>
      <c r="HJ21" s="3">
        <v>0</v>
      </c>
      <c r="HK21" s="3">
        <v>0</v>
      </c>
      <c r="HL21" s="3">
        <v>0</v>
      </c>
      <c r="HM21" s="3">
        <v>0</v>
      </c>
      <c r="HN21" s="3">
        <v>0</v>
      </c>
      <c r="HO21" s="3">
        <v>0</v>
      </c>
      <c r="HP21" s="3">
        <v>0</v>
      </c>
      <c r="HQ21" s="3">
        <v>0</v>
      </c>
      <c r="HR21" s="3">
        <v>0</v>
      </c>
      <c r="HS21" s="3">
        <v>0</v>
      </c>
      <c r="HT21" s="3">
        <v>0</v>
      </c>
      <c r="HU21" s="3">
        <v>0</v>
      </c>
      <c r="HV21" s="3">
        <v>0</v>
      </c>
      <c r="HW21" s="3">
        <v>0</v>
      </c>
      <c r="HX21" s="3">
        <v>0</v>
      </c>
      <c r="HY21" s="3">
        <v>0</v>
      </c>
      <c r="HZ21" s="3">
        <v>0</v>
      </c>
      <c r="IA21" s="3">
        <v>0</v>
      </c>
      <c r="IB21" s="3">
        <v>0</v>
      </c>
      <c r="IC21" s="3">
        <v>0</v>
      </c>
      <c r="ID21" s="3">
        <v>0</v>
      </c>
      <c r="IE21" s="3">
        <v>0</v>
      </c>
      <c r="IF21" s="3">
        <v>0</v>
      </c>
      <c r="IG21" s="3">
        <v>0</v>
      </c>
      <c r="IH21" s="3">
        <v>0</v>
      </c>
      <c r="II21" s="3">
        <v>3</v>
      </c>
      <c r="IJ21" s="3">
        <v>3</v>
      </c>
      <c r="IK21" s="3">
        <v>0</v>
      </c>
      <c r="IL21" s="3">
        <v>0</v>
      </c>
      <c r="IM21" s="3">
        <v>0</v>
      </c>
      <c r="IN21" s="3">
        <v>2</v>
      </c>
      <c r="IO21" s="3">
        <v>0</v>
      </c>
      <c r="IP21" s="3">
        <v>0</v>
      </c>
      <c r="IQ21" s="3">
        <v>0</v>
      </c>
      <c r="IR21" s="3" t="s">
        <v>274</v>
      </c>
      <c r="IS21" s="3">
        <v>0</v>
      </c>
      <c r="IT21" s="3">
        <v>0</v>
      </c>
      <c r="IU21" s="3">
        <v>3</v>
      </c>
      <c r="IV21" s="3">
        <v>2</v>
      </c>
      <c r="IW21" s="3">
        <v>0</v>
      </c>
      <c r="IX21" s="3">
        <v>0</v>
      </c>
      <c r="IY21" s="3">
        <v>0</v>
      </c>
      <c r="IZ21" s="2" t="s">
        <v>268</v>
      </c>
      <c r="JA21" s="2"/>
    </row>
    <row r="22" spans="1:261" ht="13.2" x14ac:dyDescent="0.25">
      <c r="A22" s="10">
        <v>22</v>
      </c>
      <c r="B22" s="2" t="s">
        <v>372</v>
      </c>
      <c r="C22" s="2" t="s">
        <v>261</v>
      </c>
      <c r="D22" s="2" t="s">
        <v>373</v>
      </c>
      <c r="E22" s="2">
        <v>41</v>
      </c>
      <c r="F22" s="11" t="s">
        <v>374</v>
      </c>
      <c r="G22" s="11" t="s">
        <v>375</v>
      </c>
      <c r="H22" s="2" t="s">
        <v>376</v>
      </c>
      <c r="I22" s="3">
        <v>1</v>
      </c>
      <c r="J22" s="3">
        <v>1</v>
      </c>
      <c r="K22" s="3">
        <v>2</v>
      </c>
      <c r="L22" s="3">
        <v>1</v>
      </c>
      <c r="M22" s="3">
        <v>1</v>
      </c>
      <c r="N22" s="3">
        <v>1</v>
      </c>
      <c r="O22" s="3">
        <v>2</v>
      </c>
      <c r="P22" s="3">
        <v>0</v>
      </c>
      <c r="Q22" s="3">
        <v>1</v>
      </c>
      <c r="R22" s="3">
        <v>0</v>
      </c>
      <c r="S22" s="3">
        <v>0</v>
      </c>
      <c r="T22" s="3">
        <v>0</v>
      </c>
      <c r="U22" s="3">
        <v>0</v>
      </c>
      <c r="V22" s="3">
        <v>1</v>
      </c>
      <c r="W22" s="3">
        <v>0</v>
      </c>
      <c r="X22" s="3">
        <v>0</v>
      </c>
      <c r="Y22" s="3">
        <v>1</v>
      </c>
      <c r="Z22" s="3">
        <v>1</v>
      </c>
      <c r="AA22" s="3">
        <v>2</v>
      </c>
      <c r="AB22" s="3">
        <v>1</v>
      </c>
      <c r="AC22" s="3">
        <v>1</v>
      </c>
      <c r="AD22" s="3">
        <v>1</v>
      </c>
      <c r="AE22" s="3">
        <v>1</v>
      </c>
      <c r="AF22" s="3">
        <v>1</v>
      </c>
      <c r="AG22" s="3">
        <v>0</v>
      </c>
      <c r="AH22" s="3">
        <v>0</v>
      </c>
      <c r="AI22" s="3">
        <v>1</v>
      </c>
      <c r="AJ22" s="3">
        <v>1</v>
      </c>
      <c r="AK22" s="3">
        <v>1</v>
      </c>
      <c r="AL22" s="3">
        <v>1</v>
      </c>
      <c r="AM22" s="3">
        <v>1</v>
      </c>
      <c r="AN22" s="3">
        <v>1</v>
      </c>
      <c r="AO22" s="3">
        <v>1</v>
      </c>
      <c r="AP22" s="3">
        <v>0</v>
      </c>
      <c r="AQ22" s="3">
        <v>0</v>
      </c>
      <c r="AR22" s="3">
        <v>0</v>
      </c>
      <c r="AS22" s="3">
        <v>0</v>
      </c>
      <c r="AT22" s="3">
        <v>0</v>
      </c>
      <c r="AU22" s="3">
        <v>2</v>
      </c>
      <c r="AV22" s="3">
        <v>1</v>
      </c>
      <c r="AW22" s="3">
        <v>1</v>
      </c>
      <c r="AX22" s="3">
        <v>0</v>
      </c>
      <c r="AY22" s="3">
        <v>0</v>
      </c>
      <c r="AZ22" s="3">
        <v>0</v>
      </c>
      <c r="BA22" s="3">
        <v>0</v>
      </c>
      <c r="BB22" s="3">
        <v>1</v>
      </c>
      <c r="BC22" s="3">
        <v>1</v>
      </c>
      <c r="BD22" s="3">
        <v>1</v>
      </c>
      <c r="BE22" s="3">
        <v>0</v>
      </c>
      <c r="BF22" s="3">
        <v>0</v>
      </c>
      <c r="BG22" s="3">
        <v>0</v>
      </c>
      <c r="BH22" s="3">
        <v>0</v>
      </c>
      <c r="BI22" s="3">
        <v>0</v>
      </c>
      <c r="BJ22" s="3">
        <v>1</v>
      </c>
      <c r="BK22" s="3">
        <v>1</v>
      </c>
      <c r="BL22" s="3">
        <v>1</v>
      </c>
      <c r="BM22" s="3" t="s">
        <v>274</v>
      </c>
      <c r="BN22" s="3">
        <v>1</v>
      </c>
      <c r="BO22" s="3">
        <v>0</v>
      </c>
      <c r="BP22" s="3">
        <v>2</v>
      </c>
      <c r="BQ22" s="3">
        <v>1</v>
      </c>
      <c r="BR22" s="3">
        <v>1</v>
      </c>
      <c r="BS22" s="3">
        <v>1</v>
      </c>
      <c r="BT22" s="3">
        <v>1</v>
      </c>
      <c r="BU22" s="2">
        <v>0</v>
      </c>
      <c r="BV22" s="2">
        <v>1</v>
      </c>
      <c r="BW22" s="2">
        <v>1</v>
      </c>
      <c r="BX22" s="2">
        <v>0</v>
      </c>
      <c r="BY22" s="2">
        <v>0</v>
      </c>
      <c r="BZ22" s="2">
        <v>0</v>
      </c>
      <c r="CA22" s="2">
        <v>0</v>
      </c>
      <c r="CB22" s="2">
        <v>0</v>
      </c>
      <c r="CC22" s="2">
        <v>0</v>
      </c>
      <c r="CD22" s="2">
        <v>0</v>
      </c>
      <c r="CE22" s="2">
        <v>0</v>
      </c>
      <c r="CF22" s="2">
        <v>1</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1</v>
      </c>
      <c r="DF22" s="2">
        <v>0</v>
      </c>
      <c r="DG22" s="2">
        <v>1</v>
      </c>
      <c r="DH22" s="2">
        <v>0</v>
      </c>
      <c r="DI22" s="2">
        <v>0</v>
      </c>
      <c r="DJ22" s="2">
        <v>0</v>
      </c>
      <c r="DK22" s="2">
        <v>0</v>
      </c>
      <c r="DL22" s="2">
        <v>0</v>
      </c>
      <c r="DM22" s="2">
        <v>0</v>
      </c>
      <c r="DN22" s="2">
        <v>0</v>
      </c>
      <c r="DO22" s="2">
        <v>0</v>
      </c>
      <c r="DP22" s="2">
        <v>0</v>
      </c>
      <c r="DQ22" s="2">
        <v>0</v>
      </c>
      <c r="DR22" s="2">
        <v>0</v>
      </c>
      <c r="DS22" s="2">
        <v>0</v>
      </c>
      <c r="DT22" s="2">
        <v>0</v>
      </c>
      <c r="DU22" s="2">
        <v>0</v>
      </c>
      <c r="DV22" s="2">
        <v>0</v>
      </c>
      <c r="DW22" s="2">
        <v>0</v>
      </c>
      <c r="DX22" s="2">
        <v>0</v>
      </c>
      <c r="DY22" s="2">
        <v>0</v>
      </c>
      <c r="DZ22" s="2">
        <v>1</v>
      </c>
      <c r="EA22" s="2">
        <v>1</v>
      </c>
      <c r="EB22" s="2">
        <v>1</v>
      </c>
      <c r="EC22" s="2">
        <v>1</v>
      </c>
      <c r="ED22" s="2">
        <v>0</v>
      </c>
      <c r="EE22" s="2">
        <v>0</v>
      </c>
      <c r="EF22" s="2">
        <v>0</v>
      </c>
      <c r="EG22" s="2">
        <v>0</v>
      </c>
      <c r="EH22" s="2">
        <v>0</v>
      </c>
      <c r="EI22" s="2">
        <v>0</v>
      </c>
      <c r="EJ22" s="2">
        <v>0</v>
      </c>
      <c r="EK22" s="2">
        <v>0</v>
      </c>
      <c r="EL22" s="2">
        <v>0</v>
      </c>
      <c r="EM22" s="2">
        <v>0</v>
      </c>
      <c r="EN22" s="2">
        <v>0</v>
      </c>
      <c r="EO22" s="2">
        <v>0</v>
      </c>
      <c r="EP22" s="2">
        <v>0</v>
      </c>
      <c r="EQ22" s="2">
        <v>0</v>
      </c>
      <c r="ER22" s="2">
        <v>0</v>
      </c>
      <c r="ES22" s="2">
        <v>0</v>
      </c>
      <c r="ET22" s="2">
        <v>0</v>
      </c>
      <c r="EU22" s="2">
        <v>0</v>
      </c>
      <c r="EV22" s="2">
        <v>0</v>
      </c>
      <c r="EW22" s="2">
        <v>0</v>
      </c>
      <c r="EX22" s="2">
        <v>0</v>
      </c>
      <c r="EY22" s="2">
        <v>0</v>
      </c>
      <c r="EZ22" s="2">
        <v>0</v>
      </c>
      <c r="FA22" s="2">
        <v>0</v>
      </c>
      <c r="FB22" s="2">
        <v>0</v>
      </c>
      <c r="FC22" s="2">
        <v>0</v>
      </c>
      <c r="FD22" s="2">
        <v>0</v>
      </c>
      <c r="FE22" s="2">
        <v>0</v>
      </c>
      <c r="FF22" s="2">
        <v>0</v>
      </c>
      <c r="FG22" s="2">
        <v>0</v>
      </c>
      <c r="FH22" s="2">
        <v>0</v>
      </c>
      <c r="FI22" s="2">
        <v>0</v>
      </c>
      <c r="FJ22" s="2">
        <v>0</v>
      </c>
      <c r="FK22" s="2">
        <v>0</v>
      </c>
      <c r="FL22" s="2">
        <v>0</v>
      </c>
      <c r="FM22" s="2">
        <v>0</v>
      </c>
      <c r="FN22" s="2">
        <v>0</v>
      </c>
      <c r="FO22" s="2">
        <v>0</v>
      </c>
      <c r="FP22" s="2">
        <v>0</v>
      </c>
      <c r="FQ22" s="2">
        <v>0</v>
      </c>
      <c r="FR22" s="2">
        <v>0</v>
      </c>
      <c r="FS22" s="2">
        <v>0</v>
      </c>
      <c r="FT22" s="2">
        <v>0</v>
      </c>
      <c r="FU22" s="2">
        <v>1</v>
      </c>
      <c r="FV22" s="2">
        <v>0</v>
      </c>
      <c r="FW22" s="2">
        <v>1</v>
      </c>
      <c r="FX22" s="2">
        <v>0</v>
      </c>
      <c r="FY22" s="2">
        <v>0</v>
      </c>
      <c r="FZ22" s="2">
        <v>0</v>
      </c>
      <c r="GA22" s="2">
        <v>0</v>
      </c>
      <c r="GB22" s="2">
        <v>2</v>
      </c>
      <c r="GC22" s="2" t="s">
        <v>274</v>
      </c>
      <c r="GD22" s="2">
        <v>2</v>
      </c>
      <c r="GE22" s="2">
        <v>0</v>
      </c>
      <c r="GF22" s="2">
        <v>0</v>
      </c>
      <c r="GG22" s="2">
        <v>2</v>
      </c>
      <c r="GH22" s="2">
        <v>1</v>
      </c>
      <c r="GI22" s="2">
        <v>0</v>
      </c>
      <c r="GJ22" s="2">
        <v>1</v>
      </c>
      <c r="GK22" s="2">
        <v>0</v>
      </c>
      <c r="GL22" s="2">
        <v>0</v>
      </c>
      <c r="GM22" s="2">
        <v>0</v>
      </c>
      <c r="GN22" s="3">
        <v>0</v>
      </c>
      <c r="GO22" s="3">
        <v>0</v>
      </c>
      <c r="GP22" s="3">
        <v>0</v>
      </c>
      <c r="GQ22" s="3">
        <v>0</v>
      </c>
      <c r="GR22" s="3">
        <v>0</v>
      </c>
      <c r="GS22" s="3">
        <v>0</v>
      </c>
      <c r="GT22" s="3">
        <v>0</v>
      </c>
      <c r="GU22" s="3">
        <v>0</v>
      </c>
      <c r="GV22" s="3">
        <v>0</v>
      </c>
      <c r="GW22" s="3">
        <v>0</v>
      </c>
      <c r="GX22" s="3">
        <v>0</v>
      </c>
      <c r="GY22" s="3">
        <v>0</v>
      </c>
      <c r="GZ22" s="3">
        <v>0</v>
      </c>
      <c r="HA22" s="3">
        <v>0</v>
      </c>
      <c r="HB22" s="3">
        <v>0</v>
      </c>
      <c r="HC22" s="3">
        <v>0</v>
      </c>
      <c r="HD22" s="3">
        <v>0</v>
      </c>
      <c r="HE22" s="3">
        <v>0</v>
      </c>
      <c r="HF22" s="3">
        <v>0</v>
      </c>
      <c r="HG22" s="3">
        <v>0</v>
      </c>
      <c r="HH22" s="3">
        <v>0</v>
      </c>
      <c r="HI22" s="3">
        <v>0</v>
      </c>
      <c r="HJ22" s="3">
        <v>0</v>
      </c>
      <c r="HK22" s="3">
        <v>0</v>
      </c>
      <c r="HL22" s="3">
        <v>0</v>
      </c>
      <c r="HM22" s="3">
        <v>0</v>
      </c>
      <c r="HN22" s="3">
        <v>0</v>
      </c>
      <c r="HO22" s="3">
        <v>0</v>
      </c>
      <c r="HP22" s="3">
        <v>0</v>
      </c>
      <c r="HQ22" s="3">
        <v>0</v>
      </c>
      <c r="HR22" s="3">
        <v>0</v>
      </c>
      <c r="HS22" s="3">
        <v>0</v>
      </c>
      <c r="HT22" s="3">
        <v>0</v>
      </c>
      <c r="HU22" s="3">
        <v>0</v>
      </c>
      <c r="HV22" s="3">
        <v>0</v>
      </c>
      <c r="HW22" s="3">
        <v>0</v>
      </c>
      <c r="HX22" s="3">
        <v>0</v>
      </c>
      <c r="HY22" s="3">
        <v>0</v>
      </c>
      <c r="HZ22" s="3">
        <v>0</v>
      </c>
      <c r="IA22" s="3">
        <v>0</v>
      </c>
      <c r="IB22" s="3">
        <v>0</v>
      </c>
      <c r="IC22" s="3">
        <v>0</v>
      </c>
      <c r="ID22" s="3">
        <v>0</v>
      </c>
      <c r="IE22" s="3">
        <v>0</v>
      </c>
      <c r="IF22" s="3">
        <v>0</v>
      </c>
      <c r="IG22" s="3">
        <v>0</v>
      </c>
      <c r="IH22" s="3">
        <v>2</v>
      </c>
      <c r="II22" s="3">
        <v>0</v>
      </c>
      <c r="IJ22" s="3">
        <v>1</v>
      </c>
      <c r="IK22" s="3">
        <v>0</v>
      </c>
      <c r="IL22" s="3">
        <v>0</v>
      </c>
      <c r="IM22" s="3">
        <v>0</v>
      </c>
      <c r="IN22" s="3">
        <v>0</v>
      </c>
      <c r="IO22" s="3">
        <v>0</v>
      </c>
      <c r="IP22" s="3">
        <v>0</v>
      </c>
      <c r="IQ22" s="3">
        <v>1</v>
      </c>
      <c r="IR22" s="3" t="s">
        <v>274</v>
      </c>
      <c r="IS22" s="3">
        <v>2</v>
      </c>
      <c r="IT22" s="3">
        <v>0</v>
      </c>
      <c r="IU22" s="3">
        <v>0</v>
      </c>
      <c r="IV22" s="3">
        <v>0</v>
      </c>
      <c r="IW22" s="3">
        <v>2</v>
      </c>
      <c r="IX22" s="3">
        <v>0</v>
      </c>
      <c r="IY22" s="3">
        <v>0</v>
      </c>
      <c r="IZ22" s="2" t="s">
        <v>268</v>
      </c>
      <c r="JA22" s="2"/>
    </row>
    <row r="23" spans="1:261" ht="13.2" x14ac:dyDescent="0.25">
      <c r="A23" s="10">
        <v>23</v>
      </c>
      <c r="B23" s="2" t="s">
        <v>377</v>
      </c>
      <c r="C23" s="2" t="s">
        <v>261</v>
      </c>
      <c r="D23" s="2" t="s">
        <v>270</v>
      </c>
      <c r="E23" s="2">
        <v>13</v>
      </c>
      <c r="F23" s="11" t="s">
        <v>378</v>
      </c>
      <c r="G23" s="11" t="s">
        <v>379</v>
      </c>
      <c r="H23" s="2" t="s">
        <v>380</v>
      </c>
      <c r="I23" s="3">
        <v>3</v>
      </c>
      <c r="J23" s="3">
        <v>2</v>
      </c>
      <c r="K23" s="3">
        <v>2</v>
      </c>
      <c r="L23" s="3">
        <v>3</v>
      </c>
      <c r="M23" s="3">
        <v>3</v>
      </c>
      <c r="N23" s="3">
        <v>2</v>
      </c>
      <c r="O23" s="3">
        <v>3</v>
      </c>
      <c r="P23" s="3">
        <v>3</v>
      </c>
      <c r="Q23" s="3">
        <v>4</v>
      </c>
      <c r="R23" s="3">
        <v>4</v>
      </c>
      <c r="S23" s="3">
        <v>2</v>
      </c>
      <c r="T23" s="3">
        <v>3</v>
      </c>
      <c r="U23" s="3">
        <v>1</v>
      </c>
      <c r="V23" s="3">
        <v>1</v>
      </c>
      <c r="W23" s="3">
        <v>1</v>
      </c>
      <c r="X23" s="3">
        <v>2</v>
      </c>
      <c r="Y23" s="3">
        <v>3</v>
      </c>
      <c r="Z23" s="3">
        <v>3</v>
      </c>
      <c r="AA23" s="3">
        <v>4</v>
      </c>
      <c r="AB23" s="3">
        <v>2</v>
      </c>
      <c r="AC23" s="3">
        <v>4</v>
      </c>
      <c r="AD23" s="3">
        <v>3</v>
      </c>
      <c r="AE23" s="3">
        <v>1</v>
      </c>
      <c r="AF23" s="3">
        <v>2</v>
      </c>
      <c r="AG23" s="3">
        <v>2</v>
      </c>
      <c r="AH23" s="3">
        <v>1</v>
      </c>
      <c r="AI23" s="3">
        <v>3</v>
      </c>
      <c r="AJ23" s="3">
        <v>2</v>
      </c>
      <c r="AK23" s="3">
        <v>2</v>
      </c>
      <c r="AL23" s="3">
        <v>3</v>
      </c>
      <c r="AM23" s="3">
        <v>1</v>
      </c>
      <c r="AN23" s="3">
        <v>1</v>
      </c>
      <c r="AO23" s="3">
        <v>3</v>
      </c>
      <c r="AP23" s="3">
        <v>2</v>
      </c>
      <c r="AQ23" s="3">
        <v>1</v>
      </c>
      <c r="AR23" s="3">
        <v>2</v>
      </c>
      <c r="AS23" s="3">
        <v>3</v>
      </c>
      <c r="AT23" s="3">
        <v>1</v>
      </c>
      <c r="AU23" s="3">
        <v>4</v>
      </c>
      <c r="AV23" s="3">
        <v>3</v>
      </c>
      <c r="AW23" s="3">
        <v>2</v>
      </c>
      <c r="AX23" s="3">
        <v>2</v>
      </c>
      <c r="AY23" s="3">
        <v>1</v>
      </c>
      <c r="AZ23" s="3">
        <v>2</v>
      </c>
      <c r="BA23" s="3">
        <v>4</v>
      </c>
      <c r="BB23" s="3">
        <v>4</v>
      </c>
      <c r="BC23" s="3">
        <v>2</v>
      </c>
      <c r="BD23" s="3">
        <v>4</v>
      </c>
      <c r="BE23" s="3">
        <v>2</v>
      </c>
      <c r="BF23" s="3">
        <v>2</v>
      </c>
      <c r="BG23" s="3">
        <v>3</v>
      </c>
      <c r="BH23" s="3">
        <v>3</v>
      </c>
      <c r="BI23" s="3">
        <v>2</v>
      </c>
      <c r="BJ23" s="3">
        <v>1</v>
      </c>
      <c r="BK23" s="3">
        <v>2</v>
      </c>
      <c r="BL23" s="3">
        <v>4</v>
      </c>
      <c r="BM23" s="3" t="s">
        <v>274</v>
      </c>
      <c r="BN23" s="3">
        <v>1</v>
      </c>
      <c r="BO23" s="3">
        <v>4</v>
      </c>
      <c r="BP23" s="3">
        <v>2</v>
      </c>
      <c r="BQ23" s="3">
        <v>3</v>
      </c>
      <c r="BR23" s="3">
        <v>2</v>
      </c>
      <c r="BS23" s="3">
        <v>2</v>
      </c>
      <c r="BT23" s="3">
        <v>1</v>
      </c>
      <c r="BU23" s="2">
        <v>2</v>
      </c>
      <c r="BV23" s="2">
        <v>2</v>
      </c>
      <c r="BW23" s="2">
        <v>3</v>
      </c>
      <c r="BX23" s="2">
        <v>2</v>
      </c>
      <c r="BY23" s="2">
        <v>1</v>
      </c>
      <c r="BZ23" s="2">
        <v>1</v>
      </c>
      <c r="CA23" s="2">
        <v>2</v>
      </c>
      <c r="CB23" s="2">
        <v>1</v>
      </c>
      <c r="CC23" s="2">
        <v>2</v>
      </c>
      <c r="CD23" s="2">
        <v>2</v>
      </c>
      <c r="CE23" s="2">
        <v>1</v>
      </c>
      <c r="CF23" s="2">
        <v>2</v>
      </c>
      <c r="CG23" s="2">
        <v>1</v>
      </c>
      <c r="CH23" s="2">
        <v>1</v>
      </c>
      <c r="CI23" s="2">
        <v>2</v>
      </c>
      <c r="CJ23" s="2">
        <v>0</v>
      </c>
      <c r="CK23" s="2">
        <v>2</v>
      </c>
      <c r="CL23" s="2">
        <v>1</v>
      </c>
      <c r="CM23" s="2">
        <v>1</v>
      </c>
      <c r="CN23" s="2">
        <v>1</v>
      </c>
      <c r="CO23" s="2">
        <v>2</v>
      </c>
      <c r="CP23" s="2">
        <v>1</v>
      </c>
      <c r="CQ23" s="2">
        <v>2</v>
      </c>
      <c r="CR23" s="2">
        <v>1</v>
      </c>
      <c r="CS23" s="2">
        <v>2</v>
      </c>
      <c r="CT23" s="2">
        <v>1</v>
      </c>
      <c r="CU23" s="2">
        <v>1</v>
      </c>
      <c r="CV23" s="2">
        <v>2</v>
      </c>
      <c r="CW23" s="2">
        <v>2</v>
      </c>
      <c r="CX23" s="2">
        <v>1</v>
      </c>
      <c r="CY23" s="2">
        <v>1</v>
      </c>
      <c r="CZ23" s="2">
        <v>1</v>
      </c>
      <c r="DA23" s="2">
        <v>1</v>
      </c>
      <c r="DB23" s="2">
        <v>2</v>
      </c>
      <c r="DC23" s="2">
        <v>1</v>
      </c>
      <c r="DD23" s="2">
        <v>0</v>
      </c>
      <c r="DE23" s="2">
        <v>1</v>
      </c>
      <c r="DF23" s="2">
        <v>1</v>
      </c>
      <c r="DG23" s="2">
        <v>1</v>
      </c>
      <c r="DH23" s="2">
        <v>1</v>
      </c>
      <c r="DI23" s="2">
        <v>1</v>
      </c>
      <c r="DJ23" s="2">
        <v>1</v>
      </c>
      <c r="DK23" s="2">
        <v>0</v>
      </c>
      <c r="DL23" s="2">
        <v>2</v>
      </c>
      <c r="DM23" s="2">
        <v>1</v>
      </c>
      <c r="DN23" s="2">
        <v>2</v>
      </c>
      <c r="DO23" s="2">
        <v>1</v>
      </c>
      <c r="DP23" s="2">
        <v>2</v>
      </c>
      <c r="DQ23" s="2">
        <v>1</v>
      </c>
      <c r="DR23" s="2">
        <v>2</v>
      </c>
      <c r="DS23" s="2">
        <v>1</v>
      </c>
      <c r="DT23" s="2">
        <v>1</v>
      </c>
      <c r="DU23" s="2">
        <v>2</v>
      </c>
      <c r="DV23" s="2">
        <v>1</v>
      </c>
      <c r="DW23" s="2">
        <v>1</v>
      </c>
      <c r="DX23" s="2">
        <v>2</v>
      </c>
      <c r="DY23" s="2">
        <v>2</v>
      </c>
      <c r="DZ23" s="2">
        <v>1</v>
      </c>
      <c r="EA23" s="2">
        <v>2</v>
      </c>
      <c r="EB23" s="2">
        <v>1</v>
      </c>
      <c r="EC23" s="2">
        <v>3</v>
      </c>
      <c r="ED23" s="2">
        <v>2</v>
      </c>
      <c r="EE23" s="2">
        <v>1</v>
      </c>
      <c r="EF23" s="2">
        <v>2</v>
      </c>
      <c r="EG23" s="2">
        <v>1</v>
      </c>
      <c r="EH23" s="2">
        <v>0</v>
      </c>
      <c r="EI23" s="2">
        <v>1</v>
      </c>
      <c r="EJ23" s="2">
        <v>2</v>
      </c>
      <c r="EK23" s="2">
        <v>1</v>
      </c>
      <c r="EL23" s="2">
        <v>1</v>
      </c>
      <c r="EM23" s="2">
        <v>0</v>
      </c>
      <c r="EN23" s="2">
        <v>0</v>
      </c>
      <c r="EO23" s="2">
        <v>0</v>
      </c>
      <c r="EP23" s="2">
        <v>0</v>
      </c>
      <c r="EQ23" s="2">
        <v>0</v>
      </c>
      <c r="ER23" s="2">
        <v>0</v>
      </c>
      <c r="ES23" s="2">
        <v>0</v>
      </c>
      <c r="ET23" s="2">
        <v>0</v>
      </c>
      <c r="EU23" s="2">
        <v>0</v>
      </c>
      <c r="EV23" s="2">
        <v>0</v>
      </c>
      <c r="EW23" s="2">
        <v>1</v>
      </c>
      <c r="EX23" s="2">
        <v>1</v>
      </c>
      <c r="EY23" s="2">
        <v>2</v>
      </c>
      <c r="EZ23" s="2">
        <v>0</v>
      </c>
      <c r="FA23" s="2">
        <v>1</v>
      </c>
      <c r="FB23" s="2">
        <v>1</v>
      </c>
      <c r="FC23" s="2">
        <v>0</v>
      </c>
      <c r="FD23" s="2">
        <v>2</v>
      </c>
      <c r="FE23" s="2">
        <v>0</v>
      </c>
      <c r="FF23" s="2">
        <v>1</v>
      </c>
      <c r="FG23" s="2">
        <v>0</v>
      </c>
      <c r="FH23" s="2">
        <v>1</v>
      </c>
      <c r="FI23" s="2">
        <v>1</v>
      </c>
      <c r="FJ23" s="2">
        <v>0</v>
      </c>
      <c r="FK23" s="2">
        <v>1</v>
      </c>
      <c r="FL23" s="2">
        <v>0</v>
      </c>
      <c r="FM23" s="2">
        <v>1</v>
      </c>
      <c r="FN23" s="2">
        <v>2</v>
      </c>
      <c r="FO23" s="2">
        <v>1</v>
      </c>
      <c r="FP23" s="2">
        <v>2</v>
      </c>
      <c r="FQ23" s="2">
        <v>3</v>
      </c>
      <c r="FR23" s="2">
        <v>3</v>
      </c>
      <c r="FS23" s="2">
        <v>3</v>
      </c>
      <c r="FT23" s="2">
        <v>1</v>
      </c>
      <c r="FU23" s="2">
        <v>2</v>
      </c>
      <c r="FV23" s="2">
        <v>2</v>
      </c>
      <c r="FW23" s="2">
        <v>2</v>
      </c>
      <c r="FX23" s="2">
        <v>1</v>
      </c>
      <c r="FY23" s="2">
        <v>1</v>
      </c>
      <c r="FZ23" s="2">
        <v>1</v>
      </c>
      <c r="GA23" s="2">
        <v>2</v>
      </c>
      <c r="GB23" s="2">
        <v>1</v>
      </c>
      <c r="GC23" s="2" t="s">
        <v>274</v>
      </c>
      <c r="GD23" s="2">
        <v>1</v>
      </c>
      <c r="GE23" s="2">
        <v>1</v>
      </c>
      <c r="GF23" s="2">
        <v>1</v>
      </c>
      <c r="GG23" s="2">
        <v>0</v>
      </c>
      <c r="GH23" s="2">
        <v>1</v>
      </c>
      <c r="GI23" s="2">
        <v>1</v>
      </c>
      <c r="GJ23" s="2">
        <v>0</v>
      </c>
      <c r="GK23" s="2">
        <v>0</v>
      </c>
      <c r="GL23" s="2">
        <v>0</v>
      </c>
      <c r="GM23" s="2">
        <v>1</v>
      </c>
      <c r="GN23" s="3">
        <v>2</v>
      </c>
      <c r="GO23" s="3">
        <v>3</v>
      </c>
      <c r="GP23" s="3">
        <v>3</v>
      </c>
      <c r="GQ23" s="3">
        <v>3</v>
      </c>
      <c r="GR23" s="3">
        <v>2</v>
      </c>
      <c r="GS23" s="3">
        <v>1</v>
      </c>
      <c r="GT23" s="3">
        <v>2</v>
      </c>
      <c r="GU23" s="3">
        <v>0</v>
      </c>
      <c r="GV23" s="3">
        <v>2</v>
      </c>
      <c r="GW23" s="3">
        <v>1</v>
      </c>
      <c r="GX23" s="3">
        <v>0</v>
      </c>
      <c r="GY23" s="3">
        <v>0</v>
      </c>
      <c r="GZ23" s="3">
        <v>4</v>
      </c>
      <c r="HA23" s="3">
        <v>0</v>
      </c>
      <c r="HB23" s="3">
        <v>0</v>
      </c>
      <c r="HC23" s="3">
        <v>0</v>
      </c>
      <c r="HD23" s="3">
        <v>1</v>
      </c>
      <c r="HE23" s="3">
        <v>0</v>
      </c>
      <c r="HF23" s="3">
        <v>1</v>
      </c>
      <c r="HG23" s="3">
        <v>0</v>
      </c>
      <c r="HH23" s="3">
        <v>2</v>
      </c>
      <c r="HI23" s="3">
        <v>0</v>
      </c>
      <c r="HJ23" s="3">
        <v>1</v>
      </c>
      <c r="HK23" s="3">
        <v>3</v>
      </c>
      <c r="HL23" s="3">
        <v>0</v>
      </c>
      <c r="HM23" s="3">
        <v>0</v>
      </c>
      <c r="HN23" s="3">
        <v>0</v>
      </c>
      <c r="HO23" s="3">
        <v>2</v>
      </c>
      <c r="HP23" s="3">
        <v>0</v>
      </c>
      <c r="HQ23" s="3">
        <v>0</v>
      </c>
      <c r="HR23" s="3">
        <v>1</v>
      </c>
      <c r="HS23" s="3">
        <v>2</v>
      </c>
      <c r="HT23" s="3">
        <v>1</v>
      </c>
      <c r="HU23" s="3">
        <v>0</v>
      </c>
      <c r="HV23" s="3">
        <v>0</v>
      </c>
      <c r="HW23" s="3">
        <v>0</v>
      </c>
      <c r="HX23" s="3">
        <v>0</v>
      </c>
      <c r="HY23" s="3">
        <v>2</v>
      </c>
      <c r="HZ23" s="3">
        <v>0</v>
      </c>
      <c r="IA23" s="3">
        <v>2</v>
      </c>
      <c r="IB23" s="3">
        <v>0</v>
      </c>
      <c r="IC23" s="3">
        <v>0</v>
      </c>
      <c r="ID23" s="3">
        <v>2</v>
      </c>
      <c r="IE23" s="3">
        <v>0</v>
      </c>
      <c r="IF23" s="3">
        <v>2</v>
      </c>
      <c r="IG23" s="3">
        <v>0</v>
      </c>
      <c r="IH23" s="3">
        <v>0</v>
      </c>
      <c r="II23" s="3">
        <v>2</v>
      </c>
      <c r="IJ23" s="3">
        <v>1</v>
      </c>
      <c r="IK23" s="3">
        <v>2</v>
      </c>
      <c r="IL23" s="3">
        <v>2</v>
      </c>
      <c r="IM23" s="3">
        <v>2</v>
      </c>
      <c r="IN23" s="3">
        <v>0</v>
      </c>
      <c r="IO23" s="3">
        <v>3</v>
      </c>
      <c r="IP23" s="3">
        <v>3</v>
      </c>
      <c r="IQ23" s="3">
        <v>3</v>
      </c>
      <c r="IR23" s="3" t="s">
        <v>274</v>
      </c>
      <c r="IS23" s="3">
        <v>2</v>
      </c>
      <c r="IT23" s="3">
        <v>2</v>
      </c>
      <c r="IU23" s="3">
        <v>0</v>
      </c>
      <c r="IV23" s="3">
        <v>2</v>
      </c>
      <c r="IW23" s="3">
        <v>3</v>
      </c>
      <c r="IX23" s="3">
        <v>2</v>
      </c>
      <c r="IY23" s="3">
        <v>0</v>
      </c>
      <c r="IZ23" s="2" t="s">
        <v>268</v>
      </c>
      <c r="JA23" s="2"/>
    </row>
    <row r="24" spans="1:261" ht="13.2" x14ac:dyDescent="0.25">
      <c r="A24" s="10">
        <v>24</v>
      </c>
      <c r="B24" s="2" t="s">
        <v>381</v>
      </c>
      <c r="C24" s="2" t="s">
        <v>276</v>
      </c>
      <c r="D24" s="2" t="s">
        <v>270</v>
      </c>
      <c r="E24" s="2">
        <v>17</v>
      </c>
      <c r="F24" s="11" t="s">
        <v>271</v>
      </c>
      <c r="G24" s="11" t="s">
        <v>379</v>
      </c>
      <c r="H24" s="2" t="s">
        <v>382</v>
      </c>
      <c r="I24" s="3">
        <v>4</v>
      </c>
      <c r="J24" s="3">
        <v>2</v>
      </c>
      <c r="K24" s="3">
        <v>3</v>
      </c>
      <c r="L24" s="3">
        <v>4</v>
      </c>
      <c r="M24" s="3">
        <v>4</v>
      </c>
      <c r="N24" s="3">
        <v>2</v>
      </c>
      <c r="O24" s="3">
        <v>3</v>
      </c>
      <c r="P24" s="3">
        <v>1</v>
      </c>
      <c r="Q24" s="3">
        <v>3</v>
      </c>
      <c r="R24" s="3">
        <v>4</v>
      </c>
      <c r="S24" s="3">
        <v>1</v>
      </c>
      <c r="T24" s="3">
        <v>2</v>
      </c>
      <c r="U24" s="3">
        <v>2</v>
      </c>
      <c r="V24" s="3">
        <v>2</v>
      </c>
      <c r="W24" s="3">
        <v>0</v>
      </c>
      <c r="X24" s="3">
        <v>1</v>
      </c>
      <c r="Y24" s="3">
        <v>4</v>
      </c>
      <c r="Z24" s="3">
        <v>1</v>
      </c>
      <c r="AA24" s="3">
        <v>3</v>
      </c>
      <c r="AB24" s="3">
        <v>3</v>
      </c>
      <c r="AC24" s="3">
        <v>2</v>
      </c>
      <c r="AD24" s="3">
        <v>1</v>
      </c>
      <c r="AE24" s="3">
        <v>4</v>
      </c>
      <c r="AF24" s="3">
        <v>1</v>
      </c>
      <c r="AG24" s="3">
        <v>0</v>
      </c>
      <c r="AH24" s="3">
        <v>1</v>
      </c>
      <c r="AI24" s="3">
        <v>3</v>
      </c>
      <c r="AJ24" s="3">
        <v>0</v>
      </c>
      <c r="AK24" s="3">
        <v>3</v>
      </c>
      <c r="AL24" s="3">
        <v>2</v>
      </c>
      <c r="AM24" s="3">
        <v>0</v>
      </c>
      <c r="AN24" s="3">
        <v>1</v>
      </c>
      <c r="AO24" s="3">
        <v>4</v>
      </c>
      <c r="AP24" s="3">
        <v>4</v>
      </c>
      <c r="AQ24" s="3">
        <v>2</v>
      </c>
      <c r="AR24" s="3">
        <v>2</v>
      </c>
      <c r="AS24" s="3">
        <v>4</v>
      </c>
      <c r="AT24" s="3">
        <v>2</v>
      </c>
      <c r="AU24" s="3">
        <v>4</v>
      </c>
      <c r="AV24" s="3">
        <v>2</v>
      </c>
      <c r="AW24" s="3">
        <v>0</v>
      </c>
      <c r="AX24" s="3">
        <v>0</v>
      </c>
      <c r="AY24" s="3">
        <v>2</v>
      </c>
      <c r="AZ24" s="3">
        <v>1</v>
      </c>
      <c r="BA24" s="3">
        <v>0</v>
      </c>
      <c r="BB24" s="3">
        <v>2</v>
      </c>
      <c r="BC24" s="3">
        <v>0</v>
      </c>
      <c r="BD24" s="3">
        <v>2</v>
      </c>
      <c r="BE24" s="3">
        <v>3</v>
      </c>
      <c r="BF24" s="3">
        <v>2</v>
      </c>
      <c r="BG24" s="3">
        <v>3</v>
      </c>
      <c r="BH24" s="3">
        <v>3</v>
      </c>
      <c r="BI24" s="3">
        <v>3</v>
      </c>
      <c r="BJ24" s="3">
        <v>4</v>
      </c>
      <c r="BK24" s="3">
        <v>2</v>
      </c>
      <c r="BL24" s="3">
        <v>2</v>
      </c>
      <c r="BM24" s="3" t="s">
        <v>383</v>
      </c>
      <c r="BN24" s="3">
        <v>3</v>
      </c>
      <c r="BO24" s="3">
        <v>2</v>
      </c>
      <c r="BP24" s="3">
        <v>3</v>
      </c>
      <c r="BQ24" s="3">
        <v>3</v>
      </c>
      <c r="BR24" s="3">
        <v>3</v>
      </c>
      <c r="BS24" s="3">
        <v>4</v>
      </c>
      <c r="BT24" s="3">
        <v>2</v>
      </c>
      <c r="BU24" s="2">
        <v>3</v>
      </c>
      <c r="BV24" s="2">
        <v>4</v>
      </c>
      <c r="BW24" s="2">
        <v>3</v>
      </c>
      <c r="BX24" s="2">
        <v>3</v>
      </c>
      <c r="BY24" s="2">
        <v>4</v>
      </c>
      <c r="BZ24" s="2">
        <v>3</v>
      </c>
      <c r="CA24" s="2">
        <v>3</v>
      </c>
      <c r="CB24" s="2">
        <v>4</v>
      </c>
      <c r="CC24" s="2">
        <v>2</v>
      </c>
      <c r="CD24" s="2">
        <v>1</v>
      </c>
      <c r="CE24" s="2">
        <v>0</v>
      </c>
      <c r="CF24" s="2">
        <v>0</v>
      </c>
      <c r="CG24" s="2">
        <v>0</v>
      </c>
      <c r="CH24" s="2">
        <v>2</v>
      </c>
      <c r="CI24" s="2">
        <v>4</v>
      </c>
      <c r="CJ24" s="2">
        <v>3</v>
      </c>
      <c r="CK24" s="2">
        <v>2</v>
      </c>
      <c r="CL24" s="2">
        <v>3</v>
      </c>
      <c r="CM24" s="2">
        <v>1</v>
      </c>
      <c r="CN24" s="2">
        <v>2</v>
      </c>
      <c r="CO24" s="2">
        <v>2</v>
      </c>
      <c r="CP24" s="2">
        <v>2</v>
      </c>
      <c r="CQ24" s="2">
        <v>3</v>
      </c>
      <c r="CR24" s="2">
        <v>1</v>
      </c>
      <c r="CS24" s="2">
        <v>2</v>
      </c>
      <c r="CT24" s="2">
        <v>2</v>
      </c>
      <c r="CU24" s="2">
        <v>2</v>
      </c>
      <c r="CV24" s="2">
        <v>3</v>
      </c>
      <c r="CW24" s="2">
        <v>3</v>
      </c>
      <c r="CX24" s="2">
        <v>2</v>
      </c>
      <c r="CY24" s="2">
        <v>1</v>
      </c>
      <c r="CZ24" s="2">
        <v>2</v>
      </c>
      <c r="DA24" s="2">
        <v>3</v>
      </c>
      <c r="DB24" s="2">
        <v>2</v>
      </c>
      <c r="DC24" s="2">
        <v>0</v>
      </c>
      <c r="DD24" s="2">
        <v>2</v>
      </c>
      <c r="DE24" s="2">
        <v>4</v>
      </c>
      <c r="DF24" s="2">
        <v>3</v>
      </c>
      <c r="DG24" s="2">
        <v>3</v>
      </c>
      <c r="DH24" s="2">
        <v>4</v>
      </c>
      <c r="DI24" s="2">
        <v>4</v>
      </c>
      <c r="DJ24" s="2">
        <v>3</v>
      </c>
      <c r="DK24" s="2">
        <v>3</v>
      </c>
      <c r="DL24" s="2">
        <v>3</v>
      </c>
      <c r="DM24" s="2">
        <v>2</v>
      </c>
      <c r="DN24" s="2">
        <v>2</v>
      </c>
      <c r="DO24" s="2">
        <v>2</v>
      </c>
      <c r="DP24" s="2">
        <v>3</v>
      </c>
      <c r="DQ24" s="2">
        <v>2</v>
      </c>
      <c r="DR24" s="2">
        <v>2</v>
      </c>
      <c r="DS24" s="2">
        <v>2</v>
      </c>
      <c r="DT24" s="2">
        <v>2</v>
      </c>
      <c r="DU24" s="2">
        <v>0</v>
      </c>
      <c r="DV24" s="2">
        <v>1</v>
      </c>
      <c r="DW24" s="2">
        <v>1</v>
      </c>
      <c r="DX24" s="2">
        <v>2</v>
      </c>
      <c r="DY24" s="2">
        <v>2</v>
      </c>
      <c r="DZ24" s="2">
        <v>0</v>
      </c>
      <c r="EA24" s="2">
        <v>0</v>
      </c>
      <c r="EB24" s="2">
        <v>0</v>
      </c>
      <c r="EC24" s="2">
        <v>2</v>
      </c>
      <c r="ED24" s="2">
        <v>1</v>
      </c>
      <c r="EE24" s="2">
        <v>2</v>
      </c>
      <c r="EF24" s="2">
        <v>1</v>
      </c>
      <c r="EG24" s="2">
        <v>0</v>
      </c>
      <c r="EH24" s="2">
        <v>0</v>
      </c>
      <c r="EI24" s="2">
        <v>2</v>
      </c>
      <c r="EJ24" s="2">
        <v>2</v>
      </c>
      <c r="EK24" s="2">
        <v>2</v>
      </c>
      <c r="EL24" s="2">
        <v>1</v>
      </c>
      <c r="EM24" s="2">
        <v>0</v>
      </c>
      <c r="EN24" s="2">
        <v>0</v>
      </c>
      <c r="EO24" s="2">
        <v>1</v>
      </c>
      <c r="EP24" s="2">
        <v>0</v>
      </c>
      <c r="EQ24" s="2">
        <v>1</v>
      </c>
      <c r="ER24" s="2">
        <v>2</v>
      </c>
      <c r="ES24" s="2">
        <v>0</v>
      </c>
      <c r="ET24" s="2">
        <v>1</v>
      </c>
      <c r="EU24" s="2">
        <v>3</v>
      </c>
      <c r="EV24" s="2">
        <v>3</v>
      </c>
      <c r="EW24" s="2">
        <v>2</v>
      </c>
      <c r="EX24" s="2">
        <v>4</v>
      </c>
      <c r="EY24" s="2">
        <v>3</v>
      </c>
      <c r="EZ24" s="2">
        <v>2</v>
      </c>
      <c r="FA24" s="2">
        <v>4</v>
      </c>
      <c r="FB24" s="2">
        <v>3</v>
      </c>
      <c r="FC24" s="2">
        <v>3</v>
      </c>
      <c r="FD24" s="2">
        <v>3</v>
      </c>
      <c r="FE24" s="2">
        <v>2</v>
      </c>
      <c r="FF24" s="2">
        <v>4</v>
      </c>
      <c r="FG24" s="2">
        <v>3</v>
      </c>
      <c r="FH24" s="2">
        <v>2</v>
      </c>
      <c r="FI24" s="2">
        <v>2</v>
      </c>
      <c r="FJ24" s="2">
        <v>2</v>
      </c>
      <c r="FK24" s="2">
        <v>1</v>
      </c>
      <c r="FL24" s="2">
        <v>2</v>
      </c>
      <c r="FM24" s="2">
        <v>2</v>
      </c>
      <c r="FN24" s="2">
        <v>1</v>
      </c>
      <c r="FO24" s="2">
        <v>0</v>
      </c>
      <c r="FP24" s="2">
        <v>0</v>
      </c>
      <c r="FQ24" s="2">
        <v>2</v>
      </c>
      <c r="FR24" s="2">
        <v>1</v>
      </c>
      <c r="FS24" s="2">
        <v>1</v>
      </c>
      <c r="FT24" s="2">
        <v>4</v>
      </c>
      <c r="FU24" s="2">
        <v>2</v>
      </c>
      <c r="FV24" s="2">
        <v>4</v>
      </c>
      <c r="FW24" s="2">
        <v>2</v>
      </c>
      <c r="FX24" s="2">
        <v>3</v>
      </c>
      <c r="FY24" s="2">
        <v>4</v>
      </c>
      <c r="FZ24" s="2">
        <v>3</v>
      </c>
      <c r="GA24" s="2">
        <v>3</v>
      </c>
      <c r="GB24" s="2">
        <v>3</v>
      </c>
      <c r="GC24" s="2" t="s">
        <v>384</v>
      </c>
      <c r="GD24" s="2">
        <v>3</v>
      </c>
      <c r="GE24" s="2">
        <v>3</v>
      </c>
      <c r="GF24" s="2">
        <v>2</v>
      </c>
      <c r="GG24" s="2">
        <v>0</v>
      </c>
      <c r="GH24" s="2">
        <v>2</v>
      </c>
      <c r="GI24" s="2">
        <v>2</v>
      </c>
      <c r="GJ24" s="2">
        <v>2</v>
      </c>
      <c r="GK24" s="2">
        <v>3</v>
      </c>
      <c r="GL24" s="2">
        <v>2</v>
      </c>
      <c r="GM24" s="2">
        <v>0</v>
      </c>
      <c r="GN24" s="3">
        <v>3</v>
      </c>
      <c r="GO24" s="3">
        <v>3</v>
      </c>
      <c r="GP24" s="3">
        <v>2</v>
      </c>
      <c r="GQ24" s="3">
        <v>1</v>
      </c>
      <c r="GR24" s="3">
        <v>1</v>
      </c>
      <c r="GS24" s="3">
        <v>1</v>
      </c>
      <c r="GT24" s="3">
        <v>3</v>
      </c>
      <c r="GU24" s="3">
        <v>1</v>
      </c>
      <c r="GV24" s="3">
        <v>3</v>
      </c>
      <c r="GW24" s="3">
        <v>0</v>
      </c>
      <c r="GX24" s="3">
        <v>0</v>
      </c>
      <c r="GY24" s="3">
        <v>0</v>
      </c>
      <c r="GZ24" s="3">
        <v>4</v>
      </c>
      <c r="HA24" s="3">
        <v>0</v>
      </c>
      <c r="HB24" s="3">
        <v>1</v>
      </c>
      <c r="HC24" s="3">
        <v>1</v>
      </c>
      <c r="HD24" s="3">
        <v>0</v>
      </c>
      <c r="HE24" s="3">
        <v>0</v>
      </c>
      <c r="HF24" s="3">
        <v>2</v>
      </c>
      <c r="HG24" s="3">
        <v>0</v>
      </c>
      <c r="HH24" s="3">
        <v>4</v>
      </c>
      <c r="HI24" s="3">
        <v>0</v>
      </c>
      <c r="HJ24" s="3">
        <v>0</v>
      </c>
      <c r="HK24" s="3">
        <v>3</v>
      </c>
      <c r="HL24" s="3">
        <v>0</v>
      </c>
      <c r="HM24" s="3">
        <v>2</v>
      </c>
      <c r="HN24" s="3">
        <v>0</v>
      </c>
      <c r="HO24" s="3">
        <v>2</v>
      </c>
      <c r="HP24" s="3">
        <v>0</v>
      </c>
      <c r="HQ24" s="3">
        <v>3</v>
      </c>
      <c r="HR24" s="3">
        <v>1</v>
      </c>
      <c r="HS24" s="3">
        <v>0</v>
      </c>
      <c r="HT24" s="3">
        <v>3</v>
      </c>
      <c r="HU24" s="3">
        <v>0</v>
      </c>
      <c r="HV24" s="3">
        <v>2</v>
      </c>
      <c r="HW24" s="3">
        <v>0</v>
      </c>
      <c r="HX24" s="3">
        <v>1</v>
      </c>
      <c r="HY24" s="3">
        <v>0</v>
      </c>
      <c r="HZ24" s="3">
        <v>2</v>
      </c>
      <c r="IA24" s="3">
        <v>3</v>
      </c>
      <c r="IB24" s="3">
        <v>2</v>
      </c>
      <c r="IC24" s="3">
        <v>2</v>
      </c>
      <c r="ID24" s="3">
        <v>4</v>
      </c>
      <c r="IE24" s="3">
        <v>0</v>
      </c>
      <c r="IF24" s="3">
        <v>3</v>
      </c>
      <c r="IG24" s="3">
        <v>0</v>
      </c>
      <c r="IH24" s="3">
        <v>2</v>
      </c>
      <c r="II24" s="3">
        <v>0</v>
      </c>
      <c r="IJ24" s="3">
        <v>2</v>
      </c>
      <c r="IK24" s="3">
        <v>1</v>
      </c>
      <c r="IL24" s="3">
        <v>1</v>
      </c>
      <c r="IM24" s="3">
        <v>1</v>
      </c>
      <c r="IN24" s="3">
        <v>0</v>
      </c>
      <c r="IO24" s="3">
        <v>0</v>
      </c>
      <c r="IP24" s="3">
        <v>1</v>
      </c>
      <c r="IQ24" s="3">
        <v>3</v>
      </c>
      <c r="IR24" s="3" t="s">
        <v>385</v>
      </c>
      <c r="IS24" s="3">
        <v>3</v>
      </c>
      <c r="IT24" s="3">
        <v>4</v>
      </c>
      <c r="IU24" s="3">
        <v>2</v>
      </c>
      <c r="IV24" s="3">
        <v>4</v>
      </c>
      <c r="IW24" s="3">
        <v>3</v>
      </c>
      <c r="IX24" s="3">
        <v>2</v>
      </c>
      <c r="IY24" s="3">
        <v>1</v>
      </c>
      <c r="IZ24" s="2" t="s">
        <v>268</v>
      </c>
      <c r="JA24" s="2"/>
    </row>
    <row r="25" spans="1:261" ht="13.2" x14ac:dyDescent="0.25">
      <c r="A25" s="10">
        <v>25</v>
      </c>
      <c r="B25" s="2" t="s">
        <v>386</v>
      </c>
      <c r="C25" s="2" t="s">
        <v>276</v>
      </c>
      <c r="D25" s="2" t="s">
        <v>270</v>
      </c>
      <c r="E25" s="2">
        <v>12</v>
      </c>
      <c r="F25" s="11" t="s">
        <v>387</v>
      </c>
      <c r="G25" s="11" t="s">
        <v>379</v>
      </c>
      <c r="H25" s="2" t="s">
        <v>388</v>
      </c>
      <c r="I25" s="3">
        <v>1</v>
      </c>
      <c r="J25" s="3">
        <v>1</v>
      </c>
      <c r="K25" s="3">
        <v>2</v>
      </c>
      <c r="L25" s="3">
        <v>1</v>
      </c>
      <c r="M25" s="3">
        <v>1</v>
      </c>
      <c r="N25" s="3">
        <v>2</v>
      </c>
      <c r="O25" s="3">
        <v>1</v>
      </c>
      <c r="P25" s="3">
        <v>0</v>
      </c>
      <c r="Q25" s="3">
        <v>1</v>
      </c>
      <c r="R25" s="3">
        <v>2</v>
      </c>
      <c r="S25" s="3">
        <v>0</v>
      </c>
      <c r="T25" s="3">
        <v>0</v>
      </c>
      <c r="U25" s="3">
        <v>0</v>
      </c>
      <c r="V25" s="3">
        <v>0</v>
      </c>
      <c r="W25" s="3">
        <v>0</v>
      </c>
      <c r="X25" s="3">
        <v>0</v>
      </c>
      <c r="Y25" s="3">
        <v>0</v>
      </c>
      <c r="Z25" s="3">
        <v>0</v>
      </c>
      <c r="AA25" s="3">
        <v>1</v>
      </c>
      <c r="AB25" s="3">
        <v>1</v>
      </c>
      <c r="AC25" s="3">
        <v>0</v>
      </c>
      <c r="AD25" s="3">
        <v>0</v>
      </c>
      <c r="AE25" s="3">
        <v>0</v>
      </c>
      <c r="AF25" s="3">
        <v>0</v>
      </c>
      <c r="AG25" s="3">
        <v>2</v>
      </c>
      <c r="AH25" s="3">
        <v>0</v>
      </c>
      <c r="AI25" s="3">
        <v>0</v>
      </c>
      <c r="AJ25" s="3">
        <v>0</v>
      </c>
      <c r="AK25" s="3">
        <v>0</v>
      </c>
      <c r="AL25" s="3">
        <v>0</v>
      </c>
      <c r="AM25" s="3">
        <v>0</v>
      </c>
      <c r="AN25" s="3">
        <v>1</v>
      </c>
      <c r="AO25" s="3">
        <v>0</v>
      </c>
      <c r="AP25" s="3">
        <v>1</v>
      </c>
      <c r="AQ25" s="3">
        <v>0</v>
      </c>
      <c r="AR25" s="3">
        <v>0</v>
      </c>
      <c r="AS25" s="3">
        <v>0</v>
      </c>
      <c r="AT25" s="3">
        <v>0</v>
      </c>
      <c r="AU25" s="3">
        <v>0</v>
      </c>
      <c r="AV25" s="3">
        <v>0</v>
      </c>
      <c r="AW25" s="3">
        <v>1</v>
      </c>
      <c r="AX25" s="3">
        <v>0</v>
      </c>
      <c r="AY25" s="3">
        <v>0</v>
      </c>
      <c r="AZ25" s="3">
        <v>4</v>
      </c>
      <c r="BA25" s="3">
        <v>0</v>
      </c>
      <c r="BB25" s="3">
        <v>1</v>
      </c>
      <c r="BC25" s="3">
        <v>0</v>
      </c>
      <c r="BD25" s="3">
        <v>1</v>
      </c>
      <c r="BE25" s="3">
        <v>0</v>
      </c>
      <c r="BF25" s="3">
        <v>0</v>
      </c>
      <c r="BG25" s="3">
        <v>0</v>
      </c>
      <c r="BH25" s="3">
        <v>0</v>
      </c>
      <c r="BI25" s="3">
        <v>0</v>
      </c>
      <c r="BJ25" s="3">
        <v>0</v>
      </c>
      <c r="BK25" s="3">
        <v>0</v>
      </c>
      <c r="BL25" s="3">
        <v>0</v>
      </c>
      <c r="BM25" s="3" t="s">
        <v>274</v>
      </c>
      <c r="BN25" s="3">
        <v>1</v>
      </c>
      <c r="BO25" s="3">
        <v>0</v>
      </c>
      <c r="BP25" s="3">
        <v>0</v>
      </c>
      <c r="BQ25" s="3">
        <v>0</v>
      </c>
      <c r="BR25" s="3">
        <v>0</v>
      </c>
      <c r="BS25" s="3">
        <v>0</v>
      </c>
      <c r="BT25" s="3">
        <v>0</v>
      </c>
      <c r="BU25" s="2">
        <v>0</v>
      </c>
      <c r="BV25" s="2">
        <v>0</v>
      </c>
      <c r="BW25" s="2">
        <v>0</v>
      </c>
      <c r="BX25" s="2">
        <v>0</v>
      </c>
      <c r="BY25" s="2">
        <v>0</v>
      </c>
      <c r="BZ25" s="2">
        <v>0</v>
      </c>
      <c r="CA25" s="2">
        <v>0</v>
      </c>
      <c r="CB25" s="2">
        <v>0</v>
      </c>
      <c r="CC25" s="2">
        <v>0</v>
      </c>
      <c r="CD25" s="2">
        <v>0</v>
      </c>
      <c r="CE25" s="2">
        <v>0</v>
      </c>
      <c r="CF25" s="2">
        <v>1</v>
      </c>
      <c r="CG25" s="2">
        <v>0</v>
      </c>
      <c r="CH25" s="2">
        <v>0</v>
      </c>
      <c r="CI25" s="2">
        <v>0</v>
      </c>
      <c r="CJ25" s="2">
        <v>0</v>
      </c>
      <c r="CK25" s="2">
        <v>0</v>
      </c>
      <c r="CL25" s="2">
        <v>0</v>
      </c>
      <c r="CM25" s="2">
        <v>0</v>
      </c>
      <c r="CN25" s="2">
        <v>0</v>
      </c>
      <c r="CO25" s="2">
        <v>0</v>
      </c>
      <c r="CP25" s="2">
        <v>0</v>
      </c>
      <c r="CQ25" s="2">
        <v>1</v>
      </c>
      <c r="CR25" s="2">
        <v>0</v>
      </c>
      <c r="CS25" s="2">
        <v>0</v>
      </c>
      <c r="CT25" s="2">
        <v>0</v>
      </c>
      <c r="CU25" s="2">
        <v>0</v>
      </c>
      <c r="CV25" s="2">
        <v>0</v>
      </c>
      <c r="CW25" s="2">
        <v>0</v>
      </c>
      <c r="CX25" s="2">
        <v>0</v>
      </c>
      <c r="CY25" s="2">
        <v>0</v>
      </c>
      <c r="CZ25" s="2">
        <v>1</v>
      </c>
      <c r="DA25" s="2">
        <v>1</v>
      </c>
      <c r="DB25" s="2">
        <v>1</v>
      </c>
      <c r="DC25" s="2">
        <v>0</v>
      </c>
      <c r="DD25" s="2">
        <v>1</v>
      </c>
      <c r="DE25" s="2">
        <v>0</v>
      </c>
      <c r="DF25" s="2">
        <v>1</v>
      </c>
      <c r="DG25" s="2">
        <v>0</v>
      </c>
      <c r="DH25" s="2">
        <v>1</v>
      </c>
      <c r="DI25" s="2">
        <v>0</v>
      </c>
      <c r="DJ25" s="2">
        <v>0</v>
      </c>
      <c r="DK25" s="2">
        <v>1</v>
      </c>
      <c r="DL25" s="2">
        <v>0</v>
      </c>
      <c r="DM25" s="2">
        <v>0</v>
      </c>
      <c r="DN25" s="2">
        <v>0</v>
      </c>
      <c r="DO25" s="2">
        <v>0</v>
      </c>
      <c r="DP25" s="2">
        <v>0</v>
      </c>
      <c r="DQ25" s="2">
        <v>1</v>
      </c>
      <c r="DR25" s="2">
        <v>0</v>
      </c>
      <c r="DS25" s="2">
        <v>1</v>
      </c>
      <c r="DT25" s="2">
        <v>0</v>
      </c>
      <c r="DU25" s="2">
        <v>0</v>
      </c>
      <c r="DV25" s="2">
        <v>0</v>
      </c>
      <c r="DW25" s="2">
        <v>0</v>
      </c>
      <c r="DX25" s="2">
        <v>0</v>
      </c>
      <c r="DY25" s="2">
        <v>0</v>
      </c>
      <c r="DZ25" s="2">
        <v>0</v>
      </c>
      <c r="EA25" s="2">
        <v>0</v>
      </c>
      <c r="EB25" s="2">
        <v>1</v>
      </c>
      <c r="EC25" s="2">
        <v>0</v>
      </c>
      <c r="ED25" s="2">
        <v>0</v>
      </c>
      <c r="EE25" s="2">
        <v>1</v>
      </c>
      <c r="EF25" s="2">
        <v>0</v>
      </c>
      <c r="EG25" s="2">
        <v>0</v>
      </c>
      <c r="EH25" s="2">
        <v>0</v>
      </c>
      <c r="EI25" s="2">
        <v>0</v>
      </c>
      <c r="EJ25" s="2">
        <v>0</v>
      </c>
      <c r="EK25" s="2">
        <v>0</v>
      </c>
      <c r="EL25" s="2">
        <v>0</v>
      </c>
      <c r="EM25" s="2">
        <v>0</v>
      </c>
      <c r="EN25" s="2">
        <v>0</v>
      </c>
      <c r="EO25" s="2">
        <v>0</v>
      </c>
      <c r="EP25" s="2">
        <v>0</v>
      </c>
      <c r="EQ25" s="2">
        <v>1</v>
      </c>
      <c r="ER25" s="2">
        <v>0</v>
      </c>
      <c r="ES25" s="2">
        <v>0</v>
      </c>
      <c r="ET25" s="2">
        <v>0</v>
      </c>
      <c r="EU25" s="2">
        <v>0</v>
      </c>
      <c r="EV25" s="2">
        <v>0</v>
      </c>
      <c r="EW25" s="2">
        <v>2</v>
      </c>
      <c r="EX25" s="2">
        <v>0</v>
      </c>
      <c r="EY25" s="2">
        <v>0</v>
      </c>
      <c r="EZ25" s="2">
        <v>0</v>
      </c>
      <c r="FA25" s="2">
        <v>0</v>
      </c>
      <c r="FB25" s="2">
        <v>1</v>
      </c>
      <c r="FC25" s="2">
        <v>0</v>
      </c>
      <c r="FD25" s="2">
        <v>0</v>
      </c>
      <c r="FE25" s="2">
        <v>0</v>
      </c>
      <c r="FF25" s="2">
        <v>0</v>
      </c>
      <c r="FG25" s="2">
        <v>2</v>
      </c>
      <c r="FH25" s="2">
        <v>0</v>
      </c>
      <c r="FI25" s="2">
        <v>2</v>
      </c>
      <c r="FJ25" s="2">
        <v>0</v>
      </c>
      <c r="FK25" s="2">
        <v>0</v>
      </c>
      <c r="FL25" s="2">
        <v>1</v>
      </c>
      <c r="FM25" s="2">
        <v>0</v>
      </c>
      <c r="FN25" s="2">
        <v>0</v>
      </c>
      <c r="FO25" s="2">
        <v>0</v>
      </c>
      <c r="FP25" s="2">
        <v>2</v>
      </c>
      <c r="FQ25" s="2">
        <v>0</v>
      </c>
      <c r="FR25" s="2">
        <v>1</v>
      </c>
      <c r="FS25" s="2">
        <v>0</v>
      </c>
      <c r="FT25" s="2">
        <v>0</v>
      </c>
      <c r="FU25" s="2">
        <v>0</v>
      </c>
      <c r="FV25" s="2">
        <v>0</v>
      </c>
      <c r="FW25" s="2">
        <v>0</v>
      </c>
      <c r="FX25" s="2">
        <v>1</v>
      </c>
      <c r="FY25" s="2">
        <v>0</v>
      </c>
      <c r="FZ25" s="2">
        <v>0</v>
      </c>
      <c r="GA25" s="2">
        <v>0</v>
      </c>
      <c r="GB25" s="2">
        <v>0</v>
      </c>
      <c r="GC25" s="2" t="s">
        <v>274</v>
      </c>
      <c r="GD25" s="2">
        <v>0</v>
      </c>
      <c r="GE25" s="2">
        <v>0</v>
      </c>
      <c r="GF25" s="2">
        <v>0</v>
      </c>
      <c r="GG25" s="2">
        <v>0</v>
      </c>
      <c r="GH25" s="2">
        <v>0</v>
      </c>
      <c r="GI25" s="2">
        <v>1</v>
      </c>
      <c r="GJ25" s="2">
        <v>0</v>
      </c>
      <c r="GK25" s="2">
        <v>0</v>
      </c>
      <c r="GL25" s="2">
        <v>0</v>
      </c>
      <c r="GM25" s="2">
        <v>2</v>
      </c>
      <c r="GN25" s="3">
        <v>2</v>
      </c>
      <c r="GO25" s="3">
        <v>0</v>
      </c>
      <c r="GP25" s="3">
        <v>0</v>
      </c>
      <c r="GQ25" s="3">
        <v>2</v>
      </c>
      <c r="GR25" s="3">
        <v>0</v>
      </c>
      <c r="GS25" s="3">
        <v>0</v>
      </c>
      <c r="GT25" s="3">
        <v>2</v>
      </c>
      <c r="GU25" s="3">
        <v>0</v>
      </c>
      <c r="GV25" s="3">
        <v>0</v>
      </c>
      <c r="GW25" s="3">
        <v>2</v>
      </c>
      <c r="GX25" s="3">
        <v>0</v>
      </c>
      <c r="GY25" s="3">
        <v>0</v>
      </c>
      <c r="GZ25" s="3">
        <v>2</v>
      </c>
      <c r="HA25" s="3">
        <v>0</v>
      </c>
      <c r="HB25" s="3">
        <v>0</v>
      </c>
      <c r="HC25" s="3">
        <v>0</v>
      </c>
      <c r="HD25" s="3">
        <v>0</v>
      </c>
      <c r="HE25" s="3">
        <v>0</v>
      </c>
      <c r="HF25" s="3">
        <v>0</v>
      </c>
      <c r="HG25" s="3">
        <v>0</v>
      </c>
      <c r="HH25" s="3">
        <v>0</v>
      </c>
      <c r="HI25" s="3">
        <v>0</v>
      </c>
      <c r="HJ25" s="3">
        <v>0</v>
      </c>
      <c r="HK25" s="3">
        <v>0</v>
      </c>
      <c r="HL25" s="3">
        <v>0</v>
      </c>
      <c r="HM25" s="3">
        <v>0</v>
      </c>
      <c r="HN25" s="3">
        <v>0</v>
      </c>
      <c r="HO25" s="3">
        <v>0</v>
      </c>
      <c r="HP25" s="3">
        <v>0</v>
      </c>
      <c r="HQ25" s="3">
        <v>0</v>
      </c>
      <c r="HR25" s="3">
        <v>2</v>
      </c>
      <c r="HS25" s="3">
        <v>0</v>
      </c>
      <c r="HT25" s="3">
        <v>0</v>
      </c>
      <c r="HU25" s="3">
        <v>0</v>
      </c>
      <c r="HV25" s="3">
        <v>0</v>
      </c>
      <c r="HW25" s="3">
        <v>0</v>
      </c>
      <c r="HX25" s="3">
        <v>0</v>
      </c>
      <c r="HY25" s="3">
        <v>0</v>
      </c>
      <c r="HZ25" s="3">
        <v>0</v>
      </c>
      <c r="IA25" s="3">
        <v>0</v>
      </c>
      <c r="IB25" s="3">
        <v>0</v>
      </c>
      <c r="IC25" s="3">
        <v>0</v>
      </c>
      <c r="ID25" s="3">
        <v>1</v>
      </c>
      <c r="IE25" s="3">
        <v>0</v>
      </c>
      <c r="IF25" s="3">
        <v>0</v>
      </c>
      <c r="IG25" s="3">
        <v>0</v>
      </c>
      <c r="IH25" s="3">
        <v>0</v>
      </c>
      <c r="II25" s="3">
        <v>0</v>
      </c>
      <c r="IJ25" s="3">
        <v>0</v>
      </c>
      <c r="IK25" s="3">
        <v>2</v>
      </c>
      <c r="IL25" s="3">
        <v>0</v>
      </c>
      <c r="IM25" s="3">
        <v>1</v>
      </c>
      <c r="IN25" s="3">
        <v>0</v>
      </c>
      <c r="IO25" s="3">
        <v>0</v>
      </c>
      <c r="IP25" s="3">
        <v>0</v>
      </c>
      <c r="IQ25" s="3">
        <v>0</v>
      </c>
      <c r="IR25" s="3" t="s">
        <v>274</v>
      </c>
      <c r="IS25" s="3">
        <v>0</v>
      </c>
      <c r="IT25" s="3">
        <v>1</v>
      </c>
      <c r="IU25" s="3">
        <v>0</v>
      </c>
      <c r="IV25" s="3">
        <v>0</v>
      </c>
      <c r="IW25" s="3">
        <v>0</v>
      </c>
      <c r="IX25" s="3">
        <v>0</v>
      </c>
      <c r="IY25" s="3">
        <v>0</v>
      </c>
      <c r="IZ25" s="2" t="s">
        <v>268</v>
      </c>
      <c r="JA25" s="2"/>
    </row>
    <row r="26" spans="1:261" ht="13.2" x14ac:dyDescent="0.25">
      <c r="A26" s="10">
        <v>26</v>
      </c>
      <c r="B26" s="2" t="s">
        <v>389</v>
      </c>
      <c r="C26" s="2" t="s">
        <v>261</v>
      </c>
      <c r="D26" s="2" t="s">
        <v>325</v>
      </c>
      <c r="E26" s="2">
        <v>29</v>
      </c>
      <c r="F26" s="11" t="s">
        <v>390</v>
      </c>
      <c r="G26" s="11" t="s">
        <v>391</v>
      </c>
      <c r="H26" s="2" t="s">
        <v>392</v>
      </c>
      <c r="I26" s="3">
        <v>4</v>
      </c>
      <c r="J26" s="3">
        <v>2</v>
      </c>
      <c r="K26" s="3">
        <v>4</v>
      </c>
      <c r="L26" s="3">
        <v>3</v>
      </c>
      <c r="M26" s="3">
        <v>3</v>
      </c>
      <c r="N26" s="3">
        <v>3</v>
      </c>
      <c r="O26" s="3">
        <v>2</v>
      </c>
      <c r="P26" s="3">
        <v>2</v>
      </c>
      <c r="Q26" s="3">
        <v>2</v>
      </c>
      <c r="R26" s="3">
        <v>4</v>
      </c>
      <c r="S26" s="3">
        <v>1</v>
      </c>
      <c r="T26" s="3">
        <v>2</v>
      </c>
      <c r="U26" s="3">
        <v>2</v>
      </c>
      <c r="V26" s="3">
        <v>0</v>
      </c>
      <c r="W26" s="3">
        <v>0</v>
      </c>
      <c r="X26" s="3">
        <v>0</v>
      </c>
      <c r="Y26" s="3">
        <v>0</v>
      </c>
      <c r="Z26" s="3">
        <v>0</v>
      </c>
      <c r="AA26" s="3">
        <v>0</v>
      </c>
      <c r="AB26" s="3">
        <v>0</v>
      </c>
      <c r="AC26" s="3">
        <v>0</v>
      </c>
      <c r="AD26" s="3">
        <v>0</v>
      </c>
      <c r="AE26" s="3">
        <v>0</v>
      </c>
      <c r="AF26" s="3">
        <v>0</v>
      </c>
      <c r="AG26" s="3">
        <v>0</v>
      </c>
      <c r="AH26" s="3">
        <v>0</v>
      </c>
      <c r="AI26" s="3">
        <v>1</v>
      </c>
      <c r="AJ26" s="3">
        <v>1</v>
      </c>
      <c r="AK26" s="3">
        <v>1</v>
      </c>
      <c r="AL26" s="3">
        <v>1</v>
      </c>
      <c r="AM26" s="3">
        <v>0</v>
      </c>
      <c r="AN26" s="3">
        <v>0</v>
      </c>
      <c r="AO26" s="3">
        <v>0</v>
      </c>
      <c r="AP26" s="3">
        <v>2</v>
      </c>
      <c r="AQ26" s="3">
        <v>0</v>
      </c>
      <c r="AR26" s="3">
        <v>2</v>
      </c>
      <c r="AS26" s="3">
        <v>2</v>
      </c>
      <c r="AT26" s="3">
        <v>0</v>
      </c>
      <c r="AU26" s="3">
        <v>0</v>
      </c>
      <c r="AV26" s="3">
        <v>0</v>
      </c>
      <c r="AW26" s="3">
        <v>2</v>
      </c>
      <c r="AX26" s="3">
        <v>0</v>
      </c>
      <c r="AY26" s="3">
        <v>0</v>
      </c>
      <c r="AZ26" s="3">
        <v>2</v>
      </c>
      <c r="BA26" s="3">
        <v>0</v>
      </c>
      <c r="BB26" s="3">
        <v>4</v>
      </c>
      <c r="BC26" s="3">
        <v>0</v>
      </c>
      <c r="BD26" s="3">
        <v>4</v>
      </c>
      <c r="BE26" s="3">
        <v>4</v>
      </c>
      <c r="BF26" s="3">
        <v>0</v>
      </c>
      <c r="BG26" s="3">
        <v>2</v>
      </c>
      <c r="BH26" s="3">
        <v>2</v>
      </c>
      <c r="BI26" s="3">
        <v>4</v>
      </c>
      <c r="BJ26" s="3">
        <v>4</v>
      </c>
      <c r="BK26" s="3">
        <v>2</v>
      </c>
      <c r="BL26" s="3">
        <v>0</v>
      </c>
      <c r="BM26" s="3" t="s">
        <v>393</v>
      </c>
      <c r="BN26" s="3">
        <v>4</v>
      </c>
      <c r="BO26" s="3">
        <v>0</v>
      </c>
      <c r="BP26" s="3">
        <v>0</v>
      </c>
      <c r="BQ26" s="3">
        <v>0</v>
      </c>
      <c r="BR26" s="3">
        <v>0</v>
      </c>
      <c r="BS26" s="3">
        <v>2</v>
      </c>
      <c r="BT26" s="3">
        <v>0</v>
      </c>
      <c r="BU26" s="2">
        <v>0</v>
      </c>
      <c r="BV26" s="2">
        <v>0</v>
      </c>
      <c r="BW26" s="2">
        <v>0</v>
      </c>
      <c r="BX26" s="2">
        <v>0</v>
      </c>
      <c r="BY26" s="2">
        <v>0</v>
      </c>
      <c r="BZ26" s="2">
        <v>0</v>
      </c>
      <c r="CA26" s="2">
        <v>0</v>
      </c>
      <c r="CB26" s="2">
        <v>0</v>
      </c>
      <c r="CC26" s="2">
        <v>0</v>
      </c>
      <c r="CD26" s="2">
        <v>0</v>
      </c>
      <c r="CE26" s="2">
        <v>0</v>
      </c>
      <c r="CF26" s="2">
        <v>1</v>
      </c>
      <c r="CG26" s="2">
        <v>0</v>
      </c>
      <c r="CH26" s="2">
        <v>0</v>
      </c>
      <c r="CI26" s="2">
        <v>1</v>
      </c>
      <c r="CJ26" s="2">
        <v>0</v>
      </c>
      <c r="CK26" s="2">
        <v>0</v>
      </c>
      <c r="CL26" s="2">
        <v>0</v>
      </c>
      <c r="CM26" s="2">
        <v>0</v>
      </c>
      <c r="CN26" s="2">
        <v>0</v>
      </c>
      <c r="CO26" s="2">
        <v>0</v>
      </c>
      <c r="CP26" s="2">
        <v>0</v>
      </c>
      <c r="CQ26" s="2">
        <v>0</v>
      </c>
      <c r="CR26" s="2">
        <v>2</v>
      </c>
      <c r="CS26" s="2">
        <v>0</v>
      </c>
      <c r="CT26" s="2">
        <v>0</v>
      </c>
      <c r="CU26" s="2">
        <v>0</v>
      </c>
      <c r="CV26" s="2">
        <v>1</v>
      </c>
      <c r="CW26" s="2">
        <v>2</v>
      </c>
      <c r="CX26" s="2">
        <v>0</v>
      </c>
      <c r="CY26" s="2">
        <v>0</v>
      </c>
      <c r="CZ26" s="2">
        <v>0</v>
      </c>
      <c r="DA26" s="2">
        <v>2</v>
      </c>
      <c r="DB26" s="2">
        <v>0</v>
      </c>
      <c r="DC26" s="2">
        <v>0</v>
      </c>
      <c r="DD26" s="2">
        <v>0</v>
      </c>
      <c r="DE26" s="2">
        <v>3</v>
      </c>
      <c r="DF26" s="2">
        <v>3</v>
      </c>
      <c r="DG26" s="2">
        <v>0</v>
      </c>
      <c r="DH26" s="2">
        <v>3</v>
      </c>
      <c r="DI26" s="2">
        <v>0</v>
      </c>
      <c r="DJ26" s="2">
        <v>0</v>
      </c>
      <c r="DK26" s="2">
        <v>0</v>
      </c>
      <c r="DL26" s="2">
        <v>0</v>
      </c>
      <c r="DM26" s="2">
        <v>0</v>
      </c>
      <c r="DN26" s="2">
        <v>0</v>
      </c>
      <c r="DO26" s="2">
        <v>0</v>
      </c>
      <c r="DP26" s="2">
        <v>0</v>
      </c>
      <c r="DQ26" s="2">
        <v>0</v>
      </c>
      <c r="DR26" s="2">
        <v>0</v>
      </c>
      <c r="DS26" s="2">
        <v>2</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2</v>
      </c>
      <c r="EK26" s="2">
        <v>0</v>
      </c>
      <c r="EL26" s="2">
        <v>0</v>
      </c>
      <c r="EM26" s="2">
        <v>0</v>
      </c>
      <c r="EN26" s="2">
        <v>0</v>
      </c>
      <c r="EO26" s="2">
        <v>0</v>
      </c>
      <c r="EP26" s="2">
        <v>0</v>
      </c>
      <c r="EQ26" s="2">
        <v>0</v>
      </c>
      <c r="ER26" s="2">
        <v>0</v>
      </c>
      <c r="ES26" s="2">
        <v>0</v>
      </c>
      <c r="ET26" s="2">
        <v>0</v>
      </c>
      <c r="EU26" s="2">
        <v>0</v>
      </c>
      <c r="EV26" s="2">
        <v>0</v>
      </c>
      <c r="EW26" s="2">
        <v>0</v>
      </c>
      <c r="EX26" s="2">
        <v>0</v>
      </c>
      <c r="EY26" s="2">
        <v>0</v>
      </c>
      <c r="EZ26" s="2">
        <v>0</v>
      </c>
      <c r="FA26" s="2">
        <v>2</v>
      </c>
      <c r="FB26" s="2">
        <v>0</v>
      </c>
      <c r="FC26" s="2">
        <v>0</v>
      </c>
      <c r="FD26" s="2">
        <v>0</v>
      </c>
      <c r="FE26" s="2">
        <v>0</v>
      </c>
      <c r="FF26" s="2">
        <v>0</v>
      </c>
      <c r="FG26" s="2">
        <v>0</v>
      </c>
      <c r="FH26" s="2">
        <v>0</v>
      </c>
      <c r="FI26" s="2">
        <v>0</v>
      </c>
      <c r="FJ26" s="2">
        <v>0</v>
      </c>
      <c r="FK26" s="2">
        <v>0</v>
      </c>
      <c r="FL26" s="2">
        <v>1</v>
      </c>
      <c r="FM26" s="2">
        <v>1</v>
      </c>
      <c r="FN26" s="2">
        <v>0</v>
      </c>
      <c r="FO26" s="2">
        <v>0</v>
      </c>
      <c r="FP26" s="2">
        <v>0</v>
      </c>
      <c r="FQ26" s="2">
        <v>4</v>
      </c>
      <c r="FR26" s="2">
        <v>2</v>
      </c>
      <c r="FS26" s="2">
        <v>0</v>
      </c>
      <c r="FT26" s="2">
        <v>0</v>
      </c>
      <c r="FU26" s="2">
        <v>4</v>
      </c>
      <c r="FV26" s="2">
        <v>0</v>
      </c>
      <c r="FW26" s="2">
        <v>0</v>
      </c>
      <c r="FX26" s="2">
        <v>0</v>
      </c>
      <c r="FY26" s="2">
        <v>0</v>
      </c>
      <c r="FZ26" s="2">
        <v>0</v>
      </c>
      <c r="GA26" s="2">
        <v>2</v>
      </c>
      <c r="GB26" s="2">
        <v>0</v>
      </c>
      <c r="GC26" s="2" t="s">
        <v>274</v>
      </c>
      <c r="GD26" s="2" t="s">
        <v>274</v>
      </c>
      <c r="GE26" s="2" t="s">
        <v>274</v>
      </c>
      <c r="GF26" s="2" t="s">
        <v>274</v>
      </c>
      <c r="GG26" s="2" t="s">
        <v>274</v>
      </c>
      <c r="GH26" s="2" t="s">
        <v>274</v>
      </c>
      <c r="GI26" s="2" t="s">
        <v>274</v>
      </c>
      <c r="GJ26" s="2" t="s">
        <v>274</v>
      </c>
      <c r="GK26" s="2" t="s">
        <v>274</v>
      </c>
      <c r="GL26" s="2" t="s">
        <v>274</v>
      </c>
      <c r="GM26" s="2" t="s">
        <v>274</v>
      </c>
      <c r="GN26" s="3">
        <v>0</v>
      </c>
      <c r="GO26" s="3">
        <v>0</v>
      </c>
      <c r="GP26" s="3">
        <v>0</v>
      </c>
      <c r="GQ26" s="3">
        <v>0</v>
      </c>
      <c r="GR26" s="3">
        <v>0</v>
      </c>
      <c r="GS26" s="3">
        <v>0</v>
      </c>
      <c r="GT26" s="3">
        <v>0</v>
      </c>
      <c r="GU26" s="3">
        <v>3</v>
      </c>
      <c r="GV26" s="3">
        <v>0</v>
      </c>
      <c r="GW26" s="3">
        <v>0</v>
      </c>
      <c r="GX26" s="3">
        <v>0</v>
      </c>
      <c r="GY26" s="3">
        <v>2</v>
      </c>
      <c r="GZ26" s="3">
        <v>0</v>
      </c>
      <c r="HA26" s="3">
        <v>0</v>
      </c>
      <c r="HB26" s="3">
        <v>0</v>
      </c>
      <c r="HC26" s="3">
        <v>0</v>
      </c>
      <c r="HD26" s="3">
        <v>0</v>
      </c>
      <c r="HE26" s="3">
        <v>0</v>
      </c>
      <c r="HF26" s="3">
        <v>0</v>
      </c>
      <c r="HG26" s="3">
        <v>0</v>
      </c>
      <c r="HH26" s="3">
        <v>0</v>
      </c>
      <c r="HI26" s="3">
        <v>0</v>
      </c>
      <c r="HJ26" s="3">
        <v>0</v>
      </c>
      <c r="HK26" s="3">
        <v>0</v>
      </c>
      <c r="HL26" s="3">
        <v>0</v>
      </c>
      <c r="HM26" s="3">
        <v>0</v>
      </c>
      <c r="HN26" s="3">
        <v>0</v>
      </c>
      <c r="HO26" s="3">
        <v>0</v>
      </c>
      <c r="HP26" s="3">
        <v>0</v>
      </c>
      <c r="HQ26" s="3">
        <v>0</v>
      </c>
      <c r="HR26" s="3">
        <v>0</v>
      </c>
      <c r="HS26" s="3">
        <v>0</v>
      </c>
      <c r="HT26" s="3">
        <v>0</v>
      </c>
      <c r="HU26" s="3">
        <v>0</v>
      </c>
      <c r="HV26" s="3">
        <v>0</v>
      </c>
      <c r="HW26" s="3">
        <v>1</v>
      </c>
      <c r="HX26" s="3">
        <v>0</v>
      </c>
      <c r="HY26" s="3">
        <v>0</v>
      </c>
      <c r="HZ26" s="3">
        <v>0</v>
      </c>
      <c r="IA26" s="3">
        <v>1</v>
      </c>
      <c r="IB26" s="3">
        <v>0</v>
      </c>
      <c r="IC26" s="3">
        <v>0</v>
      </c>
      <c r="ID26" s="3">
        <v>0</v>
      </c>
      <c r="IE26" s="3">
        <v>0</v>
      </c>
      <c r="IF26" s="3">
        <v>0</v>
      </c>
      <c r="IG26" s="3">
        <v>0</v>
      </c>
      <c r="IH26" s="3">
        <v>0</v>
      </c>
      <c r="II26" s="3">
        <v>1</v>
      </c>
      <c r="IJ26" s="3">
        <v>0</v>
      </c>
      <c r="IK26" s="3">
        <v>0</v>
      </c>
      <c r="IL26" s="3">
        <v>0</v>
      </c>
      <c r="IM26" s="3">
        <v>0</v>
      </c>
      <c r="IN26" s="3">
        <v>0</v>
      </c>
      <c r="IO26" s="3">
        <v>0</v>
      </c>
      <c r="IP26" s="3">
        <v>1</v>
      </c>
      <c r="IQ26" s="3">
        <v>1</v>
      </c>
      <c r="IR26" s="3" t="s">
        <v>394</v>
      </c>
      <c r="IS26" s="3">
        <v>2</v>
      </c>
      <c r="IT26" s="3">
        <v>0</v>
      </c>
      <c r="IU26" s="3">
        <v>3</v>
      </c>
      <c r="IV26" s="3">
        <v>0</v>
      </c>
      <c r="IW26" s="3">
        <v>0</v>
      </c>
      <c r="IX26" s="3">
        <v>0</v>
      </c>
      <c r="IY26" s="3">
        <v>0</v>
      </c>
      <c r="IZ26" s="2" t="s">
        <v>268</v>
      </c>
      <c r="JA26" s="2"/>
    </row>
    <row r="27" spans="1:261" ht="13.2" x14ac:dyDescent="0.25">
      <c r="A27" s="10">
        <v>27</v>
      </c>
      <c r="B27" s="2" t="s">
        <v>395</v>
      </c>
      <c r="C27" s="2" t="s">
        <v>261</v>
      </c>
      <c r="D27" s="2" t="s">
        <v>270</v>
      </c>
      <c r="E27" s="2">
        <v>12</v>
      </c>
      <c r="F27" s="11" t="s">
        <v>396</v>
      </c>
      <c r="G27" s="11" t="s">
        <v>397</v>
      </c>
      <c r="H27" s="2" t="s">
        <v>398</v>
      </c>
      <c r="I27" s="3">
        <v>4</v>
      </c>
      <c r="J27" s="3">
        <v>4</v>
      </c>
      <c r="K27" s="3">
        <v>4</v>
      </c>
      <c r="L27" s="3">
        <v>4</v>
      </c>
      <c r="M27" s="3">
        <v>4</v>
      </c>
      <c r="N27" s="3">
        <v>4</v>
      </c>
      <c r="O27" s="3">
        <v>3</v>
      </c>
      <c r="P27" s="3">
        <v>3</v>
      </c>
      <c r="Q27" s="3">
        <v>3</v>
      </c>
      <c r="R27" s="3">
        <v>4</v>
      </c>
      <c r="S27" s="3">
        <v>4</v>
      </c>
      <c r="T27" s="3">
        <v>3</v>
      </c>
      <c r="U27" s="3">
        <v>4</v>
      </c>
      <c r="V27" s="3">
        <v>0</v>
      </c>
      <c r="W27" s="3">
        <v>2</v>
      </c>
      <c r="X27" s="3">
        <v>3</v>
      </c>
      <c r="Y27" s="3">
        <v>3</v>
      </c>
      <c r="Z27" s="3">
        <v>3</v>
      </c>
      <c r="AA27" s="3">
        <v>4</v>
      </c>
      <c r="AB27" s="3">
        <v>4</v>
      </c>
      <c r="AC27" s="3">
        <v>3</v>
      </c>
      <c r="AD27" s="3">
        <v>2</v>
      </c>
      <c r="AE27" s="3">
        <v>4</v>
      </c>
      <c r="AF27" s="3">
        <v>0</v>
      </c>
      <c r="AG27" s="3">
        <v>4</v>
      </c>
      <c r="AH27" s="3">
        <v>4</v>
      </c>
      <c r="AI27" s="3">
        <v>2</v>
      </c>
      <c r="AJ27" s="3">
        <v>4</v>
      </c>
      <c r="AK27" s="3">
        <v>4</v>
      </c>
      <c r="AL27" s="3">
        <v>2</v>
      </c>
      <c r="AM27" s="3">
        <v>2</v>
      </c>
      <c r="AN27" s="3">
        <v>0</v>
      </c>
      <c r="AO27" s="3">
        <v>4</v>
      </c>
      <c r="AP27" s="3">
        <v>2</v>
      </c>
      <c r="AQ27" s="3">
        <v>2</v>
      </c>
      <c r="AR27" s="3">
        <v>0</v>
      </c>
      <c r="AS27" s="3">
        <v>4</v>
      </c>
      <c r="AT27" s="3">
        <v>4</v>
      </c>
      <c r="AU27" s="3">
        <v>2</v>
      </c>
      <c r="AV27" s="3">
        <v>4</v>
      </c>
      <c r="AW27" s="3">
        <v>4</v>
      </c>
      <c r="AX27" s="3">
        <v>2</v>
      </c>
      <c r="AY27" s="3">
        <v>4</v>
      </c>
      <c r="AZ27" s="3">
        <v>2</v>
      </c>
      <c r="BA27" s="3">
        <v>2</v>
      </c>
      <c r="BB27" s="3">
        <v>4</v>
      </c>
      <c r="BC27" s="3">
        <v>0</v>
      </c>
      <c r="BD27" s="3">
        <v>2</v>
      </c>
      <c r="BE27" s="3">
        <v>2</v>
      </c>
      <c r="BF27" s="3">
        <v>0</v>
      </c>
      <c r="BG27" s="3">
        <v>2</v>
      </c>
      <c r="BH27" s="3">
        <v>2</v>
      </c>
      <c r="BI27" s="3">
        <v>0</v>
      </c>
      <c r="BJ27" s="3">
        <v>0</v>
      </c>
      <c r="BK27" s="3">
        <v>0</v>
      </c>
      <c r="BL27" s="3">
        <v>2</v>
      </c>
      <c r="BM27" s="3" t="s">
        <v>399</v>
      </c>
      <c r="BN27" s="3">
        <v>2</v>
      </c>
      <c r="BO27" s="3">
        <v>2</v>
      </c>
      <c r="BP27" s="3">
        <v>0</v>
      </c>
      <c r="BQ27" s="3">
        <v>4</v>
      </c>
      <c r="BR27" s="3">
        <v>4</v>
      </c>
      <c r="BS27" s="3">
        <v>4</v>
      </c>
      <c r="BT27" s="3">
        <v>4</v>
      </c>
      <c r="BU27" s="2">
        <v>4</v>
      </c>
      <c r="BV27" s="2">
        <v>4</v>
      </c>
      <c r="BW27" s="2">
        <v>4</v>
      </c>
      <c r="BX27" s="2">
        <v>4</v>
      </c>
      <c r="BY27" s="2">
        <v>2</v>
      </c>
      <c r="BZ27" s="2">
        <v>4</v>
      </c>
      <c r="CA27" s="2">
        <v>4</v>
      </c>
      <c r="CB27" s="2">
        <v>0</v>
      </c>
      <c r="CC27" s="2">
        <v>4</v>
      </c>
      <c r="CD27" s="2">
        <v>4</v>
      </c>
      <c r="CE27" s="2">
        <v>0</v>
      </c>
      <c r="CF27" s="2">
        <v>0</v>
      </c>
      <c r="CG27" s="2">
        <v>2</v>
      </c>
      <c r="CH27" s="2">
        <v>4</v>
      </c>
      <c r="CI27" s="2">
        <v>0</v>
      </c>
      <c r="CJ27" s="2">
        <v>2</v>
      </c>
      <c r="CK27" s="2">
        <v>0</v>
      </c>
      <c r="CL27" s="2">
        <v>0</v>
      </c>
      <c r="CM27" s="2">
        <v>0</v>
      </c>
      <c r="CN27" s="2">
        <v>0</v>
      </c>
      <c r="CO27" s="2">
        <v>0</v>
      </c>
      <c r="CP27" s="2">
        <v>0</v>
      </c>
      <c r="CQ27" s="2">
        <v>4</v>
      </c>
      <c r="CR27" s="2">
        <v>2</v>
      </c>
      <c r="CS27" s="2">
        <v>2</v>
      </c>
      <c r="CT27" s="2">
        <v>0</v>
      </c>
      <c r="CU27" s="2">
        <v>2</v>
      </c>
      <c r="CV27" s="2">
        <v>0</v>
      </c>
      <c r="CW27" s="2">
        <v>0</v>
      </c>
      <c r="CX27" s="2">
        <v>0</v>
      </c>
      <c r="CY27" s="2">
        <v>0</v>
      </c>
      <c r="CZ27" s="2">
        <v>0</v>
      </c>
      <c r="DA27" s="2">
        <v>0</v>
      </c>
      <c r="DB27" s="2">
        <v>0</v>
      </c>
      <c r="DC27" s="2">
        <v>0</v>
      </c>
      <c r="DD27" s="2">
        <v>0</v>
      </c>
      <c r="DE27" s="2">
        <v>2</v>
      </c>
      <c r="DF27" s="2">
        <v>2</v>
      </c>
      <c r="DG27" s="2">
        <v>2</v>
      </c>
      <c r="DH27" s="2">
        <v>2</v>
      </c>
      <c r="DI27" s="2">
        <v>2</v>
      </c>
      <c r="DJ27" s="2">
        <v>4</v>
      </c>
      <c r="DK27" s="2">
        <v>0</v>
      </c>
      <c r="DL27" s="2">
        <v>4</v>
      </c>
      <c r="DM27" s="2">
        <v>4</v>
      </c>
      <c r="DN27" s="2">
        <v>0</v>
      </c>
      <c r="DO27" s="2">
        <v>0</v>
      </c>
      <c r="DP27" s="2">
        <v>0</v>
      </c>
      <c r="DQ27" s="2">
        <v>4</v>
      </c>
      <c r="DR27" s="2">
        <v>0</v>
      </c>
      <c r="DS27" s="2">
        <v>0</v>
      </c>
      <c r="DT27" s="2">
        <v>0</v>
      </c>
      <c r="DU27" s="2">
        <v>0</v>
      </c>
      <c r="DV27" s="2">
        <v>0</v>
      </c>
      <c r="DW27" s="2">
        <v>2</v>
      </c>
      <c r="DX27" s="2">
        <v>2</v>
      </c>
      <c r="DY27" s="2">
        <v>0</v>
      </c>
      <c r="DZ27" s="2">
        <v>0</v>
      </c>
      <c r="EA27" s="2">
        <v>0</v>
      </c>
      <c r="EB27" s="2">
        <v>4</v>
      </c>
      <c r="EC27" s="2">
        <v>4</v>
      </c>
      <c r="ED27" s="2">
        <v>2</v>
      </c>
      <c r="EE27" s="2">
        <v>4</v>
      </c>
      <c r="EF27" s="2">
        <v>4</v>
      </c>
      <c r="EG27" s="2">
        <v>2</v>
      </c>
      <c r="EH27" s="2">
        <v>2</v>
      </c>
      <c r="EI27" s="2">
        <v>1</v>
      </c>
      <c r="EJ27" s="2">
        <v>2</v>
      </c>
      <c r="EK27" s="2">
        <v>4</v>
      </c>
      <c r="EL27" s="2">
        <v>4</v>
      </c>
      <c r="EM27" s="2">
        <v>2</v>
      </c>
      <c r="EN27" s="2">
        <v>3</v>
      </c>
      <c r="EO27" s="2">
        <v>2</v>
      </c>
      <c r="EP27" s="2">
        <v>2</v>
      </c>
      <c r="EQ27" s="2">
        <v>2</v>
      </c>
      <c r="ER27" s="2">
        <v>1</v>
      </c>
      <c r="ES27" s="2">
        <v>1</v>
      </c>
      <c r="ET27" s="2">
        <v>1</v>
      </c>
      <c r="EU27" s="2">
        <v>2</v>
      </c>
      <c r="EV27" s="2">
        <v>2</v>
      </c>
      <c r="EW27" s="2">
        <v>4</v>
      </c>
      <c r="EX27" s="2">
        <v>4</v>
      </c>
      <c r="EY27" s="2">
        <v>2</v>
      </c>
      <c r="EZ27" s="2">
        <v>2</v>
      </c>
      <c r="FA27" s="2">
        <v>4</v>
      </c>
      <c r="FB27" s="2">
        <v>0</v>
      </c>
      <c r="FC27" s="2">
        <v>4</v>
      </c>
      <c r="FD27" s="2">
        <v>4</v>
      </c>
      <c r="FE27" s="2">
        <v>4</v>
      </c>
      <c r="FF27" s="2">
        <v>2</v>
      </c>
      <c r="FG27" s="2">
        <v>2</v>
      </c>
      <c r="FH27" s="2">
        <v>0</v>
      </c>
      <c r="FI27" s="2">
        <v>2</v>
      </c>
      <c r="FJ27" s="2">
        <v>4</v>
      </c>
      <c r="FK27" s="2">
        <v>4</v>
      </c>
      <c r="FL27" s="2">
        <v>4</v>
      </c>
      <c r="FM27" s="2">
        <v>4</v>
      </c>
      <c r="FN27" s="2">
        <v>2</v>
      </c>
      <c r="FO27" s="2">
        <v>0</v>
      </c>
      <c r="FP27" s="2">
        <v>0</v>
      </c>
      <c r="FQ27" s="2">
        <v>4</v>
      </c>
      <c r="FR27" s="2">
        <v>2</v>
      </c>
      <c r="FS27" s="2">
        <v>2</v>
      </c>
      <c r="FT27" s="2">
        <v>2</v>
      </c>
      <c r="FU27" s="2">
        <v>2</v>
      </c>
      <c r="FV27" s="2">
        <v>0</v>
      </c>
      <c r="FW27" s="2">
        <v>1</v>
      </c>
      <c r="FX27" s="2">
        <v>1</v>
      </c>
      <c r="FY27" s="2">
        <v>1</v>
      </c>
      <c r="FZ27" s="2">
        <v>4</v>
      </c>
      <c r="GA27" s="2">
        <v>0</v>
      </c>
      <c r="GB27" s="2">
        <v>0</v>
      </c>
      <c r="GC27" s="2" t="s">
        <v>400</v>
      </c>
      <c r="GD27" s="2">
        <v>4</v>
      </c>
      <c r="GE27" s="2">
        <v>4</v>
      </c>
      <c r="GF27" s="2">
        <v>4</v>
      </c>
      <c r="GG27" s="2">
        <v>4</v>
      </c>
      <c r="GH27" s="2">
        <v>0</v>
      </c>
      <c r="GI27" s="2">
        <v>4</v>
      </c>
      <c r="GJ27" s="2">
        <v>4</v>
      </c>
      <c r="GK27" s="2">
        <v>2</v>
      </c>
      <c r="GL27" s="2">
        <v>2</v>
      </c>
      <c r="GM27" s="2">
        <v>2</v>
      </c>
      <c r="GN27" s="3">
        <v>2</v>
      </c>
      <c r="GO27" s="3">
        <v>2</v>
      </c>
      <c r="GP27" s="3">
        <v>4</v>
      </c>
      <c r="GQ27" s="3">
        <v>4</v>
      </c>
      <c r="GR27" s="3">
        <v>4</v>
      </c>
      <c r="GS27" s="3">
        <v>1</v>
      </c>
      <c r="GT27" s="3">
        <v>3</v>
      </c>
      <c r="GU27" s="3">
        <v>1</v>
      </c>
      <c r="GV27" s="3">
        <v>1</v>
      </c>
      <c r="GW27" s="3">
        <v>1</v>
      </c>
      <c r="GX27" s="3">
        <v>3</v>
      </c>
      <c r="GY27" s="3">
        <v>4</v>
      </c>
      <c r="GZ27" s="3">
        <v>4</v>
      </c>
      <c r="HA27" s="3">
        <v>4</v>
      </c>
      <c r="HB27" s="3">
        <v>2</v>
      </c>
      <c r="HC27" s="3">
        <v>4</v>
      </c>
      <c r="HD27" s="3">
        <v>4</v>
      </c>
      <c r="HE27" s="3">
        <v>3</v>
      </c>
      <c r="HF27" s="3">
        <v>0</v>
      </c>
      <c r="HG27" s="3">
        <v>4</v>
      </c>
      <c r="HH27" s="3">
        <v>2</v>
      </c>
      <c r="HI27" s="3">
        <v>1</v>
      </c>
      <c r="HJ27" s="3">
        <v>2</v>
      </c>
      <c r="HK27" s="3">
        <v>2</v>
      </c>
      <c r="HL27" s="3">
        <v>4</v>
      </c>
      <c r="HM27" s="3">
        <v>4</v>
      </c>
      <c r="HN27" s="3">
        <v>3</v>
      </c>
      <c r="HO27" s="3">
        <v>2</v>
      </c>
      <c r="HP27" s="3">
        <v>2</v>
      </c>
      <c r="HQ27" s="3">
        <v>2</v>
      </c>
      <c r="HR27" s="3">
        <v>0</v>
      </c>
      <c r="HS27" s="3">
        <v>4</v>
      </c>
      <c r="HT27" s="3">
        <v>0</v>
      </c>
      <c r="HU27" s="3">
        <v>0</v>
      </c>
      <c r="HV27" s="3">
        <v>4</v>
      </c>
      <c r="HW27" s="3">
        <v>2</v>
      </c>
      <c r="HX27" s="3">
        <v>2</v>
      </c>
      <c r="HY27" s="3">
        <v>1</v>
      </c>
      <c r="HZ27" s="3">
        <v>2</v>
      </c>
      <c r="IA27" s="3">
        <v>2</v>
      </c>
      <c r="IB27" s="3">
        <v>2</v>
      </c>
      <c r="IC27" s="3">
        <v>4</v>
      </c>
      <c r="ID27" s="3">
        <v>4</v>
      </c>
      <c r="IE27" s="3">
        <v>4</v>
      </c>
      <c r="IF27" s="3">
        <v>0</v>
      </c>
      <c r="IG27" s="3">
        <v>4</v>
      </c>
      <c r="IH27" s="3">
        <v>0</v>
      </c>
      <c r="II27" s="3">
        <v>0</v>
      </c>
      <c r="IJ27" s="3">
        <v>0</v>
      </c>
      <c r="IK27" s="3">
        <v>4</v>
      </c>
      <c r="IL27" s="3">
        <v>4</v>
      </c>
      <c r="IM27" s="3">
        <v>2</v>
      </c>
      <c r="IN27" s="3">
        <v>2</v>
      </c>
      <c r="IO27" s="3">
        <v>4</v>
      </c>
      <c r="IP27" s="3">
        <v>2</v>
      </c>
      <c r="IQ27" s="3">
        <v>0</v>
      </c>
      <c r="IR27" s="3" t="s">
        <v>401</v>
      </c>
      <c r="IS27" s="3">
        <v>0</v>
      </c>
      <c r="IT27" s="3">
        <v>4</v>
      </c>
      <c r="IU27" s="3">
        <v>4</v>
      </c>
      <c r="IV27" s="3">
        <v>0</v>
      </c>
      <c r="IW27" s="3">
        <v>4</v>
      </c>
      <c r="IX27" s="3">
        <v>2</v>
      </c>
      <c r="IY27" s="3">
        <v>4</v>
      </c>
      <c r="IZ27" s="2" t="s">
        <v>268</v>
      </c>
      <c r="JA27" s="2"/>
    </row>
    <row r="28" spans="1:261" ht="13.2" x14ac:dyDescent="0.25">
      <c r="A28" s="10">
        <v>28</v>
      </c>
      <c r="B28" s="2" t="s">
        <v>402</v>
      </c>
      <c r="C28" s="2" t="s">
        <v>276</v>
      </c>
      <c r="D28" s="2" t="s">
        <v>262</v>
      </c>
      <c r="E28" s="2">
        <v>59</v>
      </c>
      <c r="F28" s="11" t="s">
        <v>403</v>
      </c>
      <c r="G28" s="11" t="s">
        <v>404</v>
      </c>
      <c r="H28" s="2" t="s">
        <v>306</v>
      </c>
      <c r="I28" s="3">
        <v>0</v>
      </c>
      <c r="J28" s="3">
        <v>1</v>
      </c>
      <c r="K28" s="3">
        <v>2</v>
      </c>
      <c r="L28" s="3">
        <v>1</v>
      </c>
      <c r="M28" s="3">
        <v>1</v>
      </c>
      <c r="N28" s="3">
        <v>3</v>
      </c>
      <c r="O28" s="3">
        <v>2</v>
      </c>
      <c r="P28" s="3">
        <v>0</v>
      </c>
      <c r="Q28" s="3">
        <v>0</v>
      </c>
      <c r="R28" s="3">
        <v>4</v>
      </c>
      <c r="S28" s="3">
        <v>2</v>
      </c>
      <c r="T28" s="3">
        <v>0</v>
      </c>
      <c r="U28" s="3">
        <v>2</v>
      </c>
      <c r="V28" s="3">
        <v>0</v>
      </c>
      <c r="W28" s="3">
        <v>1</v>
      </c>
      <c r="X28" s="3">
        <v>2</v>
      </c>
      <c r="Y28" s="3">
        <v>0</v>
      </c>
      <c r="Z28" s="3">
        <v>2</v>
      </c>
      <c r="AA28" s="3">
        <v>2</v>
      </c>
      <c r="AB28" s="3">
        <v>1</v>
      </c>
      <c r="AC28" s="3">
        <v>2</v>
      </c>
      <c r="AD28" s="3">
        <v>1</v>
      </c>
      <c r="AE28" s="3">
        <v>2</v>
      </c>
      <c r="AF28" s="3">
        <v>2</v>
      </c>
      <c r="AG28" s="3">
        <v>3</v>
      </c>
      <c r="AH28" s="3">
        <v>2</v>
      </c>
      <c r="AI28" s="3">
        <v>1</v>
      </c>
      <c r="AJ28" s="3">
        <v>1</v>
      </c>
      <c r="AK28" s="3">
        <v>2</v>
      </c>
      <c r="AL28" s="3">
        <v>1</v>
      </c>
      <c r="AM28" s="3">
        <v>4</v>
      </c>
      <c r="AN28" s="3">
        <v>2</v>
      </c>
      <c r="AO28" s="3">
        <v>2</v>
      </c>
      <c r="AP28" s="3">
        <v>3</v>
      </c>
      <c r="AQ28" s="3">
        <v>2</v>
      </c>
      <c r="AR28" s="3">
        <v>1</v>
      </c>
      <c r="AS28" s="3">
        <v>2</v>
      </c>
      <c r="AT28" s="3">
        <v>2</v>
      </c>
      <c r="AU28" s="3">
        <v>1</v>
      </c>
      <c r="AV28" s="3">
        <v>0</v>
      </c>
      <c r="AW28" s="3">
        <v>2</v>
      </c>
      <c r="AX28" s="3">
        <v>2</v>
      </c>
      <c r="AY28" s="3">
        <v>2</v>
      </c>
      <c r="AZ28" s="3">
        <v>3</v>
      </c>
      <c r="BA28" s="3">
        <v>1</v>
      </c>
      <c r="BB28" s="3">
        <v>3</v>
      </c>
      <c r="BC28" s="3">
        <v>2</v>
      </c>
      <c r="BD28" s="3">
        <v>3</v>
      </c>
      <c r="BE28" s="3">
        <v>0</v>
      </c>
      <c r="BF28" s="3">
        <v>0</v>
      </c>
      <c r="BG28" s="3">
        <v>0</v>
      </c>
      <c r="BH28" s="3">
        <v>0</v>
      </c>
      <c r="BI28" s="3">
        <v>0</v>
      </c>
      <c r="BJ28" s="3">
        <v>2</v>
      </c>
      <c r="BK28" s="3">
        <v>1</v>
      </c>
      <c r="BL28" s="3">
        <v>0</v>
      </c>
      <c r="BM28" s="3" t="s">
        <v>274</v>
      </c>
      <c r="BN28" s="3">
        <v>1</v>
      </c>
      <c r="BO28" s="3">
        <v>2</v>
      </c>
      <c r="BP28" s="3">
        <v>1</v>
      </c>
      <c r="BQ28" s="3">
        <v>2</v>
      </c>
      <c r="BR28" s="3">
        <v>3</v>
      </c>
      <c r="BS28" s="3">
        <v>2</v>
      </c>
      <c r="BT28" s="3">
        <v>1</v>
      </c>
      <c r="BU28" s="2">
        <v>2</v>
      </c>
      <c r="BV28" s="2">
        <v>0</v>
      </c>
      <c r="BW28" s="2">
        <v>2</v>
      </c>
      <c r="BX28" s="2">
        <v>0</v>
      </c>
      <c r="BY28" s="2">
        <v>0</v>
      </c>
      <c r="BZ28" s="2">
        <v>2</v>
      </c>
      <c r="CA28" s="2">
        <v>2</v>
      </c>
      <c r="CB28" s="2">
        <v>2</v>
      </c>
      <c r="CC28" s="2">
        <v>1</v>
      </c>
      <c r="CD28" s="2">
        <v>2</v>
      </c>
      <c r="CE28" s="2">
        <v>0</v>
      </c>
      <c r="CF28" s="2">
        <v>2</v>
      </c>
      <c r="CG28" s="2">
        <v>2</v>
      </c>
      <c r="CH28" s="2">
        <v>1</v>
      </c>
      <c r="CI28" s="2">
        <v>0</v>
      </c>
      <c r="CJ28" s="2">
        <v>0</v>
      </c>
      <c r="CK28" s="2">
        <v>0</v>
      </c>
      <c r="CL28" s="2">
        <v>1</v>
      </c>
      <c r="CM28" s="2">
        <v>0</v>
      </c>
      <c r="CN28" s="2">
        <v>0</v>
      </c>
      <c r="CO28" s="2">
        <v>0</v>
      </c>
      <c r="CP28" s="2">
        <v>0</v>
      </c>
      <c r="CQ28" s="2">
        <v>1</v>
      </c>
      <c r="CR28" s="2">
        <v>0</v>
      </c>
      <c r="CS28" s="2">
        <v>0</v>
      </c>
      <c r="CT28" s="2">
        <v>0</v>
      </c>
      <c r="CU28" s="2">
        <v>1</v>
      </c>
      <c r="CV28" s="2">
        <v>2</v>
      </c>
      <c r="CW28" s="2">
        <v>2</v>
      </c>
      <c r="CX28" s="2">
        <v>1</v>
      </c>
      <c r="CY28" s="2">
        <v>0</v>
      </c>
      <c r="CZ28" s="2">
        <v>0</v>
      </c>
      <c r="DA28" s="2">
        <v>0</v>
      </c>
      <c r="DB28" s="2">
        <v>0</v>
      </c>
      <c r="DC28" s="2">
        <v>0</v>
      </c>
      <c r="DD28" s="2">
        <v>0</v>
      </c>
      <c r="DE28" s="2">
        <v>2</v>
      </c>
      <c r="DF28" s="2">
        <v>2</v>
      </c>
      <c r="DG28" s="2">
        <v>1</v>
      </c>
      <c r="DH28" s="2">
        <v>2</v>
      </c>
      <c r="DI28" s="2">
        <v>2</v>
      </c>
      <c r="DJ28" s="2">
        <v>0</v>
      </c>
      <c r="DK28" s="2">
        <v>2</v>
      </c>
      <c r="DL28" s="2">
        <v>1</v>
      </c>
      <c r="DM28" s="2">
        <v>0</v>
      </c>
      <c r="DN28" s="2">
        <v>0</v>
      </c>
      <c r="DO28" s="2">
        <v>0</v>
      </c>
      <c r="DP28" s="2">
        <v>2</v>
      </c>
      <c r="DQ28" s="2">
        <v>1</v>
      </c>
      <c r="DR28" s="2">
        <v>0</v>
      </c>
      <c r="DS28" s="2">
        <v>2</v>
      </c>
      <c r="DT28" s="2">
        <v>0</v>
      </c>
      <c r="DU28" s="2">
        <v>0</v>
      </c>
      <c r="DV28" s="2">
        <v>2</v>
      </c>
      <c r="DW28" s="2">
        <v>1</v>
      </c>
      <c r="DX28" s="2">
        <v>2</v>
      </c>
      <c r="DY28" s="2">
        <v>1</v>
      </c>
      <c r="DZ28" s="2">
        <v>2</v>
      </c>
      <c r="EA28" s="2">
        <v>2</v>
      </c>
      <c r="EB28" s="2">
        <v>0</v>
      </c>
      <c r="EC28" s="2">
        <v>0</v>
      </c>
      <c r="ED28" s="2">
        <v>0</v>
      </c>
      <c r="EE28" s="2">
        <v>0</v>
      </c>
      <c r="EF28" s="2">
        <v>0</v>
      </c>
      <c r="EG28" s="2">
        <v>0</v>
      </c>
      <c r="EH28" s="2">
        <v>0</v>
      </c>
      <c r="EI28" s="2">
        <v>2</v>
      </c>
      <c r="EJ28" s="2">
        <v>2</v>
      </c>
      <c r="EK28" s="2">
        <v>0</v>
      </c>
      <c r="EL28" s="2">
        <v>1</v>
      </c>
      <c r="EM28" s="2">
        <v>1</v>
      </c>
      <c r="EN28" s="2">
        <v>0</v>
      </c>
      <c r="EO28" s="2">
        <v>2</v>
      </c>
      <c r="EP28" s="2">
        <v>2</v>
      </c>
      <c r="EQ28" s="2">
        <v>1</v>
      </c>
      <c r="ER28" s="2">
        <v>0</v>
      </c>
      <c r="ES28" s="2">
        <v>2</v>
      </c>
      <c r="ET28" s="2">
        <v>0</v>
      </c>
      <c r="EU28" s="2">
        <v>2</v>
      </c>
      <c r="EV28" s="2">
        <v>2</v>
      </c>
      <c r="EW28" s="2">
        <v>1</v>
      </c>
      <c r="EX28" s="2">
        <v>2</v>
      </c>
      <c r="EY28" s="2">
        <v>1</v>
      </c>
      <c r="EZ28" s="2">
        <v>2</v>
      </c>
      <c r="FA28" s="2">
        <v>2</v>
      </c>
      <c r="FB28" s="2">
        <v>1</v>
      </c>
      <c r="FC28" s="2">
        <v>1</v>
      </c>
      <c r="FD28" s="2">
        <v>2</v>
      </c>
      <c r="FE28" s="2">
        <v>1</v>
      </c>
      <c r="FF28" s="2">
        <v>2</v>
      </c>
      <c r="FG28" s="2">
        <v>1</v>
      </c>
      <c r="FH28" s="2">
        <v>0</v>
      </c>
      <c r="FI28" s="2">
        <v>0</v>
      </c>
      <c r="FJ28" s="2">
        <v>0</v>
      </c>
      <c r="FK28" s="2">
        <v>3</v>
      </c>
      <c r="FL28" s="2">
        <v>2</v>
      </c>
      <c r="FM28" s="2">
        <v>2</v>
      </c>
      <c r="FN28" s="2">
        <v>1</v>
      </c>
      <c r="FO28" s="2">
        <v>0</v>
      </c>
      <c r="FP28" s="2">
        <v>0</v>
      </c>
      <c r="FQ28" s="2">
        <v>3</v>
      </c>
      <c r="FR28" s="2">
        <v>3</v>
      </c>
      <c r="FS28" s="2">
        <v>2</v>
      </c>
      <c r="FT28" s="2">
        <v>2</v>
      </c>
      <c r="FU28" s="2">
        <v>0</v>
      </c>
      <c r="FV28" s="2">
        <v>0</v>
      </c>
      <c r="FW28" s="2">
        <v>0</v>
      </c>
      <c r="FX28" s="2">
        <v>0</v>
      </c>
      <c r="FY28" s="2">
        <v>0</v>
      </c>
      <c r="FZ28" s="2">
        <v>0</v>
      </c>
      <c r="GA28" s="2">
        <v>0</v>
      </c>
      <c r="GB28" s="2">
        <v>0</v>
      </c>
      <c r="GC28" s="2" t="s">
        <v>274</v>
      </c>
      <c r="GD28" s="2">
        <v>2</v>
      </c>
      <c r="GE28" s="2">
        <v>3</v>
      </c>
      <c r="GF28" s="2">
        <v>0</v>
      </c>
      <c r="GG28" s="2">
        <v>2</v>
      </c>
      <c r="GH28" s="2">
        <v>2</v>
      </c>
      <c r="GI28" s="2">
        <v>2</v>
      </c>
      <c r="GJ28" s="2">
        <v>2</v>
      </c>
      <c r="GK28" s="2">
        <v>0</v>
      </c>
      <c r="GL28" s="2">
        <v>2</v>
      </c>
      <c r="GM28" s="2">
        <v>2</v>
      </c>
      <c r="GN28" s="3">
        <v>2</v>
      </c>
      <c r="GO28" s="3">
        <v>0</v>
      </c>
      <c r="GP28" s="3">
        <v>0</v>
      </c>
      <c r="GQ28" s="3">
        <v>2</v>
      </c>
      <c r="GR28" s="3">
        <v>0</v>
      </c>
      <c r="GS28" s="3">
        <v>1</v>
      </c>
      <c r="GT28" s="3">
        <v>1</v>
      </c>
      <c r="GU28" s="3">
        <v>0</v>
      </c>
      <c r="GV28" s="3">
        <v>2</v>
      </c>
      <c r="GW28" s="3">
        <v>0</v>
      </c>
      <c r="GX28" s="3">
        <v>2</v>
      </c>
      <c r="GY28" s="3">
        <v>0</v>
      </c>
      <c r="GZ28" s="3">
        <v>0</v>
      </c>
      <c r="HA28" s="3">
        <v>1</v>
      </c>
      <c r="HB28" s="3">
        <v>0</v>
      </c>
      <c r="HC28" s="3">
        <v>0</v>
      </c>
      <c r="HD28" s="3">
        <v>0</v>
      </c>
      <c r="HE28" s="3">
        <v>0</v>
      </c>
      <c r="HF28" s="3">
        <v>0</v>
      </c>
      <c r="HG28" s="3">
        <v>0</v>
      </c>
      <c r="HH28" s="3">
        <v>2</v>
      </c>
      <c r="HI28" s="3">
        <v>0</v>
      </c>
      <c r="HJ28" s="3">
        <v>2</v>
      </c>
      <c r="HK28" s="3">
        <v>2</v>
      </c>
      <c r="HL28" s="3">
        <v>0</v>
      </c>
      <c r="HM28" s="3">
        <v>0</v>
      </c>
      <c r="HN28" s="3">
        <v>0</v>
      </c>
      <c r="HO28" s="3">
        <v>2</v>
      </c>
      <c r="HP28" s="3">
        <v>0</v>
      </c>
      <c r="HQ28" s="3">
        <v>2</v>
      </c>
      <c r="HR28" s="3">
        <v>0</v>
      </c>
      <c r="HS28" s="3">
        <v>0</v>
      </c>
      <c r="HT28" s="3">
        <v>0</v>
      </c>
      <c r="HU28" s="3">
        <v>0</v>
      </c>
      <c r="HV28" s="3">
        <v>1</v>
      </c>
      <c r="HW28" s="3">
        <v>0</v>
      </c>
      <c r="HX28" s="3">
        <v>2</v>
      </c>
      <c r="HY28" s="3">
        <v>0</v>
      </c>
      <c r="HZ28" s="3">
        <v>0</v>
      </c>
      <c r="IA28" s="3">
        <v>2</v>
      </c>
      <c r="IB28" s="3">
        <v>0</v>
      </c>
      <c r="IC28" s="3">
        <v>2</v>
      </c>
      <c r="ID28" s="3">
        <v>2</v>
      </c>
      <c r="IE28" s="3">
        <v>0</v>
      </c>
      <c r="IF28" s="3">
        <v>2</v>
      </c>
      <c r="IG28" s="3">
        <v>0</v>
      </c>
      <c r="IH28" s="3">
        <v>0</v>
      </c>
      <c r="II28" s="3">
        <v>0</v>
      </c>
      <c r="IJ28" s="3">
        <v>0</v>
      </c>
      <c r="IK28" s="3">
        <v>0</v>
      </c>
      <c r="IL28" s="3">
        <v>0</v>
      </c>
      <c r="IM28" s="3">
        <v>2</v>
      </c>
      <c r="IN28" s="3">
        <v>0</v>
      </c>
      <c r="IO28" s="3">
        <v>2</v>
      </c>
      <c r="IP28" s="3">
        <v>1</v>
      </c>
      <c r="IQ28" s="3">
        <v>0</v>
      </c>
      <c r="IR28" s="3" t="s">
        <v>274</v>
      </c>
      <c r="IS28" s="3">
        <v>2</v>
      </c>
      <c r="IT28" s="3">
        <v>2</v>
      </c>
      <c r="IU28" s="3">
        <v>0</v>
      </c>
      <c r="IV28" s="3">
        <v>2</v>
      </c>
      <c r="IW28" s="3">
        <v>1</v>
      </c>
      <c r="IX28" s="3">
        <v>1</v>
      </c>
      <c r="IY28" s="3">
        <v>0</v>
      </c>
      <c r="IZ28" s="2" t="s">
        <v>268</v>
      </c>
      <c r="JA28" s="2"/>
    </row>
    <row r="29" spans="1:261" ht="13.2" x14ac:dyDescent="0.25">
      <c r="A29" s="10">
        <v>29</v>
      </c>
      <c r="B29" s="2" t="s">
        <v>405</v>
      </c>
      <c r="C29" s="2" t="s">
        <v>261</v>
      </c>
      <c r="D29" s="2" t="s">
        <v>325</v>
      </c>
      <c r="E29" s="2">
        <v>45</v>
      </c>
      <c r="F29" s="11" t="s">
        <v>406</v>
      </c>
      <c r="G29" s="11" t="s">
        <v>407</v>
      </c>
      <c r="H29" s="2" t="s">
        <v>408</v>
      </c>
      <c r="I29" s="3">
        <v>1</v>
      </c>
      <c r="J29" s="3">
        <v>0</v>
      </c>
      <c r="K29" s="3">
        <v>0</v>
      </c>
      <c r="L29" s="3">
        <v>0</v>
      </c>
      <c r="M29" s="3">
        <v>0</v>
      </c>
      <c r="N29" s="3">
        <v>0</v>
      </c>
      <c r="O29" s="3">
        <v>1</v>
      </c>
      <c r="P29" s="3">
        <v>0</v>
      </c>
      <c r="Q29" s="3">
        <v>0</v>
      </c>
      <c r="R29" s="3">
        <v>0</v>
      </c>
      <c r="S29" s="3">
        <v>0</v>
      </c>
      <c r="T29" s="3">
        <v>0</v>
      </c>
      <c r="U29" s="3">
        <v>0</v>
      </c>
      <c r="V29" s="3">
        <v>0</v>
      </c>
      <c r="W29" s="3">
        <v>0</v>
      </c>
      <c r="X29" s="3">
        <v>0</v>
      </c>
      <c r="Y29" s="3">
        <v>0</v>
      </c>
      <c r="Z29" s="3">
        <v>0</v>
      </c>
      <c r="AA29" s="3">
        <v>0</v>
      </c>
      <c r="AB29" s="3">
        <v>0</v>
      </c>
      <c r="AC29" s="3">
        <v>0</v>
      </c>
      <c r="AD29" s="3">
        <v>0</v>
      </c>
      <c r="AE29" s="3">
        <v>0</v>
      </c>
      <c r="AF29" s="3">
        <v>0</v>
      </c>
      <c r="AG29" s="3">
        <v>0</v>
      </c>
      <c r="AH29" s="3">
        <v>1</v>
      </c>
      <c r="AI29" s="3">
        <v>0</v>
      </c>
      <c r="AJ29" s="3">
        <v>1</v>
      </c>
      <c r="AK29" s="3">
        <v>0</v>
      </c>
      <c r="AL29" s="3">
        <v>0</v>
      </c>
      <c r="AM29" s="3">
        <v>0</v>
      </c>
      <c r="AN29" s="3">
        <v>0</v>
      </c>
      <c r="AO29" s="3">
        <v>0</v>
      </c>
      <c r="AP29" s="3">
        <v>0</v>
      </c>
      <c r="AQ29" s="3">
        <v>0</v>
      </c>
      <c r="AR29" s="3">
        <v>0</v>
      </c>
      <c r="AS29" s="3">
        <v>0</v>
      </c>
      <c r="AT29" s="3">
        <v>0</v>
      </c>
      <c r="AU29" s="3">
        <v>0</v>
      </c>
      <c r="AV29" s="3">
        <v>0</v>
      </c>
      <c r="AW29" s="3">
        <v>0</v>
      </c>
      <c r="AX29" s="3">
        <v>0</v>
      </c>
      <c r="AY29" s="3">
        <v>0</v>
      </c>
      <c r="AZ29" s="3">
        <v>0</v>
      </c>
      <c r="BA29" s="3">
        <v>0</v>
      </c>
      <c r="BB29" s="3">
        <v>1</v>
      </c>
      <c r="BC29" s="3">
        <v>0</v>
      </c>
      <c r="BD29" s="3">
        <v>0</v>
      </c>
      <c r="BE29" s="3">
        <v>0</v>
      </c>
      <c r="BF29" s="3">
        <v>0</v>
      </c>
      <c r="BG29" s="3">
        <v>0</v>
      </c>
      <c r="BH29" s="3">
        <v>0</v>
      </c>
      <c r="BI29" s="3">
        <v>0</v>
      </c>
      <c r="BJ29" s="3">
        <v>1</v>
      </c>
      <c r="BK29" s="3">
        <v>0</v>
      </c>
      <c r="BL29" s="3">
        <v>0</v>
      </c>
      <c r="BM29" s="3" t="s">
        <v>409</v>
      </c>
      <c r="BN29" s="3">
        <v>1</v>
      </c>
      <c r="BO29" s="3">
        <v>0</v>
      </c>
      <c r="BP29" s="3">
        <v>0</v>
      </c>
      <c r="BQ29" s="3">
        <v>0</v>
      </c>
      <c r="BR29" s="3">
        <v>0</v>
      </c>
      <c r="BS29" s="3">
        <v>0</v>
      </c>
      <c r="BT29" s="3">
        <v>0</v>
      </c>
      <c r="BU29" s="2">
        <v>0</v>
      </c>
      <c r="BV29" s="2">
        <v>0</v>
      </c>
      <c r="BW29" s="2">
        <v>0</v>
      </c>
      <c r="BX29" s="2">
        <v>0</v>
      </c>
      <c r="BY29" s="2">
        <v>0</v>
      </c>
      <c r="BZ29" s="2">
        <v>0</v>
      </c>
      <c r="CA29" s="2">
        <v>1</v>
      </c>
      <c r="CB29" s="2">
        <v>0</v>
      </c>
      <c r="CC29" s="2">
        <v>1</v>
      </c>
      <c r="CD29" s="2">
        <v>0</v>
      </c>
      <c r="CE29" s="2">
        <v>0</v>
      </c>
      <c r="CF29" s="2">
        <v>0</v>
      </c>
      <c r="CG29" s="2">
        <v>0</v>
      </c>
      <c r="CH29" s="2">
        <v>0</v>
      </c>
      <c r="CI29" s="2">
        <v>0</v>
      </c>
      <c r="CJ29" s="2">
        <v>0</v>
      </c>
      <c r="CK29" s="2">
        <v>2</v>
      </c>
      <c r="CL29" s="2">
        <v>0</v>
      </c>
      <c r="CM29" s="2">
        <v>0</v>
      </c>
      <c r="CN29" s="2">
        <v>0</v>
      </c>
      <c r="CO29" s="2">
        <v>0</v>
      </c>
      <c r="CP29" s="2">
        <v>0</v>
      </c>
      <c r="CQ29" s="2">
        <v>0</v>
      </c>
      <c r="CR29" s="2">
        <v>0</v>
      </c>
      <c r="CS29" s="2">
        <v>0</v>
      </c>
      <c r="CT29" s="2">
        <v>0</v>
      </c>
      <c r="CU29" s="2">
        <v>0</v>
      </c>
      <c r="CV29" s="2">
        <v>0</v>
      </c>
      <c r="CW29" s="2">
        <v>0</v>
      </c>
      <c r="CX29" s="2">
        <v>2</v>
      </c>
      <c r="CY29" s="2">
        <v>0</v>
      </c>
      <c r="CZ29" s="2">
        <v>0</v>
      </c>
      <c r="DA29" s="2">
        <v>0</v>
      </c>
      <c r="DB29" s="2">
        <v>0</v>
      </c>
      <c r="DC29" s="2">
        <v>0</v>
      </c>
      <c r="DD29" s="2">
        <v>0</v>
      </c>
      <c r="DE29" s="2">
        <v>0</v>
      </c>
      <c r="DF29" s="2">
        <v>0</v>
      </c>
      <c r="DG29" s="2">
        <v>0</v>
      </c>
      <c r="DH29" s="2">
        <v>0</v>
      </c>
      <c r="DI29" s="2">
        <v>1</v>
      </c>
      <c r="DJ29" s="2">
        <v>0</v>
      </c>
      <c r="DK29" s="2">
        <v>0</v>
      </c>
      <c r="DL29" s="2">
        <v>2</v>
      </c>
      <c r="DM29" s="2">
        <v>0</v>
      </c>
      <c r="DN29" s="2">
        <v>0</v>
      </c>
      <c r="DO29" s="2">
        <v>0</v>
      </c>
      <c r="DP29" s="2">
        <v>0</v>
      </c>
      <c r="DQ29" s="2">
        <v>0</v>
      </c>
      <c r="DR29" s="2">
        <v>0</v>
      </c>
      <c r="DS29" s="2">
        <v>0</v>
      </c>
      <c r="DT29" s="2">
        <v>0</v>
      </c>
      <c r="DU29" s="2">
        <v>0</v>
      </c>
      <c r="DV29" s="2">
        <v>0</v>
      </c>
      <c r="DW29" s="2">
        <v>1</v>
      </c>
      <c r="DX29" s="2">
        <v>0</v>
      </c>
      <c r="DY29" s="2">
        <v>0</v>
      </c>
      <c r="DZ29" s="2">
        <v>0</v>
      </c>
      <c r="EA29" s="2">
        <v>0</v>
      </c>
      <c r="EB29" s="2">
        <v>0</v>
      </c>
      <c r="EC29" s="2">
        <v>0</v>
      </c>
      <c r="ED29" s="2">
        <v>0</v>
      </c>
      <c r="EE29" s="2">
        <v>0</v>
      </c>
      <c r="EF29" s="2">
        <v>0</v>
      </c>
      <c r="EG29" s="2">
        <v>0</v>
      </c>
      <c r="EH29" s="2">
        <v>0</v>
      </c>
      <c r="EI29" s="2">
        <v>2</v>
      </c>
      <c r="EJ29" s="2">
        <v>0</v>
      </c>
      <c r="EK29" s="2">
        <v>0</v>
      </c>
      <c r="EL29" s="2">
        <v>0</v>
      </c>
      <c r="EM29" s="2">
        <v>1</v>
      </c>
      <c r="EN29" s="2">
        <v>0</v>
      </c>
      <c r="EO29" s="2">
        <v>0</v>
      </c>
      <c r="EP29" s="2">
        <v>2</v>
      </c>
      <c r="EQ29" s="2">
        <v>0</v>
      </c>
      <c r="ER29" s="2">
        <v>0</v>
      </c>
      <c r="ES29" s="2">
        <v>0</v>
      </c>
      <c r="ET29" s="2">
        <v>0</v>
      </c>
      <c r="EU29" s="2">
        <v>0</v>
      </c>
      <c r="EV29" s="2">
        <v>0</v>
      </c>
      <c r="EW29" s="2">
        <v>0</v>
      </c>
      <c r="EX29" s="2">
        <v>0</v>
      </c>
      <c r="EY29" s="2">
        <v>0</v>
      </c>
      <c r="EZ29" s="2">
        <v>2</v>
      </c>
      <c r="FA29" s="2">
        <v>2</v>
      </c>
      <c r="FB29" s="2">
        <v>0</v>
      </c>
      <c r="FC29" s="2">
        <v>0</v>
      </c>
      <c r="FD29" s="2">
        <v>0</v>
      </c>
      <c r="FE29" s="2">
        <v>0</v>
      </c>
      <c r="FF29" s="2">
        <v>0</v>
      </c>
      <c r="FG29" s="2">
        <v>0</v>
      </c>
      <c r="FH29" s="2">
        <v>0</v>
      </c>
      <c r="FI29" s="2">
        <v>0</v>
      </c>
      <c r="FJ29" s="2">
        <v>0</v>
      </c>
      <c r="FK29" s="2">
        <v>0</v>
      </c>
      <c r="FL29" s="2">
        <v>0</v>
      </c>
      <c r="FM29" s="2">
        <v>0</v>
      </c>
      <c r="FN29" s="2">
        <v>0</v>
      </c>
      <c r="FO29" s="2">
        <v>0</v>
      </c>
      <c r="FP29" s="2">
        <v>0</v>
      </c>
      <c r="FQ29" s="2">
        <v>0</v>
      </c>
      <c r="FR29" s="2">
        <v>0</v>
      </c>
      <c r="FS29" s="2">
        <v>0</v>
      </c>
      <c r="FT29" s="2">
        <v>0</v>
      </c>
      <c r="FU29" s="2">
        <v>0</v>
      </c>
      <c r="FV29" s="2">
        <v>0</v>
      </c>
      <c r="FW29" s="2">
        <v>2</v>
      </c>
      <c r="FX29" s="2">
        <v>0</v>
      </c>
      <c r="FY29" s="2">
        <v>0</v>
      </c>
      <c r="FZ29" s="2">
        <v>0</v>
      </c>
      <c r="GA29" s="2">
        <v>0</v>
      </c>
      <c r="GB29" s="2">
        <v>0</v>
      </c>
      <c r="GC29" s="2" t="s">
        <v>274</v>
      </c>
      <c r="GD29" s="2">
        <v>0</v>
      </c>
      <c r="GE29" s="2">
        <v>0</v>
      </c>
      <c r="GF29" s="2">
        <v>0</v>
      </c>
      <c r="GG29" s="2">
        <v>0</v>
      </c>
      <c r="GH29" s="2">
        <v>1</v>
      </c>
      <c r="GI29" s="2">
        <v>0</v>
      </c>
      <c r="GJ29" s="2">
        <v>0</v>
      </c>
      <c r="GK29" s="2">
        <v>0</v>
      </c>
      <c r="GL29" s="2">
        <v>0</v>
      </c>
      <c r="GM29" s="2">
        <v>0</v>
      </c>
      <c r="GN29" s="3">
        <v>0</v>
      </c>
      <c r="GO29" s="3">
        <v>0</v>
      </c>
      <c r="GP29" s="3">
        <v>0</v>
      </c>
      <c r="GQ29" s="3">
        <v>2</v>
      </c>
      <c r="GR29" s="3">
        <v>0</v>
      </c>
      <c r="GS29" s="3">
        <v>0</v>
      </c>
      <c r="GT29" s="3">
        <v>0</v>
      </c>
      <c r="GU29" s="3">
        <v>0</v>
      </c>
      <c r="GV29" s="3">
        <v>0</v>
      </c>
      <c r="GW29" s="3">
        <v>0</v>
      </c>
      <c r="GX29" s="3">
        <v>0</v>
      </c>
      <c r="GY29" s="3">
        <v>0</v>
      </c>
      <c r="GZ29" s="3">
        <v>0</v>
      </c>
      <c r="HA29" s="3">
        <v>0</v>
      </c>
      <c r="HB29" s="3">
        <v>0</v>
      </c>
      <c r="HC29" s="3">
        <v>0</v>
      </c>
      <c r="HD29" s="3">
        <v>0</v>
      </c>
      <c r="HE29" s="3">
        <v>0</v>
      </c>
      <c r="HF29" s="3">
        <v>0</v>
      </c>
      <c r="HG29" s="3">
        <v>0</v>
      </c>
      <c r="HH29" s="3">
        <v>0</v>
      </c>
      <c r="HI29" s="3">
        <v>0</v>
      </c>
      <c r="HJ29" s="3">
        <v>0</v>
      </c>
      <c r="HK29" s="3">
        <v>0</v>
      </c>
      <c r="HL29" s="3">
        <v>0</v>
      </c>
      <c r="HM29" s="3">
        <v>0</v>
      </c>
      <c r="HN29" s="3">
        <v>0</v>
      </c>
      <c r="HO29" s="3">
        <v>0</v>
      </c>
      <c r="HP29" s="3">
        <v>0</v>
      </c>
      <c r="HQ29" s="3">
        <v>0</v>
      </c>
      <c r="HR29" s="3">
        <v>0</v>
      </c>
      <c r="HS29" s="3">
        <v>0</v>
      </c>
      <c r="HT29" s="3">
        <v>0</v>
      </c>
      <c r="HU29" s="3">
        <v>0</v>
      </c>
      <c r="HV29" s="3">
        <v>0</v>
      </c>
      <c r="HW29" s="3">
        <v>0</v>
      </c>
      <c r="HX29" s="3">
        <v>0</v>
      </c>
      <c r="HY29" s="3">
        <v>0</v>
      </c>
      <c r="HZ29" s="3">
        <v>0</v>
      </c>
      <c r="IA29" s="3">
        <v>0</v>
      </c>
      <c r="IB29" s="3">
        <v>0</v>
      </c>
      <c r="IC29" s="3">
        <v>0</v>
      </c>
      <c r="ID29" s="3">
        <v>0</v>
      </c>
      <c r="IE29" s="3">
        <v>0</v>
      </c>
      <c r="IF29" s="3">
        <v>0</v>
      </c>
      <c r="IG29" s="3">
        <v>0</v>
      </c>
      <c r="IH29" s="3">
        <v>0</v>
      </c>
      <c r="II29" s="3">
        <v>0</v>
      </c>
      <c r="IJ29" s="3">
        <v>0</v>
      </c>
      <c r="IK29" s="3">
        <v>0</v>
      </c>
      <c r="IL29" s="3">
        <v>0</v>
      </c>
      <c r="IM29" s="3">
        <v>0</v>
      </c>
      <c r="IN29" s="3">
        <v>0</v>
      </c>
      <c r="IO29" s="3">
        <v>0</v>
      </c>
      <c r="IP29" s="3">
        <v>0</v>
      </c>
      <c r="IQ29" s="3">
        <v>0</v>
      </c>
      <c r="IR29" s="3" t="s">
        <v>274</v>
      </c>
      <c r="IS29" s="3">
        <v>0</v>
      </c>
      <c r="IT29" s="3">
        <v>0</v>
      </c>
      <c r="IU29" s="3">
        <v>0</v>
      </c>
      <c r="IV29" s="3">
        <v>0</v>
      </c>
      <c r="IW29" s="3">
        <v>0</v>
      </c>
      <c r="IX29" s="3">
        <v>2</v>
      </c>
      <c r="IY29" s="3">
        <v>0</v>
      </c>
      <c r="IZ29" s="2" t="s">
        <v>268</v>
      </c>
      <c r="JA29" s="2"/>
    </row>
    <row r="30" spans="1:261" ht="13.2" x14ac:dyDescent="0.25">
      <c r="A30" s="10">
        <v>30</v>
      </c>
      <c r="B30" s="2" t="s">
        <v>410</v>
      </c>
      <c r="C30" s="2" t="s">
        <v>276</v>
      </c>
      <c r="D30" s="2" t="s">
        <v>262</v>
      </c>
      <c r="E30" s="2">
        <v>38</v>
      </c>
      <c r="F30" s="11" t="s">
        <v>411</v>
      </c>
      <c r="G30" s="11" t="s">
        <v>412</v>
      </c>
      <c r="H30" s="2" t="s">
        <v>413</v>
      </c>
      <c r="I30" s="3">
        <v>3</v>
      </c>
      <c r="J30" s="3">
        <v>4</v>
      </c>
      <c r="K30" s="3">
        <v>4</v>
      </c>
      <c r="L30" s="3">
        <v>2</v>
      </c>
      <c r="M30" s="3">
        <v>2</v>
      </c>
      <c r="N30" s="3">
        <v>3</v>
      </c>
      <c r="O30" s="3">
        <v>3</v>
      </c>
      <c r="P30" s="3">
        <v>2</v>
      </c>
      <c r="Q30" s="3">
        <v>2</v>
      </c>
      <c r="R30" s="3">
        <v>2</v>
      </c>
      <c r="S30" s="3">
        <v>2</v>
      </c>
      <c r="T30" s="3">
        <v>1</v>
      </c>
      <c r="U30" s="3">
        <v>1</v>
      </c>
      <c r="V30" s="3">
        <v>2</v>
      </c>
      <c r="W30" s="3">
        <v>4</v>
      </c>
      <c r="X30" s="3">
        <v>4</v>
      </c>
      <c r="Y30" s="3">
        <v>4</v>
      </c>
      <c r="Z30" s="3">
        <v>4</v>
      </c>
      <c r="AA30" s="3">
        <v>2</v>
      </c>
      <c r="AB30" s="3">
        <v>2</v>
      </c>
      <c r="AC30" s="3">
        <v>2</v>
      </c>
      <c r="AD30" s="3">
        <v>2</v>
      </c>
      <c r="AE30" s="3">
        <v>3</v>
      </c>
      <c r="AF30" s="3">
        <v>1</v>
      </c>
      <c r="AG30" s="3">
        <v>1</v>
      </c>
      <c r="AH30" s="3">
        <v>1</v>
      </c>
      <c r="AI30" s="3">
        <v>2</v>
      </c>
      <c r="AJ30" s="3">
        <v>4</v>
      </c>
      <c r="AK30" s="3">
        <v>4</v>
      </c>
      <c r="AL30" s="3">
        <v>4</v>
      </c>
      <c r="AM30" s="3">
        <v>0</v>
      </c>
      <c r="AN30" s="3">
        <v>4</v>
      </c>
      <c r="AO30" s="3">
        <v>4</v>
      </c>
      <c r="AP30" s="3">
        <v>1</v>
      </c>
      <c r="AQ30" s="3">
        <v>1</v>
      </c>
      <c r="AR30" s="3">
        <v>2</v>
      </c>
      <c r="AS30" s="3">
        <v>1</v>
      </c>
      <c r="AT30" s="3">
        <v>2</v>
      </c>
      <c r="AU30" s="3">
        <v>2</v>
      </c>
      <c r="AV30" s="3">
        <v>2</v>
      </c>
      <c r="AW30" s="3">
        <v>3</v>
      </c>
      <c r="AX30" s="3">
        <v>3</v>
      </c>
      <c r="AY30" s="3">
        <v>3</v>
      </c>
      <c r="AZ30" s="3">
        <v>3</v>
      </c>
      <c r="BA30" s="3">
        <v>3</v>
      </c>
      <c r="BB30" s="3">
        <v>2</v>
      </c>
      <c r="BC30" s="3">
        <v>2</v>
      </c>
      <c r="BD30" s="3">
        <v>2</v>
      </c>
      <c r="BE30" s="3">
        <v>4</v>
      </c>
      <c r="BF30" s="3">
        <v>4</v>
      </c>
      <c r="BG30" s="3">
        <v>4</v>
      </c>
      <c r="BH30" s="3">
        <v>4</v>
      </c>
      <c r="BI30" s="3">
        <v>4</v>
      </c>
      <c r="BJ30" s="3">
        <v>4</v>
      </c>
      <c r="BK30" s="3">
        <v>4</v>
      </c>
      <c r="BL30" s="3">
        <v>4</v>
      </c>
      <c r="BM30" s="3" t="s">
        <v>414</v>
      </c>
      <c r="BN30" s="3">
        <v>4</v>
      </c>
      <c r="BO30" s="3">
        <v>4</v>
      </c>
      <c r="BP30" s="3">
        <v>4</v>
      </c>
      <c r="BQ30" s="3">
        <v>4</v>
      </c>
      <c r="BR30" s="3">
        <v>4</v>
      </c>
      <c r="BS30" s="3">
        <v>4</v>
      </c>
      <c r="BT30" s="3">
        <v>4</v>
      </c>
      <c r="BU30" s="2">
        <v>2</v>
      </c>
      <c r="BV30" s="2">
        <v>3</v>
      </c>
      <c r="BW30" s="2">
        <v>3</v>
      </c>
      <c r="BX30" s="2">
        <v>2</v>
      </c>
      <c r="BY30" s="2">
        <v>2</v>
      </c>
      <c r="BZ30" s="2">
        <v>2</v>
      </c>
      <c r="CA30" s="2">
        <v>3</v>
      </c>
      <c r="CB30" s="2">
        <v>3</v>
      </c>
      <c r="CC30" s="2">
        <v>3</v>
      </c>
      <c r="CD30" s="2">
        <v>3</v>
      </c>
      <c r="CE30" s="2">
        <v>3</v>
      </c>
      <c r="CF30" s="2">
        <v>3</v>
      </c>
      <c r="CG30" s="2">
        <v>3</v>
      </c>
      <c r="CH30" s="2">
        <v>3</v>
      </c>
      <c r="CI30" s="2">
        <v>3</v>
      </c>
      <c r="CJ30" s="2">
        <v>3</v>
      </c>
      <c r="CK30" s="2">
        <v>3</v>
      </c>
      <c r="CL30" s="2">
        <v>3</v>
      </c>
      <c r="CM30" s="2">
        <v>3</v>
      </c>
      <c r="CN30" s="2">
        <v>3</v>
      </c>
      <c r="CO30" s="2">
        <v>3</v>
      </c>
      <c r="CP30" s="2">
        <v>3</v>
      </c>
      <c r="CQ30" s="2">
        <v>4</v>
      </c>
      <c r="CR30" s="2">
        <v>2</v>
      </c>
      <c r="CS30" s="2">
        <v>2</v>
      </c>
      <c r="CT30" s="2">
        <v>2</v>
      </c>
      <c r="CU30" s="2">
        <v>2</v>
      </c>
      <c r="CV30" s="2">
        <v>2</v>
      </c>
      <c r="CW30" s="2">
        <v>2</v>
      </c>
      <c r="CX30" s="2">
        <v>1</v>
      </c>
      <c r="CY30" s="2">
        <v>1</v>
      </c>
      <c r="CZ30" s="2">
        <v>2</v>
      </c>
      <c r="DA30" s="2">
        <v>2</v>
      </c>
      <c r="DB30" s="2">
        <v>2</v>
      </c>
      <c r="DC30" s="2">
        <v>0</v>
      </c>
      <c r="DD30" s="2">
        <v>1</v>
      </c>
      <c r="DE30" s="2">
        <v>3</v>
      </c>
      <c r="DF30" s="2">
        <v>4</v>
      </c>
      <c r="DG30" s="2">
        <v>4</v>
      </c>
      <c r="DH30" s="2">
        <v>4</v>
      </c>
      <c r="DI30" s="2">
        <v>3</v>
      </c>
      <c r="DJ30" s="2">
        <v>2</v>
      </c>
      <c r="DK30" s="2">
        <v>3</v>
      </c>
      <c r="DL30" s="2">
        <v>3</v>
      </c>
      <c r="DM30" s="2">
        <v>3</v>
      </c>
      <c r="DN30" s="2">
        <v>2</v>
      </c>
      <c r="DO30" s="2">
        <v>2</v>
      </c>
      <c r="DP30" s="2">
        <v>2</v>
      </c>
      <c r="DQ30" s="2">
        <v>3</v>
      </c>
      <c r="DR30" s="2">
        <v>3</v>
      </c>
      <c r="DS30" s="2">
        <v>2</v>
      </c>
      <c r="DT30" s="2">
        <v>2</v>
      </c>
      <c r="DU30" s="2">
        <v>1</v>
      </c>
      <c r="DV30" s="2">
        <v>1</v>
      </c>
      <c r="DW30" s="2">
        <v>3</v>
      </c>
      <c r="DX30" s="2">
        <v>3</v>
      </c>
      <c r="DY30" s="2">
        <v>3</v>
      </c>
      <c r="DZ30" s="2">
        <v>2</v>
      </c>
      <c r="EA30" s="2">
        <v>3</v>
      </c>
      <c r="EB30" s="2">
        <v>1</v>
      </c>
      <c r="EC30" s="2">
        <v>1</v>
      </c>
      <c r="ED30" s="2">
        <v>1</v>
      </c>
      <c r="EE30" s="2">
        <v>1</v>
      </c>
      <c r="EF30" s="2">
        <v>1</v>
      </c>
      <c r="EG30" s="2">
        <v>1</v>
      </c>
      <c r="EH30" s="2">
        <v>1</v>
      </c>
      <c r="EI30" s="2">
        <v>3</v>
      </c>
      <c r="EJ30" s="2">
        <v>3</v>
      </c>
      <c r="EK30" s="2">
        <v>4</v>
      </c>
      <c r="EL30" s="2">
        <v>3</v>
      </c>
      <c r="EM30" s="2">
        <v>4</v>
      </c>
      <c r="EN30" s="2">
        <v>1</v>
      </c>
      <c r="EO30" s="2">
        <v>1</v>
      </c>
      <c r="EP30" s="2">
        <v>1</v>
      </c>
      <c r="EQ30" s="2">
        <v>2</v>
      </c>
      <c r="ER30" s="2">
        <v>2</v>
      </c>
      <c r="ES30" s="2">
        <v>1</v>
      </c>
      <c r="ET30" s="2">
        <v>1</v>
      </c>
      <c r="EU30" s="2">
        <v>4</v>
      </c>
      <c r="EV30" s="2">
        <v>4</v>
      </c>
      <c r="EW30" s="2">
        <v>4</v>
      </c>
      <c r="EX30" s="2">
        <v>4</v>
      </c>
      <c r="EY30" s="2">
        <v>3</v>
      </c>
      <c r="EZ30" s="2">
        <v>3</v>
      </c>
      <c r="FA30" s="2">
        <v>1</v>
      </c>
      <c r="FB30" s="2">
        <v>1</v>
      </c>
      <c r="FC30" s="2">
        <v>1</v>
      </c>
      <c r="FD30" s="2">
        <v>1</v>
      </c>
      <c r="FE30" s="2">
        <v>1</v>
      </c>
      <c r="FF30" s="2">
        <v>2</v>
      </c>
      <c r="FG30" s="2">
        <v>3</v>
      </c>
      <c r="FH30" s="2">
        <v>3</v>
      </c>
      <c r="FI30" s="2">
        <v>1</v>
      </c>
      <c r="FJ30" s="2">
        <v>1</v>
      </c>
      <c r="FK30" s="2">
        <v>3</v>
      </c>
      <c r="FL30" s="2">
        <v>3</v>
      </c>
      <c r="FM30" s="2">
        <v>3</v>
      </c>
      <c r="FN30" s="2">
        <v>2</v>
      </c>
      <c r="FO30" s="2">
        <v>2</v>
      </c>
      <c r="FP30" s="2">
        <v>2</v>
      </c>
      <c r="FQ30" s="2">
        <v>3</v>
      </c>
      <c r="FR30" s="2">
        <v>3</v>
      </c>
      <c r="FS30" s="2">
        <v>2</v>
      </c>
      <c r="FT30" s="2">
        <v>2</v>
      </c>
      <c r="FU30" s="2">
        <v>3</v>
      </c>
      <c r="FV30" s="2">
        <v>4</v>
      </c>
      <c r="FW30" s="2">
        <v>4</v>
      </c>
      <c r="FX30" s="2">
        <v>4</v>
      </c>
      <c r="FY30" s="2">
        <v>4</v>
      </c>
      <c r="FZ30" s="2">
        <v>3</v>
      </c>
      <c r="GA30" s="2">
        <v>3</v>
      </c>
      <c r="GB30" s="2">
        <v>4</v>
      </c>
      <c r="GC30" s="2" t="s">
        <v>415</v>
      </c>
      <c r="GD30" s="2">
        <v>3</v>
      </c>
      <c r="GE30" s="2">
        <v>4</v>
      </c>
      <c r="GF30" s="2">
        <v>4</v>
      </c>
      <c r="GG30" s="2">
        <v>4</v>
      </c>
      <c r="GH30" s="2" t="s">
        <v>274</v>
      </c>
      <c r="GI30" s="2">
        <v>3</v>
      </c>
      <c r="GJ30" s="2">
        <v>3</v>
      </c>
      <c r="GK30" s="2">
        <v>2</v>
      </c>
      <c r="GL30" s="2">
        <v>2</v>
      </c>
      <c r="GM30" s="2">
        <v>3</v>
      </c>
      <c r="GN30" s="3">
        <v>3</v>
      </c>
      <c r="GO30" s="3">
        <v>3</v>
      </c>
      <c r="GP30" s="3">
        <v>3</v>
      </c>
      <c r="GQ30" s="3">
        <v>3</v>
      </c>
      <c r="GR30" s="3">
        <v>3</v>
      </c>
      <c r="GS30" s="3">
        <v>4</v>
      </c>
      <c r="GT30" s="3">
        <v>3</v>
      </c>
      <c r="GU30" s="3">
        <v>3</v>
      </c>
      <c r="GV30" s="3">
        <v>3</v>
      </c>
      <c r="GW30" s="3">
        <v>3</v>
      </c>
      <c r="GX30" s="3">
        <v>2</v>
      </c>
      <c r="GY30" s="3">
        <v>3</v>
      </c>
      <c r="GZ30" s="3">
        <v>3</v>
      </c>
      <c r="HA30" s="3">
        <v>2</v>
      </c>
      <c r="HB30" s="3">
        <v>3</v>
      </c>
      <c r="HC30" s="3">
        <v>3</v>
      </c>
      <c r="HD30" s="3">
        <v>3</v>
      </c>
      <c r="HE30" s="3">
        <v>3</v>
      </c>
      <c r="HF30" s="3">
        <v>2</v>
      </c>
      <c r="HG30" s="3">
        <v>2</v>
      </c>
      <c r="HH30" s="3">
        <v>3</v>
      </c>
      <c r="HI30" s="3">
        <v>3</v>
      </c>
      <c r="HJ30" s="3">
        <v>4</v>
      </c>
      <c r="HK30" s="3">
        <v>3</v>
      </c>
      <c r="HL30" s="3">
        <v>3</v>
      </c>
      <c r="HM30" s="3">
        <v>3</v>
      </c>
      <c r="HN30" s="3">
        <v>2</v>
      </c>
      <c r="HO30" s="3">
        <v>4</v>
      </c>
      <c r="HP30" s="3">
        <v>4</v>
      </c>
      <c r="HQ30" s="3">
        <v>4</v>
      </c>
      <c r="HR30" s="3">
        <v>1</v>
      </c>
      <c r="HS30" s="3">
        <v>1</v>
      </c>
      <c r="HT30" s="3">
        <v>1</v>
      </c>
      <c r="HU30" s="3">
        <v>1</v>
      </c>
      <c r="HV30" s="3">
        <v>4</v>
      </c>
      <c r="HW30" s="3">
        <v>4</v>
      </c>
      <c r="HX30" s="3">
        <v>1</v>
      </c>
      <c r="HY30" s="3">
        <v>1</v>
      </c>
      <c r="HZ30" s="3">
        <v>3</v>
      </c>
      <c r="IA30" s="3">
        <v>3</v>
      </c>
      <c r="IB30" s="3">
        <v>3</v>
      </c>
      <c r="IC30" s="3">
        <v>1</v>
      </c>
      <c r="ID30" s="3">
        <v>1</v>
      </c>
      <c r="IE30" s="3">
        <v>1</v>
      </c>
      <c r="IF30" s="3">
        <v>1</v>
      </c>
      <c r="IG30" s="3">
        <v>1</v>
      </c>
      <c r="IH30" s="3">
        <v>2</v>
      </c>
      <c r="II30" s="3">
        <v>3</v>
      </c>
      <c r="IJ30" s="3">
        <v>3</v>
      </c>
      <c r="IK30" s="3">
        <v>3</v>
      </c>
      <c r="IL30" s="3">
        <v>2</v>
      </c>
      <c r="IM30" s="3">
        <v>1</v>
      </c>
      <c r="IN30" s="3">
        <v>1</v>
      </c>
      <c r="IO30" s="3">
        <v>1</v>
      </c>
      <c r="IP30" s="3">
        <v>2</v>
      </c>
      <c r="IQ30" s="3">
        <v>3</v>
      </c>
      <c r="IR30" s="3" t="s">
        <v>416</v>
      </c>
      <c r="IS30" s="3">
        <v>4</v>
      </c>
      <c r="IT30" s="3">
        <v>4</v>
      </c>
      <c r="IU30" s="3">
        <v>4</v>
      </c>
      <c r="IV30" s="3">
        <v>4</v>
      </c>
      <c r="IW30" s="3">
        <v>4</v>
      </c>
      <c r="IX30" s="3">
        <v>3</v>
      </c>
      <c r="IY30" s="3">
        <v>3</v>
      </c>
      <c r="IZ30" s="2" t="s">
        <v>268</v>
      </c>
      <c r="JA30" s="2"/>
    </row>
    <row r="31" spans="1:261" ht="13.2" x14ac:dyDescent="0.25">
      <c r="A31" s="10">
        <v>31</v>
      </c>
      <c r="B31" s="2" t="s">
        <v>417</v>
      </c>
      <c r="C31" s="2" t="s">
        <v>261</v>
      </c>
      <c r="D31" s="2" t="s">
        <v>325</v>
      </c>
      <c r="E31" s="2">
        <v>44</v>
      </c>
      <c r="F31" s="11" t="s">
        <v>418</v>
      </c>
      <c r="G31" s="11" t="s">
        <v>419</v>
      </c>
      <c r="H31" s="2" t="s">
        <v>420</v>
      </c>
      <c r="I31" s="3">
        <v>1</v>
      </c>
      <c r="J31" s="3">
        <v>0</v>
      </c>
      <c r="K31" s="3">
        <v>3</v>
      </c>
      <c r="L31" s="3">
        <v>2</v>
      </c>
      <c r="M31" s="3">
        <v>2</v>
      </c>
      <c r="N31" s="3">
        <v>1</v>
      </c>
      <c r="O31" s="3">
        <v>1</v>
      </c>
      <c r="P31" s="3">
        <v>0</v>
      </c>
      <c r="Q31" s="3">
        <v>0</v>
      </c>
      <c r="R31" s="3">
        <v>0</v>
      </c>
      <c r="S31" s="3">
        <v>0</v>
      </c>
      <c r="T31" s="3">
        <v>0</v>
      </c>
      <c r="U31" s="3">
        <v>0</v>
      </c>
      <c r="V31" s="3">
        <v>1</v>
      </c>
      <c r="W31" s="3">
        <v>0</v>
      </c>
      <c r="X31" s="3">
        <v>0</v>
      </c>
      <c r="Y31" s="3">
        <v>1</v>
      </c>
      <c r="Z31" s="3">
        <v>0</v>
      </c>
      <c r="AA31" s="3">
        <v>1</v>
      </c>
      <c r="AB31" s="3">
        <v>0</v>
      </c>
      <c r="AC31" s="3">
        <v>1</v>
      </c>
      <c r="AD31" s="3">
        <v>0</v>
      </c>
      <c r="AE31" s="3">
        <v>1</v>
      </c>
      <c r="AF31" s="3">
        <v>0</v>
      </c>
      <c r="AG31" s="3">
        <v>0</v>
      </c>
      <c r="AH31" s="3">
        <v>0</v>
      </c>
      <c r="AI31" s="3">
        <v>0</v>
      </c>
      <c r="AJ31" s="3">
        <v>1</v>
      </c>
      <c r="AK31" s="3">
        <v>1</v>
      </c>
      <c r="AL31" s="3">
        <v>0</v>
      </c>
      <c r="AM31" s="3">
        <v>0</v>
      </c>
      <c r="AN31" s="3">
        <v>0</v>
      </c>
      <c r="AO31" s="3">
        <v>0</v>
      </c>
      <c r="AP31" s="3">
        <v>2</v>
      </c>
      <c r="AQ31" s="3">
        <v>0</v>
      </c>
      <c r="AR31" s="3">
        <v>3</v>
      </c>
      <c r="AS31" s="3">
        <v>3</v>
      </c>
      <c r="AT31" s="3">
        <v>0</v>
      </c>
      <c r="AU31" s="3">
        <v>1</v>
      </c>
      <c r="AV31" s="3">
        <v>1</v>
      </c>
      <c r="AW31" s="3">
        <v>2</v>
      </c>
      <c r="AX31" s="3">
        <v>0</v>
      </c>
      <c r="AY31" s="3">
        <v>0</v>
      </c>
      <c r="AZ31" s="3">
        <v>1</v>
      </c>
      <c r="BA31" s="3">
        <v>0</v>
      </c>
      <c r="BB31" s="3">
        <v>1</v>
      </c>
      <c r="BC31" s="3">
        <v>0</v>
      </c>
      <c r="BD31" s="3">
        <v>0</v>
      </c>
      <c r="BE31" s="3">
        <v>0</v>
      </c>
      <c r="BF31" s="3">
        <v>0</v>
      </c>
      <c r="BG31" s="3">
        <v>0</v>
      </c>
      <c r="BH31" s="3">
        <v>0</v>
      </c>
      <c r="BI31" s="3">
        <v>0</v>
      </c>
      <c r="BJ31" s="3">
        <v>0</v>
      </c>
      <c r="BK31" s="3">
        <v>0</v>
      </c>
      <c r="BL31" s="3">
        <v>0</v>
      </c>
      <c r="BM31" s="3" t="s">
        <v>421</v>
      </c>
      <c r="BN31" s="3">
        <v>1</v>
      </c>
      <c r="BO31" s="3">
        <v>0</v>
      </c>
      <c r="BP31" s="3">
        <v>1</v>
      </c>
      <c r="BQ31" s="3">
        <v>2</v>
      </c>
      <c r="BR31" s="3">
        <v>0</v>
      </c>
      <c r="BS31" s="3">
        <v>1</v>
      </c>
      <c r="BT31" s="3">
        <v>0</v>
      </c>
      <c r="BU31" s="2">
        <v>0</v>
      </c>
      <c r="BV31" s="2">
        <v>0</v>
      </c>
      <c r="BW31" s="2">
        <v>1</v>
      </c>
      <c r="BX31" s="2">
        <v>0</v>
      </c>
      <c r="BY31" s="2">
        <v>0</v>
      </c>
      <c r="BZ31" s="2">
        <v>0</v>
      </c>
      <c r="CA31" s="2">
        <v>0</v>
      </c>
      <c r="CB31" s="2">
        <v>1</v>
      </c>
      <c r="CC31" s="2">
        <v>0</v>
      </c>
      <c r="CD31" s="2">
        <v>0</v>
      </c>
      <c r="CE31" s="2">
        <v>0</v>
      </c>
      <c r="CF31" s="2">
        <v>1</v>
      </c>
      <c r="CG31" s="2">
        <v>0</v>
      </c>
      <c r="CH31" s="2">
        <v>0</v>
      </c>
      <c r="CI31" s="2">
        <v>0</v>
      </c>
      <c r="CJ31" s="2">
        <v>0</v>
      </c>
      <c r="CK31" s="2">
        <v>0</v>
      </c>
      <c r="CL31" s="2">
        <v>0</v>
      </c>
      <c r="CM31" s="2">
        <v>0</v>
      </c>
      <c r="CN31" s="2">
        <v>0</v>
      </c>
      <c r="CO31" s="2">
        <v>0</v>
      </c>
      <c r="CP31" s="2">
        <v>0</v>
      </c>
      <c r="CQ31" s="2">
        <v>0</v>
      </c>
      <c r="CR31" s="2">
        <v>0</v>
      </c>
      <c r="CS31" s="2">
        <v>0</v>
      </c>
      <c r="CT31" s="2">
        <v>0</v>
      </c>
      <c r="CU31" s="2">
        <v>0</v>
      </c>
      <c r="CV31" s="2">
        <v>0</v>
      </c>
      <c r="CW31" s="2">
        <v>0</v>
      </c>
      <c r="CX31" s="2">
        <v>0</v>
      </c>
      <c r="CY31" s="2">
        <v>0</v>
      </c>
      <c r="CZ31" s="2">
        <v>0</v>
      </c>
      <c r="DA31" s="2">
        <v>2</v>
      </c>
      <c r="DB31" s="2">
        <v>1</v>
      </c>
      <c r="DC31" s="2">
        <v>0</v>
      </c>
      <c r="DD31" s="2">
        <v>0</v>
      </c>
      <c r="DE31" s="2">
        <v>1</v>
      </c>
      <c r="DF31" s="2">
        <v>2</v>
      </c>
      <c r="DG31" s="2">
        <v>0</v>
      </c>
      <c r="DH31" s="2">
        <v>2</v>
      </c>
      <c r="DI31" s="2">
        <v>0</v>
      </c>
      <c r="DJ31" s="2">
        <v>0</v>
      </c>
      <c r="DK31" s="2">
        <v>0</v>
      </c>
      <c r="DL31" s="2">
        <v>0</v>
      </c>
      <c r="DM31" s="2">
        <v>0</v>
      </c>
      <c r="DN31" s="2">
        <v>0</v>
      </c>
      <c r="DO31" s="2">
        <v>0</v>
      </c>
      <c r="DP31" s="2">
        <v>1</v>
      </c>
      <c r="DQ31" s="2">
        <v>0</v>
      </c>
      <c r="DR31" s="2">
        <v>0</v>
      </c>
      <c r="DS31" s="2">
        <v>0</v>
      </c>
      <c r="DT31" s="2">
        <v>0</v>
      </c>
      <c r="DU31" s="2">
        <v>0</v>
      </c>
      <c r="DV31" s="2">
        <v>0</v>
      </c>
      <c r="DW31" s="2">
        <v>0</v>
      </c>
      <c r="DX31" s="2">
        <v>1</v>
      </c>
      <c r="DY31" s="2">
        <v>1</v>
      </c>
      <c r="DZ31" s="2">
        <v>0</v>
      </c>
      <c r="EA31" s="2">
        <v>0</v>
      </c>
      <c r="EB31" s="2">
        <v>0</v>
      </c>
      <c r="EC31" s="2">
        <v>0</v>
      </c>
      <c r="ED31" s="2">
        <v>0</v>
      </c>
      <c r="EE31" s="2">
        <v>0</v>
      </c>
      <c r="EF31" s="2">
        <v>0</v>
      </c>
      <c r="EG31" s="2">
        <v>0</v>
      </c>
      <c r="EH31" s="2">
        <v>0</v>
      </c>
      <c r="EI31" s="2">
        <v>0</v>
      </c>
      <c r="EJ31" s="2">
        <v>2</v>
      </c>
      <c r="EK31" s="2">
        <v>0</v>
      </c>
      <c r="EL31" s="2">
        <v>0</v>
      </c>
      <c r="EM31" s="2">
        <v>1</v>
      </c>
      <c r="EN31" s="2">
        <v>0</v>
      </c>
      <c r="EO31" s="2">
        <v>0</v>
      </c>
      <c r="EP31" s="2">
        <v>0</v>
      </c>
      <c r="EQ31" s="2">
        <v>0</v>
      </c>
      <c r="ER31" s="2">
        <v>0</v>
      </c>
      <c r="ES31" s="2">
        <v>0</v>
      </c>
      <c r="ET31" s="2">
        <v>0</v>
      </c>
      <c r="EU31" s="2">
        <v>0</v>
      </c>
      <c r="EV31" s="2">
        <v>0</v>
      </c>
      <c r="EW31" s="2">
        <v>0</v>
      </c>
      <c r="EX31" s="2">
        <v>0</v>
      </c>
      <c r="EY31" s="2">
        <v>0</v>
      </c>
      <c r="EZ31" s="2">
        <v>0</v>
      </c>
      <c r="FA31" s="2">
        <v>0</v>
      </c>
      <c r="FB31" s="2">
        <v>0</v>
      </c>
      <c r="FC31" s="2">
        <v>0</v>
      </c>
      <c r="FD31" s="2">
        <v>0</v>
      </c>
      <c r="FE31" s="2">
        <v>0</v>
      </c>
      <c r="FF31" s="2">
        <v>0</v>
      </c>
      <c r="FG31" s="2">
        <v>0</v>
      </c>
      <c r="FH31" s="2">
        <v>0</v>
      </c>
      <c r="FI31" s="2">
        <v>0</v>
      </c>
      <c r="FJ31" s="2">
        <v>0</v>
      </c>
      <c r="FK31" s="2">
        <v>0</v>
      </c>
      <c r="FL31" s="2">
        <v>1</v>
      </c>
      <c r="FM31" s="2">
        <v>0</v>
      </c>
      <c r="FN31" s="2">
        <v>0</v>
      </c>
      <c r="FO31" s="2">
        <v>0</v>
      </c>
      <c r="FP31" s="2">
        <v>0</v>
      </c>
      <c r="FQ31" s="2">
        <v>1</v>
      </c>
      <c r="FR31" s="2">
        <v>2</v>
      </c>
      <c r="FS31" s="2">
        <v>0</v>
      </c>
      <c r="FT31" s="2">
        <v>0</v>
      </c>
      <c r="FU31" s="2">
        <v>0</v>
      </c>
      <c r="FV31" s="2">
        <v>0</v>
      </c>
      <c r="FW31" s="2">
        <v>0</v>
      </c>
      <c r="FX31" s="2">
        <v>0</v>
      </c>
      <c r="FY31" s="2">
        <v>0</v>
      </c>
      <c r="FZ31" s="2">
        <v>0</v>
      </c>
      <c r="GA31" s="2">
        <v>0</v>
      </c>
      <c r="GB31" s="2">
        <v>0</v>
      </c>
      <c r="GC31" s="2" t="s">
        <v>421</v>
      </c>
      <c r="GD31" s="2">
        <v>0</v>
      </c>
      <c r="GE31" s="2">
        <v>0</v>
      </c>
      <c r="GF31" s="2">
        <v>0</v>
      </c>
      <c r="GG31" s="2">
        <v>0</v>
      </c>
      <c r="GH31" s="2">
        <v>2</v>
      </c>
      <c r="GI31" s="2">
        <v>0</v>
      </c>
      <c r="GJ31" s="2">
        <v>0</v>
      </c>
      <c r="GK31" s="2">
        <v>0</v>
      </c>
      <c r="GL31" s="2">
        <v>0</v>
      </c>
      <c r="GM31" s="2">
        <v>0</v>
      </c>
      <c r="GN31" s="3">
        <v>1</v>
      </c>
      <c r="GO31" s="3">
        <v>1</v>
      </c>
      <c r="GP31" s="3">
        <v>0</v>
      </c>
      <c r="GQ31" s="3">
        <v>2</v>
      </c>
      <c r="GR31" s="3">
        <v>0</v>
      </c>
      <c r="GS31" s="3">
        <v>0</v>
      </c>
      <c r="GT31" s="3">
        <v>1</v>
      </c>
      <c r="GU31" s="3">
        <v>0</v>
      </c>
      <c r="GV31" s="3">
        <v>0</v>
      </c>
      <c r="GW31" s="3">
        <v>0</v>
      </c>
      <c r="GX31" s="3">
        <v>0</v>
      </c>
      <c r="GY31" s="3">
        <v>0</v>
      </c>
      <c r="GZ31" s="3">
        <v>0</v>
      </c>
      <c r="HA31" s="3">
        <v>0</v>
      </c>
      <c r="HB31" s="3">
        <v>0</v>
      </c>
      <c r="HC31" s="3">
        <v>0</v>
      </c>
      <c r="HD31" s="3">
        <v>0</v>
      </c>
      <c r="HE31" s="3">
        <v>0</v>
      </c>
      <c r="HF31" s="3">
        <v>0</v>
      </c>
      <c r="HG31" s="3">
        <v>0</v>
      </c>
      <c r="HH31" s="3">
        <v>1</v>
      </c>
      <c r="HI31" s="3">
        <v>0</v>
      </c>
      <c r="HJ31" s="3">
        <v>0</v>
      </c>
      <c r="HK31" s="3">
        <v>1</v>
      </c>
      <c r="HL31" s="3">
        <v>0</v>
      </c>
      <c r="HM31" s="3">
        <v>0</v>
      </c>
      <c r="HN31" s="3">
        <v>0</v>
      </c>
      <c r="HO31" s="3">
        <v>0</v>
      </c>
      <c r="HP31" s="3">
        <v>0</v>
      </c>
      <c r="HQ31" s="3">
        <v>0</v>
      </c>
      <c r="HR31" s="3">
        <v>0</v>
      </c>
      <c r="HS31" s="3">
        <v>0</v>
      </c>
      <c r="HT31" s="3">
        <v>0</v>
      </c>
      <c r="HU31" s="3">
        <v>0</v>
      </c>
      <c r="HV31" s="3">
        <v>0</v>
      </c>
      <c r="HW31" s="3">
        <v>0</v>
      </c>
      <c r="HX31" s="3">
        <v>0</v>
      </c>
      <c r="HY31" s="3">
        <v>0</v>
      </c>
      <c r="HZ31" s="3">
        <v>0</v>
      </c>
      <c r="IA31" s="3">
        <v>1</v>
      </c>
      <c r="IB31" s="3">
        <v>0</v>
      </c>
      <c r="IC31" s="3">
        <v>0</v>
      </c>
      <c r="ID31" s="3">
        <v>0</v>
      </c>
      <c r="IE31" s="3">
        <v>0</v>
      </c>
      <c r="IF31" s="3">
        <v>0</v>
      </c>
      <c r="IG31" s="3">
        <v>0</v>
      </c>
      <c r="IH31" s="3">
        <v>0</v>
      </c>
      <c r="II31" s="3">
        <v>0</v>
      </c>
      <c r="IJ31" s="3">
        <v>1</v>
      </c>
      <c r="IK31" s="3">
        <v>0</v>
      </c>
      <c r="IL31" s="3">
        <v>0</v>
      </c>
      <c r="IM31" s="3">
        <v>0</v>
      </c>
      <c r="IN31" s="3">
        <v>0</v>
      </c>
      <c r="IO31" s="3">
        <v>0</v>
      </c>
      <c r="IP31" s="3">
        <v>0</v>
      </c>
      <c r="IQ31" s="3">
        <v>0</v>
      </c>
      <c r="IR31" s="3" t="s">
        <v>421</v>
      </c>
      <c r="IS31" s="3">
        <v>1</v>
      </c>
      <c r="IT31" s="3">
        <v>0</v>
      </c>
      <c r="IU31" s="3">
        <v>0</v>
      </c>
      <c r="IV31" s="3">
        <v>0</v>
      </c>
      <c r="IW31" s="3">
        <v>0</v>
      </c>
      <c r="IX31" s="3">
        <v>0</v>
      </c>
      <c r="IY31" s="3">
        <v>0</v>
      </c>
      <c r="IZ31" s="2" t="s">
        <v>268</v>
      </c>
      <c r="JA31" s="2"/>
    </row>
    <row r="32" spans="1:261" ht="13.2" x14ac:dyDescent="0.25">
      <c r="A32" s="10">
        <v>32</v>
      </c>
      <c r="B32" s="2" t="s">
        <v>422</v>
      </c>
      <c r="C32" s="2" t="s">
        <v>261</v>
      </c>
      <c r="D32" s="2" t="s">
        <v>270</v>
      </c>
      <c r="E32" s="2">
        <v>27</v>
      </c>
      <c r="F32" s="11" t="s">
        <v>423</v>
      </c>
      <c r="G32" s="11" t="s">
        <v>419</v>
      </c>
      <c r="H32" s="2" t="s">
        <v>424</v>
      </c>
      <c r="I32" s="3">
        <v>1</v>
      </c>
      <c r="J32" s="3">
        <v>2</v>
      </c>
      <c r="K32" s="3">
        <v>1</v>
      </c>
      <c r="L32" s="3">
        <v>0</v>
      </c>
      <c r="M32" s="3">
        <v>1</v>
      </c>
      <c r="N32" s="3">
        <v>3</v>
      </c>
      <c r="O32" s="3">
        <v>1</v>
      </c>
      <c r="P32" s="3">
        <v>2</v>
      </c>
      <c r="Q32" s="3">
        <v>1</v>
      </c>
      <c r="R32" s="3">
        <v>1</v>
      </c>
      <c r="S32" s="3">
        <v>0</v>
      </c>
      <c r="T32" s="3">
        <v>2</v>
      </c>
      <c r="U32" s="3">
        <v>3</v>
      </c>
      <c r="V32" s="3">
        <v>0</v>
      </c>
      <c r="W32" s="3">
        <v>1</v>
      </c>
      <c r="X32" s="3">
        <v>2</v>
      </c>
      <c r="Y32" s="3">
        <v>2</v>
      </c>
      <c r="Z32" s="3">
        <v>1</v>
      </c>
      <c r="AA32" s="3">
        <v>2</v>
      </c>
      <c r="AB32" s="3">
        <v>3</v>
      </c>
      <c r="AC32" s="3">
        <v>2</v>
      </c>
      <c r="AD32" s="3">
        <v>2</v>
      </c>
      <c r="AE32" s="3">
        <v>1</v>
      </c>
      <c r="AF32" s="3">
        <v>0</v>
      </c>
      <c r="AG32" s="3">
        <v>0</v>
      </c>
      <c r="AH32" s="3">
        <v>0</v>
      </c>
      <c r="AI32" s="3">
        <v>3</v>
      </c>
      <c r="AJ32" s="3">
        <v>4</v>
      </c>
      <c r="AK32" s="3">
        <v>4</v>
      </c>
      <c r="AL32" s="3">
        <v>4</v>
      </c>
      <c r="AM32" s="3">
        <v>1</v>
      </c>
      <c r="AN32" s="3">
        <v>0</v>
      </c>
      <c r="AO32" s="3">
        <v>2</v>
      </c>
      <c r="AP32" s="3">
        <v>1</v>
      </c>
      <c r="AQ32" s="3">
        <v>1</v>
      </c>
      <c r="AR32" s="3">
        <v>0</v>
      </c>
      <c r="AS32" s="3">
        <v>1</v>
      </c>
      <c r="AT32" s="3">
        <v>1</v>
      </c>
      <c r="AU32" s="3">
        <v>1</v>
      </c>
      <c r="AV32" s="3">
        <v>0</v>
      </c>
      <c r="AW32" s="3">
        <v>2</v>
      </c>
      <c r="AX32" s="3">
        <v>1</v>
      </c>
      <c r="AY32" s="3">
        <v>1</v>
      </c>
      <c r="AZ32" s="3">
        <v>1</v>
      </c>
      <c r="BA32" s="3">
        <v>0</v>
      </c>
      <c r="BB32" s="3">
        <v>2</v>
      </c>
      <c r="BC32" s="3">
        <v>1</v>
      </c>
      <c r="BD32" s="3">
        <v>2</v>
      </c>
      <c r="BE32" s="3">
        <v>0</v>
      </c>
      <c r="BF32" s="3">
        <v>0</v>
      </c>
      <c r="BG32" s="3">
        <v>3</v>
      </c>
      <c r="BH32" s="3">
        <v>1</v>
      </c>
      <c r="BI32" s="3">
        <v>1</v>
      </c>
      <c r="BJ32" s="3">
        <v>2</v>
      </c>
      <c r="BK32" s="3">
        <v>2</v>
      </c>
      <c r="BL32" s="3">
        <v>0</v>
      </c>
      <c r="BM32" s="3" t="s">
        <v>274</v>
      </c>
      <c r="BN32" s="3">
        <v>2</v>
      </c>
      <c r="BO32" s="3">
        <v>0</v>
      </c>
      <c r="BP32" s="3">
        <v>3</v>
      </c>
      <c r="BQ32" s="3">
        <v>3</v>
      </c>
      <c r="BR32" s="3">
        <v>2</v>
      </c>
      <c r="BS32" s="3">
        <v>2</v>
      </c>
      <c r="BT32" s="3">
        <v>1</v>
      </c>
      <c r="BU32" s="2">
        <v>0</v>
      </c>
      <c r="BV32" s="2">
        <v>1</v>
      </c>
      <c r="BW32" s="2">
        <v>1</v>
      </c>
      <c r="BX32" s="2">
        <v>1</v>
      </c>
      <c r="BY32" s="2">
        <v>0</v>
      </c>
      <c r="BZ32" s="2">
        <v>0</v>
      </c>
      <c r="CA32" s="2">
        <v>0</v>
      </c>
      <c r="CB32" s="2">
        <v>1</v>
      </c>
      <c r="CC32" s="2">
        <v>1</v>
      </c>
      <c r="CD32" s="2">
        <v>0</v>
      </c>
      <c r="CE32" s="2">
        <v>0</v>
      </c>
      <c r="CF32" s="2">
        <v>0</v>
      </c>
      <c r="CG32" s="2">
        <v>0</v>
      </c>
      <c r="CH32" s="2">
        <v>0</v>
      </c>
      <c r="CI32" s="2">
        <v>1</v>
      </c>
      <c r="CJ32" s="2">
        <v>0</v>
      </c>
      <c r="CK32" s="2">
        <v>0</v>
      </c>
      <c r="CL32" s="2">
        <v>0</v>
      </c>
      <c r="CM32" s="2">
        <v>0</v>
      </c>
      <c r="CN32" s="2">
        <v>4</v>
      </c>
      <c r="CO32" s="2">
        <v>0</v>
      </c>
      <c r="CP32" s="2">
        <v>0</v>
      </c>
      <c r="CQ32" s="2">
        <v>1</v>
      </c>
      <c r="CR32" s="2">
        <v>1</v>
      </c>
      <c r="CS32" s="2">
        <v>0</v>
      </c>
      <c r="CT32" s="2">
        <v>0</v>
      </c>
      <c r="CU32" s="2">
        <v>0</v>
      </c>
      <c r="CV32" s="2">
        <v>0</v>
      </c>
      <c r="CW32" s="2">
        <v>0</v>
      </c>
      <c r="CX32" s="2">
        <v>0</v>
      </c>
      <c r="CY32" s="2">
        <v>0</v>
      </c>
      <c r="CZ32" s="2">
        <v>0</v>
      </c>
      <c r="DA32" s="2">
        <v>0</v>
      </c>
      <c r="DB32" s="2">
        <v>0</v>
      </c>
      <c r="DC32" s="2">
        <v>0</v>
      </c>
      <c r="DD32" s="2">
        <v>0</v>
      </c>
      <c r="DE32" s="2">
        <v>0</v>
      </c>
      <c r="DF32" s="2">
        <v>0</v>
      </c>
      <c r="DG32" s="2">
        <v>2</v>
      </c>
      <c r="DH32" s="2">
        <v>1</v>
      </c>
      <c r="DI32" s="2">
        <v>0</v>
      </c>
      <c r="DJ32" s="2">
        <v>0</v>
      </c>
      <c r="DK32" s="2">
        <v>1</v>
      </c>
      <c r="DL32" s="2">
        <v>0</v>
      </c>
      <c r="DM32" s="2">
        <v>0</v>
      </c>
      <c r="DN32" s="2">
        <v>0</v>
      </c>
      <c r="DO32" s="2">
        <v>0</v>
      </c>
      <c r="DP32" s="2">
        <v>1</v>
      </c>
      <c r="DQ32" s="2">
        <v>1</v>
      </c>
      <c r="DR32" s="2">
        <v>0</v>
      </c>
      <c r="DS32" s="2">
        <v>0</v>
      </c>
      <c r="DT32" s="2">
        <v>0</v>
      </c>
      <c r="DU32" s="2">
        <v>0</v>
      </c>
      <c r="DV32" s="2">
        <v>0</v>
      </c>
      <c r="DW32" s="2">
        <v>0</v>
      </c>
      <c r="DX32" s="2">
        <v>1</v>
      </c>
      <c r="DY32" s="2">
        <v>0</v>
      </c>
      <c r="DZ32" s="2">
        <v>0</v>
      </c>
      <c r="EA32" s="2">
        <v>0</v>
      </c>
      <c r="EB32" s="2">
        <v>0</v>
      </c>
      <c r="EC32" s="2">
        <v>0</v>
      </c>
      <c r="ED32" s="2">
        <v>0</v>
      </c>
      <c r="EE32" s="2">
        <v>0</v>
      </c>
      <c r="EF32" s="2">
        <v>0</v>
      </c>
      <c r="EG32" s="2">
        <v>0</v>
      </c>
      <c r="EH32" s="2">
        <v>0</v>
      </c>
      <c r="EI32" s="2">
        <v>1</v>
      </c>
      <c r="EJ32" s="2">
        <v>0</v>
      </c>
      <c r="EK32" s="2">
        <v>1</v>
      </c>
      <c r="EL32" s="2">
        <v>0</v>
      </c>
      <c r="EM32" s="2">
        <v>0</v>
      </c>
      <c r="EN32" s="2">
        <v>0</v>
      </c>
      <c r="EO32" s="2">
        <v>0</v>
      </c>
      <c r="EP32" s="2">
        <v>0</v>
      </c>
      <c r="EQ32" s="2">
        <v>0</v>
      </c>
      <c r="ER32" s="2">
        <v>0</v>
      </c>
      <c r="ES32" s="2">
        <v>0</v>
      </c>
      <c r="ET32" s="2">
        <v>0</v>
      </c>
      <c r="EU32" s="2">
        <v>0</v>
      </c>
      <c r="EV32" s="2">
        <v>0</v>
      </c>
      <c r="EW32" s="2">
        <v>0</v>
      </c>
      <c r="EX32" s="2">
        <v>0</v>
      </c>
      <c r="EY32" s="2">
        <v>3</v>
      </c>
      <c r="EZ32" s="2">
        <v>1</v>
      </c>
      <c r="FA32" s="2">
        <v>1</v>
      </c>
      <c r="FB32" s="2">
        <v>0</v>
      </c>
      <c r="FC32" s="2">
        <v>1</v>
      </c>
      <c r="FD32" s="2">
        <v>1</v>
      </c>
      <c r="FE32" s="2">
        <v>0</v>
      </c>
      <c r="FF32" s="2">
        <v>1</v>
      </c>
      <c r="FG32" s="2">
        <v>0</v>
      </c>
      <c r="FH32" s="2">
        <v>0</v>
      </c>
      <c r="FI32" s="2">
        <v>0</v>
      </c>
      <c r="FJ32" s="2">
        <v>0</v>
      </c>
      <c r="FK32" s="2">
        <v>0</v>
      </c>
      <c r="FL32" s="2">
        <v>0</v>
      </c>
      <c r="FM32" s="2">
        <v>4</v>
      </c>
      <c r="FN32" s="2">
        <v>0</v>
      </c>
      <c r="FO32" s="2">
        <v>0</v>
      </c>
      <c r="FP32" s="2">
        <v>0</v>
      </c>
      <c r="FQ32" s="2">
        <v>0</v>
      </c>
      <c r="FR32" s="2">
        <v>0</v>
      </c>
      <c r="FS32" s="2">
        <v>0</v>
      </c>
      <c r="FT32" s="2">
        <v>1</v>
      </c>
      <c r="FU32" s="2">
        <v>0</v>
      </c>
      <c r="FV32" s="2">
        <v>1</v>
      </c>
      <c r="FW32" s="2">
        <v>1</v>
      </c>
      <c r="FX32" s="2">
        <v>0</v>
      </c>
      <c r="FY32" s="2">
        <v>0</v>
      </c>
      <c r="FZ32" s="2">
        <v>0</v>
      </c>
      <c r="GA32" s="2">
        <v>0</v>
      </c>
      <c r="GB32" s="2">
        <v>0</v>
      </c>
      <c r="GC32" s="2" t="s">
        <v>274</v>
      </c>
      <c r="GD32" s="2">
        <v>1</v>
      </c>
      <c r="GE32" s="2">
        <v>0</v>
      </c>
      <c r="GF32" s="2">
        <v>1</v>
      </c>
      <c r="GG32" s="2">
        <v>1</v>
      </c>
      <c r="GH32" s="2">
        <v>1</v>
      </c>
      <c r="GI32" s="2">
        <v>0</v>
      </c>
      <c r="GJ32" s="2">
        <v>0</v>
      </c>
      <c r="GK32" s="2">
        <v>0</v>
      </c>
      <c r="GL32" s="2">
        <v>0</v>
      </c>
      <c r="GM32" s="2">
        <v>0</v>
      </c>
      <c r="GN32" s="3">
        <v>3</v>
      </c>
      <c r="GO32" s="3">
        <v>2</v>
      </c>
      <c r="GP32" s="3">
        <v>2</v>
      </c>
      <c r="GQ32" s="3">
        <v>1</v>
      </c>
      <c r="GR32" s="3">
        <v>1</v>
      </c>
      <c r="GS32" s="3">
        <v>4</v>
      </c>
      <c r="GT32" s="3">
        <v>2</v>
      </c>
      <c r="GU32" s="3">
        <v>0</v>
      </c>
      <c r="GV32" s="3">
        <v>0</v>
      </c>
      <c r="GW32" s="3">
        <v>1</v>
      </c>
      <c r="GX32" s="3">
        <v>3</v>
      </c>
      <c r="GY32" s="3">
        <v>1</v>
      </c>
      <c r="GZ32" s="3">
        <v>3</v>
      </c>
      <c r="HA32" s="3">
        <v>1</v>
      </c>
      <c r="HB32" s="3">
        <v>1</v>
      </c>
      <c r="HC32" s="3">
        <v>0</v>
      </c>
      <c r="HD32" s="3">
        <v>0</v>
      </c>
      <c r="HE32" s="3">
        <v>0</v>
      </c>
      <c r="HF32" s="3">
        <v>0</v>
      </c>
      <c r="HG32" s="3">
        <v>0</v>
      </c>
      <c r="HH32" s="3">
        <v>0</v>
      </c>
      <c r="HI32" s="3">
        <v>0</v>
      </c>
      <c r="HJ32" s="3">
        <v>0</v>
      </c>
      <c r="HK32" s="3">
        <v>1</v>
      </c>
      <c r="HL32" s="3">
        <v>1</v>
      </c>
      <c r="HM32" s="3">
        <v>0</v>
      </c>
      <c r="HN32" s="3">
        <v>0</v>
      </c>
      <c r="HO32" s="3">
        <v>1</v>
      </c>
      <c r="HP32" s="3">
        <v>0</v>
      </c>
      <c r="HQ32" s="3">
        <v>0</v>
      </c>
      <c r="HR32" s="3">
        <v>0</v>
      </c>
      <c r="HS32" s="3">
        <v>0</v>
      </c>
      <c r="HT32" s="3">
        <v>0</v>
      </c>
      <c r="HU32" s="3">
        <v>0</v>
      </c>
      <c r="HV32" s="3">
        <v>3</v>
      </c>
      <c r="HW32" s="3">
        <v>0</v>
      </c>
      <c r="HX32" s="3">
        <v>0</v>
      </c>
      <c r="HY32" s="3">
        <v>0</v>
      </c>
      <c r="HZ32" s="3">
        <v>0</v>
      </c>
      <c r="IA32" s="3">
        <v>3</v>
      </c>
      <c r="IB32" s="3">
        <v>0</v>
      </c>
      <c r="IC32" s="3">
        <v>0</v>
      </c>
      <c r="ID32" s="3">
        <v>0</v>
      </c>
      <c r="IE32" s="3">
        <v>0</v>
      </c>
      <c r="IF32" s="3">
        <v>0</v>
      </c>
      <c r="IG32" s="3">
        <v>0</v>
      </c>
      <c r="IH32" s="3">
        <v>0</v>
      </c>
      <c r="II32" s="3">
        <v>0</v>
      </c>
      <c r="IJ32" s="3">
        <v>1</v>
      </c>
      <c r="IK32" s="3">
        <v>0</v>
      </c>
      <c r="IL32" s="3">
        <v>1</v>
      </c>
      <c r="IM32" s="3">
        <v>0</v>
      </c>
      <c r="IN32" s="3">
        <v>0</v>
      </c>
      <c r="IO32" s="3">
        <v>0</v>
      </c>
      <c r="IP32" s="3">
        <v>2</v>
      </c>
      <c r="IQ32" s="3">
        <v>1</v>
      </c>
      <c r="IR32" s="3" t="s">
        <v>274</v>
      </c>
      <c r="IS32" s="3">
        <v>2</v>
      </c>
      <c r="IT32" s="3">
        <v>1</v>
      </c>
      <c r="IU32" s="3">
        <v>0</v>
      </c>
      <c r="IV32" s="3">
        <v>3</v>
      </c>
      <c r="IW32" s="3">
        <v>3</v>
      </c>
      <c r="IX32" s="3">
        <v>0</v>
      </c>
      <c r="IY32" s="3">
        <v>3</v>
      </c>
      <c r="IZ32" s="2" t="s">
        <v>268</v>
      </c>
      <c r="JA32" s="2"/>
    </row>
    <row r="33" spans="1:261" ht="13.2" x14ac:dyDescent="0.25">
      <c r="A33" s="10">
        <v>33</v>
      </c>
      <c r="B33" s="2" t="s">
        <v>425</v>
      </c>
      <c r="C33" s="2" t="s">
        <v>276</v>
      </c>
      <c r="D33" s="2" t="s">
        <v>270</v>
      </c>
      <c r="E33" s="2">
        <v>15</v>
      </c>
      <c r="F33" s="11" t="s">
        <v>426</v>
      </c>
      <c r="G33" s="11" t="s">
        <v>427</v>
      </c>
      <c r="H33" s="2" t="s">
        <v>428</v>
      </c>
      <c r="I33" s="3">
        <v>4</v>
      </c>
      <c r="J33" s="3">
        <v>2</v>
      </c>
      <c r="K33" s="3">
        <v>4</v>
      </c>
      <c r="L33" s="3">
        <v>3</v>
      </c>
      <c r="M33" s="3">
        <v>3</v>
      </c>
      <c r="N33" s="3">
        <v>3</v>
      </c>
      <c r="O33" s="3">
        <v>2</v>
      </c>
      <c r="P33" s="3">
        <v>3</v>
      </c>
      <c r="Q33" s="3">
        <v>2</v>
      </c>
      <c r="R33" s="3">
        <v>1</v>
      </c>
      <c r="S33" s="3">
        <v>1</v>
      </c>
      <c r="T33" s="3">
        <v>0</v>
      </c>
      <c r="U33" s="3">
        <v>3</v>
      </c>
      <c r="V33" s="3">
        <v>1</v>
      </c>
      <c r="W33" s="3">
        <v>2</v>
      </c>
      <c r="X33" s="3">
        <v>2</v>
      </c>
      <c r="Y33" s="3">
        <v>2</v>
      </c>
      <c r="Z33" s="3">
        <v>3</v>
      </c>
      <c r="AA33" s="3">
        <v>4</v>
      </c>
      <c r="AB33" s="3">
        <v>4</v>
      </c>
      <c r="AC33" s="3">
        <v>4</v>
      </c>
      <c r="AD33" s="3">
        <v>4</v>
      </c>
      <c r="AE33" s="3">
        <v>2</v>
      </c>
      <c r="AF33" s="3">
        <v>3</v>
      </c>
      <c r="AG33" s="3">
        <v>3</v>
      </c>
      <c r="AH33" s="3">
        <v>2</v>
      </c>
      <c r="AI33" s="3">
        <v>3</v>
      </c>
      <c r="AJ33" s="3">
        <v>3</v>
      </c>
      <c r="AK33" s="3">
        <v>3</v>
      </c>
      <c r="AL33" s="3">
        <v>3</v>
      </c>
      <c r="AM33" s="3">
        <v>3</v>
      </c>
      <c r="AN33" s="3">
        <v>2</v>
      </c>
      <c r="AO33" s="3">
        <v>3</v>
      </c>
      <c r="AP33" s="3">
        <v>3</v>
      </c>
      <c r="AQ33" s="3">
        <v>2</v>
      </c>
      <c r="AR33" s="3">
        <v>1</v>
      </c>
      <c r="AS33" s="3">
        <v>1</v>
      </c>
      <c r="AT33" s="3">
        <v>3</v>
      </c>
      <c r="AU33" s="3">
        <v>3</v>
      </c>
      <c r="AV33" s="3">
        <v>3</v>
      </c>
      <c r="AW33" s="3">
        <v>3</v>
      </c>
      <c r="AX33" s="3">
        <v>1</v>
      </c>
      <c r="AY33" s="3">
        <v>2</v>
      </c>
      <c r="AZ33" s="3">
        <v>3</v>
      </c>
      <c r="BA33" s="3">
        <v>2</v>
      </c>
      <c r="BB33" s="3">
        <v>2</v>
      </c>
      <c r="BC33" s="3">
        <v>3</v>
      </c>
      <c r="BD33" s="3">
        <v>3</v>
      </c>
      <c r="BE33" s="3">
        <v>3</v>
      </c>
      <c r="BF33" s="3">
        <v>3</v>
      </c>
      <c r="BG33" s="3">
        <v>3</v>
      </c>
      <c r="BH33" s="3">
        <v>3</v>
      </c>
      <c r="BI33" s="3">
        <v>2</v>
      </c>
      <c r="BJ33" s="3">
        <v>1</v>
      </c>
      <c r="BK33" s="3">
        <v>3</v>
      </c>
      <c r="BL33" s="3">
        <v>2</v>
      </c>
      <c r="BM33" s="3" t="s">
        <v>429</v>
      </c>
      <c r="BN33" s="3">
        <v>3</v>
      </c>
      <c r="BO33" s="3">
        <v>3</v>
      </c>
      <c r="BP33" s="3">
        <v>3</v>
      </c>
      <c r="BQ33" s="3">
        <v>3</v>
      </c>
      <c r="BR33" s="3">
        <v>3</v>
      </c>
      <c r="BS33" s="3">
        <v>3</v>
      </c>
      <c r="BT33" s="3">
        <v>3</v>
      </c>
      <c r="BU33" s="2">
        <v>4</v>
      </c>
      <c r="BV33" s="2">
        <v>2</v>
      </c>
      <c r="BW33" s="2">
        <v>4</v>
      </c>
      <c r="BX33" s="2">
        <v>2</v>
      </c>
      <c r="BY33" s="2">
        <v>2</v>
      </c>
      <c r="BZ33" s="2">
        <v>2</v>
      </c>
      <c r="CA33" s="2">
        <v>2</v>
      </c>
      <c r="CB33" s="2">
        <v>4</v>
      </c>
      <c r="CC33" s="2">
        <v>2</v>
      </c>
      <c r="CD33" s="2">
        <v>4</v>
      </c>
      <c r="CE33" s="2">
        <v>2</v>
      </c>
      <c r="CF33" s="2">
        <v>2</v>
      </c>
      <c r="CG33" s="2">
        <v>2</v>
      </c>
      <c r="CH33" s="2">
        <v>1</v>
      </c>
      <c r="CI33" s="2">
        <v>4</v>
      </c>
      <c r="CJ33" s="2">
        <v>2</v>
      </c>
      <c r="CK33" s="2">
        <v>2</v>
      </c>
      <c r="CL33" s="2">
        <v>2</v>
      </c>
      <c r="CM33" s="2">
        <v>1</v>
      </c>
      <c r="CN33" s="2">
        <v>1</v>
      </c>
      <c r="CO33" s="2">
        <v>2</v>
      </c>
      <c r="CP33" s="2">
        <v>1</v>
      </c>
      <c r="CQ33" s="2">
        <v>4</v>
      </c>
      <c r="CR33" s="2">
        <v>2</v>
      </c>
      <c r="CS33" s="2">
        <v>3</v>
      </c>
      <c r="CT33" s="2">
        <v>1</v>
      </c>
      <c r="CU33" s="2">
        <v>1</v>
      </c>
      <c r="CV33" s="2">
        <v>2</v>
      </c>
      <c r="CW33" s="2">
        <v>2</v>
      </c>
      <c r="CX33" s="2">
        <v>1</v>
      </c>
      <c r="CY33" s="2">
        <v>2</v>
      </c>
      <c r="CZ33" s="2">
        <v>0</v>
      </c>
      <c r="DA33" s="2">
        <v>3</v>
      </c>
      <c r="DB33" s="2">
        <v>3</v>
      </c>
      <c r="DC33" s="2">
        <v>1</v>
      </c>
      <c r="DD33" s="2">
        <v>2</v>
      </c>
      <c r="DE33" s="2">
        <v>2</v>
      </c>
      <c r="DF33" s="2">
        <v>2</v>
      </c>
      <c r="DG33" s="2">
        <v>3</v>
      </c>
      <c r="DH33" s="2">
        <v>3</v>
      </c>
      <c r="DI33" s="2">
        <v>2</v>
      </c>
      <c r="DJ33" s="2">
        <v>1</v>
      </c>
      <c r="DK33" s="2">
        <v>2</v>
      </c>
      <c r="DL33" s="2">
        <v>3</v>
      </c>
      <c r="DM33" s="2">
        <v>2</v>
      </c>
      <c r="DN33" s="2">
        <v>2</v>
      </c>
      <c r="DO33" s="2">
        <v>3</v>
      </c>
      <c r="DP33" s="2">
        <v>4</v>
      </c>
      <c r="DQ33" s="2">
        <v>4</v>
      </c>
      <c r="DR33" s="2">
        <v>2</v>
      </c>
      <c r="DS33" s="2">
        <v>4</v>
      </c>
      <c r="DT33" s="2">
        <v>4</v>
      </c>
      <c r="DU33" s="2">
        <v>2</v>
      </c>
      <c r="DV33" s="2">
        <v>2</v>
      </c>
      <c r="DW33" s="2">
        <v>4</v>
      </c>
      <c r="DX33" s="2">
        <v>3</v>
      </c>
      <c r="DY33" s="2">
        <v>2</v>
      </c>
      <c r="DZ33" s="2">
        <v>1</v>
      </c>
      <c r="EA33" s="2">
        <v>1</v>
      </c>
      <c r="EB33" s="2">
        <v>4</v>
      </c>
      <c r="EC33" s="2">
        <v>4</v>
      </c>
      <c r="ED33" s="2">
        <v>2</v>
      </c>
      <c r="EE33" s="2">
        <v>4</v>
      </c>
      <c r="EF33" s="2">
        <v>3</v>
      </c>
      <c r="EG33" s="2">
        <v>3</v>
      </c>
      <c r="EH33" s="2">
        <v>3</v>
      </c>
      <c r="EI33" s="2">
        <v>3</v>
      </c>
      <c r="EJ33" s="2">
        <v>3</v>
      </c>
      <c r="EK33" s="2">
        <v>2</v>
      </c>
      <c r="EL33" s="2">
        <v>3</v>
      </c>
      <c r="EM33" s="2">
        <v>3</v>
      </c>
      <c r="EN33" s="2">
        <v>3</v>
      </c>
      <c r="EO33" s="2">
        <v>2</v>
      </c>
      <c r="EP33" s="2">
        <v>1</v>
      </c>
      <c r="EQ33" s="2">
        <v>2</v>
      </c>
      <c r="ER33" s="2">
        <v>1</v>
      </c>
      <c r="ES33" s="2">
        <v>2</v>
      </c>
      <c r="ET33" s="2">
        <v>2</v>
      </c>
      <c r="EU33" s="2">
        <v>4</v>
      </c>
      <c r="EV33" s="2">
        <v>4</v>
      </c>
      <c r="EW33" s="2">
        <v>3</v>
      </c>
      <c r="EX33" s="2">
        <v>4</v>
      </c>
      <c r="EY33" s="2">
        <v>3</v>
      </c>
      <c r="EZ33" s="2">
        <v>2</v>
      </c>
      <c r="FA33" s="2">
        <v>4</v>
      </c>
      <c r="FB33" s="2">
        <v>2</v>
      </c>
      <c r="FC33" s="2">
        <v>2</v>
      </c>
      <c r="FD33" s="2">
        <v>1</v>
      </c>
      <c r="FE33" s="2">
        <v>2</v>
      </c>
      <c r="FF33" s="2">
        <v>4</v>
      </c>
      <c r="FG33" s="2">
        <v>4</v>
      </c>
      <c r="FH33" s="2">
        <v>2</v>
      </c>
      <c r="FI33" s="2">
        <v>2</v>
      </c>
      <c r="FJ33" s="2">
        <v>2</v>
      </c>
      <c r="FK33" s="2">
        <v>3</v>
      </c>
      <c r="FL33" s="2">
        <v>2</v>
      </c>
      <c r="FM33" s="2">
        <v>2</v>
      </c>
      <c r="FN33" s="2">
        <v>3</v>
      </c>
      <c r="FO33" s="2">
        <v>2</v>
      </c>
      <c r="FP33" s="2">
        <v>3</v>
      </c>
      <c r="FQ33" s="2">
        <v>3</v>
      </c>
      <c r="FR33" s="2">
        <v>3</v>
      </c>
      <c r="FS33" s="2">
        <v>2</v>
      </c>
      <c r="FT33" s="2">
        <v>3</v>
      </c>
      <c r="FU33" s="2">
        <v>1</v>
      </c>
      <c r="FV33" s="2">
        <v>2</v>
      </c>
      <c r="FW33" s="2">
        <v>2</v>
      </c>
      <c r="FX33" s="2">
        <v>3</v>
      </c>
      <c r="FY33" s="2">
        <v>3</v>
      </c>
      <c r="FZ33" s="2">
        <v>3</v>
      </c>
      <c r="GA33" s="2">
        <v>2</v>
      </c>
      <c r="GB33" s="2">
        <v>3</v>
      </c>
      <c r="GC33" s="2" t="s">
        <v>430</v>
      </c>
      <c r="GD33" s="2">
        <v>4</v>
      </c>
      <c r="GE33" s="2">
        <v>4</v>
      </c>
      <c r="GF33" s="2">
        <v>4</v>
      </c>
      <c r="GG33" s="2">
        <v>3</v>
      </c>
      <c r="GH33" s="2">
        <v>4</v>
      </c>
      <c r="GI33" s="2">
        <v>4</v>
      </c>
      <c r="GJ33" s="2">
        <v>4</v>
      </c>
      <c r="GK33" s="2">
        <v>3</v>
      </c>
      <c r="GL33" s="2">
        <v>3</v>
      </c>
      <c r="GM33" s="2">
        <v>4</v>
      </c>
      <c r="GN33" s="3">
        <v>4</v>
      </c>
      <c r="GO33" s="3">
        <v>3</v>
      </c>
      <c r="GP33" s="3">
        <v>3</v>
      </c>
      <c r="GQ33" s="3">
        <v>3</v>
      </c>
      <c r="GR33" s="3">
        <v>3</v>
      </c>
      <c r="GS33" s="3">
        <v>3</v>
      </c>
      <c r="GT33" s="3">
        <v>3</v>
      </c>
      <c r="GU33" s="3">
        <v>0</v>
      </c>
      <c r="GV33" s="3">
        <v>3</v>
      </c>
      <c r="GW33" s="3">
        <v>3</v>
      </c>
      <c r="GX33" s="3">
        <v>3</v>
      </c>
      <c r="GY33" s="3">
        <v>0</v>
      </c>
      <c r="GZ33" s="3">
        <v>3</v>
      </c>
      <c r="HA33" s="3">
        <v>2</v>
      </c>
      <c r="HB33" s="3">
        <v>2</v>
      </c>
      <c r="HC33" s="3">
        <v>0</v>
      </c>
      <c r="HD33" s="3">
        <v>2</v>
      </c>
      <c r="HE33" s="3">
        <v>0</v>
      </c>
      <c r="HF33" s="3">
        <v>3</v>
      </c>
      <c r="HG33" s="3">
        <v>0</v>
      </c>
      <c r="HH33" s="3">
        <v>3</v>
      </c>
      <c r="HI33" s="3">
        <v>0</v>
      </c>
      <c r="HJ33" s="3">
        <v>2</v>
      </c>
      <c r="HK33" s="3">
        <v>4</v>
      </c>
      <c r="HL33" s="3">
        <v>0</v>
      </c>
      <c r="HM33" s="3">
        <v>3</v>
      </c>
      <c r="HN33" s="3">
        <v>0</v>
      </c>
      <c r="HO33" s="3">
        <v>3</v>
      </c>
      <c r="HP33" s="3">
        <v>0</v>
      </c>
      <c r="HQ33" s="3">
        <v>3</v>
      </c>
      <c r="HR33" s="3">
        <v>4</v>
      </c>
      <c r="HS33" s="3">
        <v>4</v>
      </c>
      <c r="HT33" s="3">
        <v>4</v>
      </c>
      <c r="HU33" s="3">
        <v>4</v>
      </c>
      <c r="HV33" s="3">
        <v>4</v>
      </c>
      <c r="HW33" s="3">
        <v>0</v>
      </c>
      <c r="HX33" s="3">
        <v>2</v>
      </c>
      <c r="HY33" s="3">
        <v>3</v>
      </c>
      <c r="HZ33" s="3">
        <v>3</v>
      </c>
      <c r="IA33" s="3">
        <v>4</v>
      </c>
      <c r="IB33" s="3">
        <v>0</v>
      </c>
      <c r="IC33" s="3">
        <v>2</v>
      </c>
      <c r="ID33" s="3">
        <v>4</v>
      </c>
      <c r="IE33" s="3">
        <v>0</v>
      </c>
      <c r="IF33" s="3">
        <v>3</v>
      </c>
      <c r="IG33" s="3">
        <v>3</v>
      </c>
      <c r="IH33" s="3">
        <v>3</v>
      </c>
      <c r="II33" s="3">
        <v>0</v>
      </c>
      <c r="IJ33" s="3">
        <v>4</v>
      </c>
      <c r="IK33" s="3">
        <v>3</v>
      </c>
      <c r="IL33" s="3">
        <v>3</v>
      </c>
      <c r="IM33" s="3">
        <v>3</v>
      </c>
      <c r="IN33" s="3">
        <v>0</v>
      </c>
      <c r="IO33" s="3">
        <v>3</v>
      </c>
      <c r="IP33" s="3">
        <v>0</v>
      </c>
      <c r="IQ33" s="3">
        <v>3</v>
      </c>
      <c r="IR33" s="3" t="s">
        <v>274</v>
      </c>
      <c r="IS33" s="3">
        <v>4</v>
      </c>
      <c r="IT33" s="3">
        <v>4</v>
      </c>
      <c r="IU33" s="3">
        <v>0</v>
      </c>
      <c r="IV33" s="3">
        <v>4</v>
      </c>
      <c r="IW33" s="3">
        <v>4</v>
      </c>
      <c r="IX33" s="3">
        <v>2</v>
      </c>
      <c r="IY33" s="3">
        <v>1</v>
      </c>
      <c r="IZ33" s="2" t="s">
        <v>268</v>
      </c>
      <c r="JA33" s="2"/>
    </row>
    <row r="34" spans="1:261" ht="13.2" x14ac:dyDescent="0.25">
      <c r="A34" s="10">
        <v>34</v>
      </c>
      <c r="B34" s="2" t="s">
        <v>431</v>
      </c>
      <c r="C34" s="2" t="s">
        <v>276</v>
      </c>
      <c r="D34" s="2" t="s">
        <v>270</v>
      </c>
      <c r="E34" s="2">
        <v>21</v>
      </c>
      <c r="F34" s="11" t="s">
        <v>432</v>
      </c>
      <c r="G34" s="11" t="s">
        <v>433</v>
      </c>
      <c r="H34" s="2" t="s">
        <v>434</v>
      </c>
      <c r="I34" s="3">
        <v>2</v>
      </c>
      <c r="J34" s="3">
        <v>1</v>
      </c>
      <c r="K34" s="3">
        <v>1</v>
      </c>
      <c r="L34" s="3">
        <v>3</v>
      </c>
      <c r="M34" s="3">
        <v>3</v>
      </c>
      <c r="N34" s="3">
        <v>2</v>
      </c>
      <c r="O34" s="3">
        <v>3</v>
      </c>
      <c r="P34" s="3">
        <v>1</v>
      </c>
      <c r="Q34" s="3">
        <v>3</v>
      </c>
      <c r="R34" s="3">
        <v>3</v>
      </c>
      <c r="S34" s="3">
        <v>2</v>
      </c>
      <c r="T34" s="3">
        <v>2</v>
      </c>
      <c r="U34" s="3">
        <v>3</v>
      </c>
      <c r="V34" s="3">
        <v>1</v>
      </c>
      <c r="W34" s="3">
        <v>1</v>
      </c>
      <c r="X34" s="3">
        <v>3</v>
      </c>
      <c r="Y34" s="3">
        <v>3</v>
      </c>
      <c r="Z34" s="3">
        <v>3</v>
      </c>
      <c r="AA34" s="3">
        <v>4</v>
      </c>
      <c r="AB34" s="3">
        <v>4</v>
      </c>
      <c r="AC34" s="3">
        <v>3</v>
      </c>
      <c r="AD34" s="3">
        <v>4</v>
      </c>
      <c r="AE34" s="3">
        <v>3</v>
      </c>
      <c r="AF34" s="3">
        <v>0</v>
      </c>
      <c r="AG34" s="3">
        <v>0</v>
      </c>
      <c r="AH34" s="3">
        <v>0</v>
      </c>
      <c r="AI34" s="3">
        <v>3</v>
      </c>
      <c r="AJ34" s="3">
        <v>3</v>
      </c>
      <c r="AK34" s="3">
        <v>3</v>
      </c>
      <c r="AL34" s="3">
        <v>4</v>
      </c>
      <c r="AM34" s="3">
        <v>0</v>
      </c>
      <c r="AN34" s="3">
        <v>0</v>
      </c>
      <c r="AO34" s="3">
        <v>3</v>
      </c>
      <c r="AP34" s="3">
        <v>2</v>
      </c>
      <c r="AQ34" s="3">
        <v>1</v>
      </c>
      <c r="AR34" s="3">
        <v>1</v>
      </c>
      <c r="AS34" s="3">
        <v>3</v>
      </c>
      <c r="AT34" s="3">
        <v>4</v>
      </c>
      <c r="AU34" s="3">
        <v>3</v>
      </c>
      <c r="AV34" s="3">
        <v>2</v>
      </c>
      <c r="AW34" s="3">
        <v>3</v>
      </c>
      <c r="AX34" s="3">
        <v>2</v>
      </c>
      <c r="AY34" s="3">
        <v>3</v>
      </c>
      <c r="AZ34" s="3">
        <v>3</v>
      </c>
      <c r="BA34" s="3">
        <v>3</v>
      </c>
      <c r="BB34" s="3">
        <v>0</v>
      </c>
      <c r="BC34" s="3">
        <v>0</v>
      </c>
      <c r="BD34" s="3">
        <v>0</v>
      </c>
      <c r="BE34" s="3">
        <v>1</v>
      </c>
      <c r="BF34" s="3">
        <v>2</v>
      </c>
      <c r="BG34" s="3">
        <v>3</v>
      </c>
      <c r="BH34" s="3">
        <v>1</v>
      </c>
      <c r="BI34" s="3">
        <v>1</v>
      </c>
      <c r="BJ34" s="3">
        <v>2</v>
      </c>
      <c r="BK34" s="3">
        <v>2</v>
      </c>
      <c r="BL34" s="3">
        <v>0</v>
      </c>
      <c r="BM34" s="3" t="s">
        <v>274</v>
      </c>
      <c r="BN34" s="3">
        <v>2</v>
      </c>
      <c r="BO34" s="3">
        <v>1</v>
      </c>
      <c r="BP34" s="3">
        <v>2</v>
      </c>
      <c r="BQ34" s="3">
        <v>2</v>
      </c>
      <c r="BR34" s="3">
        <v>1</v>
      </c>
      <c r="BS34" s="3">
        <v>4</v>
      </c>
      <c r="BT34" s="3">
        <v>4</v>
      </c>
      <c r="BU34" s="2">
        <v>3</v>
      </c>
      <c r="BV34" s="2">
        <v>0</v>
      </c>
      <c r="BW34" s="2">
        <v>2</v>
      </c>
      <c r="BX34" s="2">
        <v>0</v>
      </c>
      <c r="BY34" s="2">
        <v>1</v>
      </c>
      <c r="BZ34" s="2">
        <v>0</v>
      </c>
      <c r="CA34" s="2">
        <v>2</v>
      </c>
      <c r="CB34" s="2">
        <v>1</v>
      </c>
      <c r="CC34" s="2">
        <v>0</v>
      </c>
      <c r="CD34" s="2">
        <v>3</v>
      </c>
      <c r="CE34" s="2">
        <v>0</v>
      </c>
      <c r="CF34" s="2">
        <v>1</v>
      </c>
      <c r="CG34" s="2">
        <v>0</v>
      </c>
      <c r="CH34" s="2">
        <v>0</v>
      </c>
      <c r="CI34" s="2">
        <v>2</v>
      </c>
      <c r="CJ34" s="2">
        <v>1</v>
      </c>
      <c r="CK34" s="2">
        <v>4</v>
      </c>
      <c r="CL34" s="2">
        <v>0</v>
      </c>
      <c r="CM34" s="2">
        <v>1</v>
      </c>
      <c r="CN34" s="2">
        <v>1</v>
      </c>
      <c r="CO34" s="2">
        <v>1</v>
      </c>
      <c r="CP34" s="2">
        <v>0</v>
      </c>
      <c r="CQ34" s="2">
        <v>0</v>
      </c>
      <c r="CR34" s="2">
        <v>2</v>
      </c>
      <c r="CS34" s="2">
        <v>0</v>
      </c>
      <c r="CT34" s="2">
        <v>1</v>
      </c>
      <c r="CU34" s="2">
        <v>0</v>
      </c>
      <c r="CV34" s="2">
        <v>2</v>
      </c>
      <c r="CW34" s="2">
        <v>3</v>
      </c>
      <c r="CX34" s="2">
        <v>1</v>
      </c>
      <c r="CY34" s="2">
        <v>0</v>
      </c>
      <c r="CZ34" s="2">
        <v>0</v>
      </c>
      <c r="DA34" s="2">
        <v>0</v>
      </c>
      <c r="DB34" s="2">
        <v>0</v>
      </c>
      <c r="DC34" s="2">
        <v>2</v>
      </c>
      <c r="DD34" s="2">
        <v>0</v>
      </c>
      <c r="DE34" s="2">
        <v>1</v>
      </c>
      <c r="DF34" s="2">
        <v>4</v>
      </c>
      <c r="DG34" s="2">
        <v>0</v>
      </c>
      <c r="DH34" s="2">
        <v>1</v>
      </c>
      <c r="DI34" s="2">
        <v>0</v>
      </c>
      <c r="DJ34" s="2">
        <v>2</v>
      </c>
      <c r="DK34" s="2">
        <v>0</v>
      </c>
      <c r="DL34" s="2">
        <v>4</v>
      </c>
      <c r="DM34" s="2">
        <v>0</v>
      </c>
      <c r="DN34" s="2">
        <v>1</v>
      </c>
      <c r="DO34" s="2">
        <v>0</v>
      </c>
      <c r="DP34" s="2">
        <v>2</v>
      </c>
      <c r="DQ34" s="2">
        <v>4</v>
      </c>
      <c r="DR34" s="2">
        <v>0</v>
      </c>
      <c r="DS34" s="2">
        <v>1</v>
      </c>
      <c r="DT34" s="2">
        <v>1</v>
      </c>
      <c r="DU34" s="2">
        <v>2</v>
      </c>
      <c r="DV34" s="2">
        <v>0</v>
      </c>
      <c r="DW34" s="2">
        <v>3</v>
      </c>
      <c r="DX34" s="2">
        <v>3</v>
      </c>
      <c r="DY34" s="2">
        <v>2</v>
      </c>
      <c r="DZ34" s="2">
        <v>1</v>
      </c>
      <c r="EA34" s="2">
        <v>3</v>
      </c>
      <c r="EB34" s="2">
        <v>0</v>
      </c>
      <c r="EC34" s="2">
        <v>0</v>
      </c>
      <c r="ED34" s="2">
        <v>0</v>
      </c>
      <c r="EE34" s="2">
        <v>0</v>
      </c>
      <c r="EF34" s="2">
        <v>0</v>
      </c>
      <c r="EG34" s="2">
        <v>0</v>
      </c>
      <c r="EH34" s="2">
        <v>0</v>
      </c>
      <c r="EI34" s="2">
        <v>4</v>
      </c>
      <c r="EJ34" s="2">
        <v>4</v>
      </c>
      <c r="EK34" s="2">
        <v>0</v>
      </c>
      <c r="EL34" s="2">
        <v>0</v>
      </c>
      <c r="EM34" s="2">
        <v>3</v>
      </c>
      <c r="EN34" s="2">
        <v>0</v>
      </c>
      <c r="EO34" s="2">
        <v>0</v>
      </c>
      <c r="EP34" s="2">
        <v>2</v>
      </c>
      <c r="EQ34" s="2">
        <v>2</v>
      </c>
      <c r="ER34" s="2">
        <v>0</v>
      </c>
      <c r="ES34" s="2">
        <v>0</v>
      </c>
      <c r="ET34" s="2">
        <v>0</v>
      </c>
      <c r="EU34" s="2">
        <v>3</v>
      </c>
      <c r="EV34" s="2">
        <v>3</v>
      </c>
      <c r="EW34" s="2">
        <v>0</v>
      </c>
      <c r="EX34" s="2">
        <v>3</v>
      </c>
      <c r="EY34" s="2">
        <v>0</v>
      </c>
      <c r="EZ34" s="2">
        <v>0</v>
      </c>
      <c r="FA34" s="2">
        <v>1</v>
      </c>
      <c r="FB34" s="2">
        <v>2</v>
      </c>
      <c r="FC34" s="2">
        <v>4</v>
      </c>
      <c r="FD34" s="2">
        <v>0</v>
      </c>
      <c r="FE34" s="2">
        <v>0</v>
      </c>
      <c r="FF34" s="2">
        <v>1</v>
      </c>
      <c r="FG34" s="2">
        <v>4</v>
      </c>
      <c r="FH34" s="2">
        <v>0</v>
      </c>
      <c r="FI34" s="2">
        <v>1</v>
      </c>
      <c r="FJ34" s="2">
        <v>0</v>
      </c>
      <c r="FK34" s="2">
        <v>4</v>
      </c>
      <c r="FL34" s="2">
        <v>0</v>
      </c>
      <c r="FM34" s="2">
        <v>1</v>
      </c>
      <c r="FN34" s="2">
        <v>3</v>
      </c>
      <c r="FO34" s="2">
        <v>0</v>
      </c>
      <c r="FP34" s="2">
        <v>3</v>
      </c>
      <c r="FQ34" s="2">
        <v>0</v>
      </c>
      <c r="FR34" s="2">
        <v>0</v>
      </c>
      <c r="FS34" s="2">
        <v>0</v>
      </c>
      <c r="FT34" s="2">
        <v>0</v>
      </c>
      <c r="FU34" s="2">
        <v>3</v>
      </c>
      <c r="FV34" s="2">
        <v>4</v>
      </c>
      <c r="FW34" s="2">
        <v>1</v>
      </c>
      <c r="FX34" s="2">
        <v>1</v>
      </c>
      <c r="FY34" s="2">
        <v>1</v>
      </c>
      <c r="FZ34" s="2">
        <v>2</v>
      </c>
      <c r="GA34" s="2">
        <v>0</v>
      </c>
      <c r="GB34" s="2">
        <v>0</v>
      </c>
      <c r="GC34" s="2" t="s">
        <v>274</v>
      </c>
      <c r="GD34" s="2">
        <v>2</v>
      </c>
      <c r="GE34" s="2">
        <v>1</v>
      </c>
      <c r="GF34" s="2">
        <v>4</v>
      </c>
      <c r="GG34" s="2">
        <v>1</v>
      </c>
      <c r="GH34" s="2" t="s">
        <v>274</v>
      </c>
      <c r="GI34" s="2">
        <v>0</v>
      </c>
      <c r="GJ34" s="2">
        <v>1</v>
      </c>
      <c r="GK34" s="2">
        <v>2</v>
      </c>
      <c r="GL34" s="2">
        <v>0</v>
      </c>
      <c r="GM34" s="2">
        <v>3</v>
      </c>
      <c r="GN34" s="3">
        <v>3</v>
      </c>
      <c r="GO34" s="3">
        <v>3</v>
      </c>
      <c r="GP34" s="3">
        <v>2</v>
      </c>
      <c r="GQ34" s="3">
        <v>2</v>
      </c>
      <c r="GR34" s="3">
        <v>1</v>
      </c>
      <c r="GS34" s="3">
        <v>3</v>
      </c>
      <c r="GT34" s="3">
        <v>3</v>
      </c>
      <c r="GU34" s="3">
        <v>4</v>
      </c>
      <c r="GV34" s="3">
        <v>3</v>
      </c>
      <c r="GW34" s="3">
        <v>2</v>
      </c>
      <c r="GX34" s="3">
        <v>3</v>
      </c>
      <c r="GY34" s="3">
        <v>3</v>
      </c>
      <c r="GZ34" s="3">
        <v>3</v>
      </c>
      <c r="HA34" s="3">
        <v>3</v>
      </c>
      <c r="HB34" s="3">
        <v>3</v>
      </c>
      <c r="HC34" s="3">
        <v>3</v>
      </c>
      <c r="HD34" s="3">
        <v>2</v>
      </c>
      <c r="HE34" s="3">
        <v>0</v>
      </c>
      <c r="HF34" s="3">
        <v>1</v>
      </c>
      <c r="HG34" s="3">
        <v>0</v>
      </c>
      <c r="HH34" s="3">
        <v>3</v>
      </c>
      <c r="HI34" s="3">
        <v>1</v>
      </c>
      <c r="HJ34" s="3">
        <v>1</v>
      </c>
      <c r="HK34" s="3">
        <v>3</v>
      </c>
      <c r="HL34" s="3">
        <v>2</v>
      </c>
      <c r="HM34" s="3">
        <v>2</v>
      </c>
      <c r="HN34" s="3">
        <v>2</v>
      </c>
      <c r="HO34" s="3">
        <v>3</v>
      </c>
      <c r="HP34" s="3">
        <v>3</v>
      </c>
      <c r="HQ34" s="3">
        <v>3</v>
      </c>
      <c r="HR34" s="3">
        <v>0</v>
      </c>
      <c r="HS34" s="3">
        <v>0</v>
      </c>
      <c r="HT34" s="3">
        <v>0</v>
      </c>
      <c r="HU34" s="3">
        <v>0</v>
      </c>
      <c r="HV34" s="3">
        <v>4</v>
      </c>
      <c r="HW34" s="3">
        <v>4</v>
      </c>
      <c r="HX34" s="3">
        <v>0</v>
      </c>
      <c r="HY34" s="3">
        <v>0</v>
      </c>
      <c r="HZ34" s="3">
        <v>0</v>
      </c>
      <c r="IA34" s="3">
        <v>3</v>
      </c>
      <c r="IB34" s="3">
        <v>3</v>
      </c>
      <c r="IC34" s="3">
        <v>1</v>
      </c>
      <c r="ID34" s="3">
        <v>2</v>
      </c>
      <c r="IE34" s="3">
        <v>0</v>
      </c>
      <c r="IF34" s="3">
        <v>2</v>
      </c>
      <c r="IG34" s="3">
        <v>2</v>
      </c>
      <c r="IH34" s="3">
        <v>1</v>
      </c>
      <c r="II34" s="3">
        <v>2</v>
      </c>
      <c r="IJ34" s="3">
        <v>2</v>
      </c>
      <c r="IK34" s="3">
        <v>2</v>
      </c>
      <c r="IL34" s="3">
        <v>4</v>
      </c>
      <c r="IM34" s="3">
        <v>2</v>
      </c>
      <c r="IN34" s="3">
        <v>0</v>
      </c>
      <c r="IO34" s="3">
        <v>0</v>
      </c>
      <c r="IP34" s="3">
        <v>3</v>
      </c>
      <c r="IQ34" s="3">
        <v>1</v>
      </c>
      <c r="IR34" s="3" t="s">
        <v>435</v>
      </c>
      <c r="IS34" s="3">
        <v>4</v>
      </c>
      <c r="IT34" s="3">
        <v>3</v>
      </c>
      <c r="IU34" s="3">
        <v>4</v>
      </c>
      <c r="IV34" s="3">
        <v>2</v>
      </c>
      <c r="IW34" s="3">
        <v>2</v>
      </c>
      <c r="IX34" s="3">
        <v>2</v>
      </c>
      <c r="IY34" s="3">
        <v>4</v>
      </c>
      <c r="IZ34" s="2" t="s">
        <v>268</v>
      </c>
      <c r="JA34" s="2"/>
    </row>
    <row r="35" spans="1:261" ht="13.2" x14ac:dyDescent="0.25">
      <c r="A35" s="10">
        <v>35</v>
      </c>
      <c r="B35" s="2" t="s">
        <v>436</v>
      </c>
      <c r="C35" s="2" t="s">
        <v>276</v>
      </c>
      <c r="D35" s="2" t="s">
        <v>262</v>
      </c>
      <c r="E35" s="2">
        <v>30</v>
      </c>
      <c r="F35" s="11" t="s">
        <v>437</v>
      </c>
      <c r="G35" s="11" t="s">
        <v>438</v>
      </c>
      <c r="H35" s="2" t="s">
        <v>316</v>
      </c>
      <c r="I35" s="3">
        <v>1</v>
      </c>
      <c r="J35" s="3">
        <v>0</v>
      </c>
      <c r="K35" s="3">
        <v>2</v>
      </c>
      <c r="L35" s="3">
        <v>2</v>
      </c>
      <c r="M35" s="3">
        <v>0</v>
      </c>
      <c r="N35" s="3">
        <v>4</v>
      </c>
      <c r="O35" s="3">
        <v>0</v>
      </c>
      <c r="P35" s="3">
        <v>1</v>
      </c>
      <c r="Q35" s="3">
        <v>2</v>
      </c>
      <c r="R35" s="3">
        <v>3</v>
      </c>
      <c r="S35" s="3">
        <v>0</v>
      </c>
      <c r="T35" s="3">
        <v>2</v>
      </c>
      <c r="U35" s="3">
        <v>0</v>
      </c>
      <c r="V35" s="3">
        <v>0</v>
      </c>
      <c r="W35" s="3">
        <v>1</v>
      </c>
      <c r="X35" s="3">
        <v>0</v>
      </c>
      <c r="Y35" s="3">
        <v>0</v>
      </c>
      <c r="Z35" s="3">
        <v>0</v>
      </c>
      <c r="AA35" s="3">
        <v>0</v>
      </c>
      <c r="AB35" s="3">
        <v>0</v>
      </c>
      <c r="AC35" s="3">
        <v>0</v>
      </c>
      <c r="AD35" s="3">
        <v>0</v>
      </c>
      <c r="AE35" s="3">
        <v>1</v>
      </c>
      <c r="AF35" s="3">
        <v>4</v>
      </c>
      <c r="AG35" s="3">
        <v>4</v>
      </c>
      <c r="AH35" s="3">
        <v>4</v>
      </c>
      <c r="AI35" s="3">
        <v>2</v>
      </c>
      <c r="AJ35" s="3">
        <v>4</v>
      </c>
      <c r="AK35" s="3">
        <v>1</v>
      </c>
      <c r="AL35" s="3">
        <v>0</v>
      </c>
      <c r="AM35" s="3">
        <v>4</v>
      </c>
      <c r="AN35" s="3">
        <v>2</v>
      </c>
      <c r="AO35" s="3">
        <v>4</v>
      </c>
      <c r="AP35" s="3">
        <v>4</v>
      </c>
      <c r="AQ35" s="3">
        <v>0</v>
      </c>
      <c r="AR35" s="3">
        <v>2</v>
      </c>
      <c r="AS35" s="3">
        <v>0</v>
      </c>
      <c r="AT35" s="3">
        <v>0</v>
      </c>
      <c r="AU35" s="3">
        <v>3</v>
      </c>
      <c r="AV35" s="3">
        <v>0</v>
      </c>
      <c r="AW35" s="3">
        <v>4</v>
      </c>
      <c r="AX35" s="3">
        <v>1</v>
      </c>
      <c r="AY35" s="3">
        <v>4</v>
      </c>
      <c r="AZ35" s="3">
        <v>4</v>
      </c>
      <c r="BA35" s="3">
        <v>0</v>
      </c>
      <c r="BB35" s="3">
        <v>4</v>
      </c>
      <c r="BC35" s="3">
        <v>0</v>
      </c>
      <c r="BD35" s="3">
        <v>4</v>
      </c>
      <c r="BE35" s="3">
        <v>4</v>
      </c>
      <c r="BF35" s="3">
        <v>0</v>
      </c>
      <c r="BG35" s="3">
        <v>2</v>
      </c>
      <c r="BH35" s="3">
        <v>2</v>
      </c>
      <c r="BI35" s="3">
        <v>3</v>
      </c>
      <c r="BJ35" s="3">
        <v>2</v>
      </c>
      <c r="BK35" s="3">
        <v>0</v>
      </c>
      <c r="BL35" s="3">
        <v>0</v>
      </c>
      <c r="BM35" s="3" t="s">
        <v>274</v>
      </c>
      <c r="BN35" s="3">
        <v>4</v>
      </c>
      <c r="BO35" s="3">
        <v>0</v>
      </c>
      <c r="BP35" s="3">
        <v>2</v>
      </c>
      <c r="BQ35" s="3">
        <v>1</v>
      </c>
      <c r="BR35" s="3">
        <v>3</v>
      </c>
      <c r="BS35" s="3">
        <v>0</v>
      </c>
      <c r="BT35" s="3">
        <v>0</v>
      </c>
      <c r="BU35" s="2">
        <v>0</v>
      </c>
      <c r="BV35" s="2">
        <v>1</v>
      </c>
      <c r="BW35" s="2">
        <v>2</v>
      </c>
      <c r="BX35" s="2">
        <v>0</v>
      </c>
      <c r="BY35" s="2">
        <v>0</v>
      </c>
      <c r="BZ35" s="2">
        <v>0</v>
      </c>
      <c r="CA35" s="2">
        <v>0</v>
      </c>
      <c r="CB35" s="2">
        <v>1</v>
      </c>
      <c r="CC35" s="2">
        <v>3</v>
      </c>
      <c r="CD35" s="2">
        <v>0</v>
      </c>
      <c r="CE35" s="2">
        <v>1</v>
      </c>
      <c r="CF35" s="2">
        <v>1</v>
      </c>
      <c r="CG35" s="2">
        <v>0</v>
      </c>
      <c r="CH35" s="2">
        <v>0</v>
      </c>
      <c r="CI35" s="2">
        <v>3</v>
      </c>
      <c r="CJ35" s="2">
        <v>3</v>
      </c>
      <c r="CK35" s="2">
        <v>0</v>
      </c>
      <c r="CL35" s="2">
        <v>0</v>
      </c>
      <c r="CM35" s="2">
        <v>1</v>
      </c>
      <c r="CN35" s="2">
        <v>0</v>
      </c>
      <c r="CO35" s="2">
        <v>0</v>
      </c>
      <c r="CP35" s="2">
        <v>0</v>
      </c>
      <c r="CQ35" s="2">
        <v>1</v>
      </c>
      <c r="CR35" s="2">
        <v>1</v>
      </c>
      <c r="CS35" s="2">
        <v>1</v>
      </c>
      <c r="CT35" s="2">
        <v>0</v>
      </c>
      <c r="CU35" s="2">
        <v>0</v>
      </c>
      <c r="CV35" s="2">
        <v>2</v>
      </c>
      <c r="CW35" s="2">
        <v>2</v>
      </c>
      <c r="CX35" s="2">
        <v>0</v>
      </c>
      <c r="CY35" s="2">
        <v>0</v>
      </c>
      <c r="CZ35" s="2">
        <v>0</v>
      </c>
      <c r="DA35" s="2">
        <v>0</v>
      </c>
      <c r="DB35" s="2">
        <v>0</v>
      </c>
      <c r="DC35" s="2">
        <v>0</v>
      </c>
      <c r="DD35" s="2">
        <v>0</v>
      </c>
      <c r="DE35" s="2">
        <v>3</v>
      </c>
      <c r="DF35" s="2">
        <v>2</v>
      </c>
      <c r="DG35" s="2">
        <v>2</v>
      </c>
      <c r="DH35" s="2">
        <v>2</v>
      </c>
      <c r="DI35" s="2">
        <v>1</v>
      </c>
      <c r="DJ35" s="2">
        <v>1</v>
      </c>
      <c r="DK35" s="2">
        <v>0</v>
      </c>
      <c r="DL35" s="2">
        <v>0</v>
      </c>
      <c r="DM35" s="2">
        <v>0</v>
      </c>
      <c r="DN35" s="2">
        <v>0</v>
      </c>
      <c r="DO35" s="2">
        <v>0</v>
      </c>
      <c r="DP35" s="2">
        <v>1</v>
      </c>
      <c r="DQ35" s="2">
        <v>1</v>
      </c>
      <c r="DR35" s="2">
        <v>0</v>
      </c>
      <c r="DS35" s="2">
        <v>1</v>
      </c>
      <c r="DT35" s="2">
        <v>0</v>
      </c>
      <c r="DU35" s="2">
        <v>0</v>
      </c>
      <c r="DV35" s="2">
        <v>0</v>
      </c>
      <c r="DW35" s="2">
        <v>0</v>
      </c>
      <c r="DX35" s="2">
        <v>2</v>
      </c>
      <c r="DY35" s="2">
        <v>0</v>
      </c>
      <c r="DZ35" s="2">
        <v>0</v>
      </c>
      <c r="EA35" s="2">
        <v>0</v>
      </c>
      <c r="EB35" s="2">
        <v>4</v>
      </c>
      <c r="EC35" s="2">
        <v>0</v>
      </c>
      <c r="ED35" s="2">
        <v>0</v>
      </c>
      <c r="EE35" s="2">
        <v>0</v>
      </c>
      <c r="EF35" s="2">
        <v>0</v>
      </c>
      <c r="EG35" s="2">
        <v>0</v>
      </c>
      <c r="EH35" s="2">
        <v>0</v>
      </c>
      <c r="EI35" s="2">
        <v>4</v>
      </c>
      <c r="EJ35" s="2">
        <v>1</v>
      </c>
      <c r="EK35" s="2">
        <v>1</v>
      </c>
      <c r="EL35" s="2">
        <v>0</v>
      </c>
      <c r="EM35" s="2">
        <v>0</v>
      </c>
      <c r="EN35" s="2">
        <v>0</v>
      </c>
      <c r="EO35" s="2">
        <v>0</v>
      </c>
      <c r="EP35" s="2">
        <v>0</v>
      </c>
      <c r="EQ35" s="2">
        <v>0</v>
      </c>
      <c r="ER35" s="2">
        <v>0</v>
      </c>
      <c r="ES35" s="2">
        <v>0</v>
      </c>
      <c r="ET35" s="2">
        <v>0</v>
      </c>
      <c r="EU35" s="2">
        <v>4</v>
      </c>
      <c r="EV35" s="2">
        <v>0</v>
      </c>
      <c r="EW35" s="2">
        <v>2</v>
      </c>
      <c r="EX35" s="2">
        <v>2</v>
      </c>
      <c r="EY35" s="2">
        <v>0</v>
      </c>
      <c r="EZ35" s="2">
        <v>0</v>
      </c>
      <c r="FA35" s="2">
        <v>2</v>
      </c>
      <c r="FB35" s="2">
        <v>4</v>
      </c>
      <c r="FC35" s="2">
        <v>0</v>
      </c>
      <c r="FD35" s="2">
        <v>1</v>
      </c>
      <c r="FE35" s="2">
        <v>0</v>
      </c>
      <c r="FF35" s="2">
        <v>3</v>
      </c>
      <c r="FG35" s="2">
        <v>0</v>
      </c>
      <c r="FH35" s="2">
        <v>0</v>
      </c>
      <c r="FI35" s="2">
        <v>0</v>
      </c>
      <c r="FJ35" s="2">
        <v>0</v>
      </c>
      <c r="FK35" s="2">
        <v>1</v>
      </c>
      <c r="FL35" s="2">
        <v>1</v>
      </c>
      <c r="FM35" s="2">
        <v>0</v>
      </c>
      <c r="FN35" s="2">
        <v>0</v>
      </c>
      <c r="FO35" s="2">
        <v>0</v>
      </c>
      <c r="FP35" s="2">
        <v>0</v>
      </c>
      <c r="FQ35" s="2">
        <v>2</v>
      </c>
      <c r="FR35" s="2">
        <v>1</v>
      </c>
      <c r="FS35" s="2">
        <v>0</v>
      </c>
      <c r="FT35" s="2">
        <v>0</v>
      </c>
      <c r="FU35" s="2">
        <v>2</v>
      </c>
      <c r="FV35" s="2">
        <v>0</v>
      </c>
      <c r="FW35" s="2">
        <v>3</v>
      </c>
      <c r="FX35" s="2">
        <v>0</v>
      </c>
      <c r="FY35" s="2">
        <v>0</v>
      </c>
      <c r="FZ35" s="2">
        <v>1</v>
      </c>
      <c r="GA35" s="2">
        <v>0</v>
      </c>
      <c r="GB35" s="2">
        <v>2</v>
      </c>
      <c r="GC35" s="2" t="s">
        <v>274</v>
      </c>
      <c r="GD35" s="2">
        <v>2</v>
      </c>
      <c r="GE35" s="2">
        <v>4</v>
      </c>
      <c r="GF35" s="2">
        <v>0</v>
      </c>
      <c r="GG35" s="2">
        <v>3</v>
      </c>
      <c r="GH35" s="2">
        <v>3</v>
      </c>
      <c r="GI35" s="2">
        <v>0</v>
      </c>
      <c r="GJ35" s="2">
        <v>0</v>
      </c>
      <c r="GK35" s="2">
        <v>1</v>
      </c>
      <c r="GL35" s="2">
        <v>0</v>
      </c>
      <c r="GM35" s="2">
        <v>0</v>
      </c>
      <c r="GN35" s="3">
        <v>2</v>
      </c>
      <c r="GO35" s="3">
        <v>2</v>
      </c>
      <c r="GP35" s="3">
        <v>0</v>
      </c>
      <c r="GQ35" s="3">
        <v>3</v>
      </c>
      <c r="GR35" s="3">
        <v>2</v>
      </c>
      <c r="GS35" s="3">
        <v>0</v>
      </c>
      <c r="GT35" s="3">
        <v>1</v>
      </c>
      <c r="GU35" s="3">
        <v>2</v>
      </c>
      <c r="GV35" s="3">
        <v>0</v>
      </c>
      <c r="GW35" s="3">
        <v>0</v>
      </c>
      <c r="GX35" s="3">
        <v>0</v>
      </c>
      <c r="GY35" s="3">
        <v>1</v>
      </c>
      <c r="GZ35" s="3">
        <v>0</v>
      </c>
      <c r="HA35" s="3">
        <v>0</v>
      </c>
      <c r="HB35" s="3">
        <v>0</v>
      </c>
      <c r="HC35" s="3">
        <v>0</v>
      </c>
      <c r="HD35" s="3">
        <v>0</v>
      </c>
      <c r="HE35" s="3">
        <v>0</v>
      </c>
      <c r="HF35" s="3">
        <v>2</v>
      </c>
      <c r="HG35" s="3">
        <v>0</v>
      </c>
      <c r="HH35" s="3">
        <v>2</v>
      </c>
      <c r="HI35" s="3">
        <v>2</v>
      </c>
      <c r="HJ35" s="3">
        <v>0</v>
      </c>
      <c r="HK35" s="3">
        <v>2</v>
      </c>
      <c r="HL35" s="3">
        <v>1</v>
      </c>
      <c r="HM35" s="3">
        <v>0</v>
      </c>
      <c r="HN35" s="3">
        <v>0</v>
      </c>
      <c r="HO35" s="3">
        <v>3</v>
      </c>
      <c r="HP35" s="3">
        <v>0</v>
      </c>
      <c r="HQ35" s="3">
        <v>0</v>
      </c>
      <c r="HR35" s="3">
        <v>4</v>
      </c>
      <c r="HS35" s="3">
        <v>4</v>
      </c>
      <c r="HT35" s="3">
        <v>0</v>
      </c>
      <c r="HU35" s="3">
        <v>0</v>
      </c>
      <c r="HV35" s="3">
        <v>2</v>
      </c>
      <c r="HW35" s="3">
        <v>0</v>
      </c>
      <c r="HX35" s="3">
        <v>0</v>
      </c>
      <c r="HY35" s="3">
        <v>0</v>
      </c>
      <c r="HZ35" s="3">
        <v>2</v>
      </c>
      <c r="IA35" s="3">
        <v>4</v>
      </c>
      <c r="IB35" s="3">
        <v>1</v>
      </c>
      <c r="IC35" s="3">
        <v>1</v>
      </c>
      <c r="ID35" s="3">
        <v>4</v>
      </c>
      <c r="IE35" s="3">
        <v>0</v>
      </c>
      <c r="IF35" s="3">
        <v>2</v>
      </c>
      <c r="IG35" s="3">
        <v>0</v>
      </c>
      <c r="IH35" s="3">
        <v>0</v>
      </c>
      <c r="II35" s="3">
        <v>0</v>
      </c>
      <c r="IJ35" s="3">
        <v>2</v>
      </c>
      <c r="IK35" s="3">
        <v>0</v>
      </c>
      <c r="IL35" s="3">
        <v>0</v>
      </c>
      <c r="IM35" s="3">
        <v>0</v>
      </c>
      <c r="IN35" s="3">
        <v>0</v>
      </c>
      <c r="IO35" s="3">
        <v>0</v>
      </c>
      <c r="IP35" s="3">
        <v>0</v>
      </c>
      <c r="IQ35" s="3">
        <v>1</v>
      </c>
      <c r="IR35" s="3" t="s">
        <v>274</v>
      </c>
      <c r="IS35" s="3">
        <v>2</v>
      </c>
      <c r="IT35" s="3">
        <v>4</v>
      </c>
      <c r="IU35" s="3">
        <v>0</v>
      </c>
      <c r="IV35" s="3">
        <v>2</v>
      </c>
      <c r="IW35" s="3">
        <v>2</v>
      </c>
      <c r="IX35" s="3">
        <v>0</v>
      </c>
      <c r="IY35" s="3">
        <v>0</v>
      </c>
      <c r="IZ35" s="2" t="s">
        <v>268</v>
      </c>
      <c r="JA35" s="2"/>
    </row>
    <row r="36" spans="1:261" ht="13.2" x14ac:dyDescent="0.25">
      <c r="A36" s="10">
        <v>36</v>
      </c>
      <c r="B36" s="2" t="s">
        <v>439</v>
      </c>
      <c r="C36" s="2" t="s">
        <v>261</v>
      </c>
      <c r="D36" s="2" t="s">
        <v>270</v>
      </c>
      <c r="E36" s="2">
        <v>18</v>
      </c>
      <c r="F36" s="11" t="s">
        <v>440</v>
      </c>
      <c r="G36" s="11" t="s">
        <v>441</v>
      </c>
      <c r="H36" s="2" t="s">
        <v>442</v>
      </c>
      <c r="I36" s="3">
        <v>1</v>
      </c>
      <c r="J36" s="3">
        <v>2</v>
      </c>
      <c r="K36" s="3">
        <v>1</v>
      </c>
      <c r="L36" s="3">
        <v>3</v>
      </c>
      <c r="M36" s="3">
        <v>2</v>
      </c>
      <c r="N36" s="3">
        <v>1</v>
      </c>
      <c r="O36" s="3">
        <v>1</v>
      </c>
      <c r="P36" s="3">
        <v>0</v>
      </c>
      <c r="Q36" s="3">
        <v>1</v>
      </c>
      <c r="R36" s="3">
        <v>0</v>
      </c>
      <c r="S36" s="3">
        <v>0</v>
      </c>
      <c r="T36" s="3">
        <v>0</v>
      </c>
      <c r="U36" s="3">
        <v>0</v>
      </c>
      <c r="V36" s="3">
        <v>0</v>
      </c>
      <c r="W36" s="3">
        <v>0</v>
      </c>
      <c r="X36" s="3">
        <v>0</v>
      </c>
      <c r="Y36" s="3">
        <v>1</v>
      </c>
      <c r="Z36" s="3">
        <v>0</v>
      </c>
      <c r="AA36" s="3">
        <v>1</v>
      </c>
      <c r="AB36" s="3">
        <v>0</v>
      </c>
      <c r="AC36" s="3">
        <v>1</v>
      </c>
      <c r="AD36" s="3">
        <v>0</v>
      </c>
      <c r="AE36" s="3">
        <v>0</v>
      </c>
      <c r="AF36" s="3">
        <v>0</v>
      </c>
      <c r="AG36" s="3">
        <v>0</v>
      </c>
      <c r="AH36" s="3">
        <v>0</v>
      </c>
      <c r="AI36" s="3">
        <v>2</v>
      </c>
      <c r="AJ36" s="3">
        <v>1</v>
      </c>
      <c r="AK36" s="3">
        <v>1</v>
      </c>
      <c r="AL36" s="3">
        <v>1</v>
      </c>
      <c r="AM36" s="3">
        <v>0</v>
      </c>
      <c r="AN36" s="3">
        <v>0</v>
      </c>
      <c r="AO36" s="3">
        <v>2</v>
      </c>
      <c r="AP36" s="3">
        <v>1</v>
      </c>
      <c r="AQ36" s="3">
        <v>0</v>
      </c>
      <c r="AR36" s="3">
        <v>0</v>
      </c>
      <c r="AS36" s="3">
        <v>0</v>
      </c>
      <c r="AT36" s="3">
        <v>0</v>
      </c>
      <c r="AU36" s="3">
        <v>0</v>
      </c>
      <c r="AV36" s="3">
        <v>0</v>
      </c>
      <c r="AW36" s="3">
        <v>0</v>
      </c>
      <c r="AX36" s="3">
        <v>0</v>
      </c>
      <c r="AY36" s="3">
        <v>0</v>
      </c>
      <c r="AZ36" s="3">
        <v>0</v>
      </c>
      <c r="BA36" s="3">
        <v>0</v>
      </c>
      <c r="BB36" s="3">
        <v>0</v>
      </c>
      <c r="BC36" s="3">
        <v>0</v>
      </c>
      <c r="BD36" s="3">
        <v>0</v>
      </c>
      <c r="BE36" s="3">
        <v>0</v>
      </c>
      <c r="BF36" s="3">
        <v>0</v>
      </c>
      <c r="BG36" s="3">
        <v>0</v>
      </c>
      <c r="BH36" s="3">
        <v>1</v>
      </c>
      <c r="BI36" s="3">
        <v>0</v>
      </c>
      <c r="BJ36" s="3">
        <v>2</v>
      </c>
      <c r="BK36" s="3">
        <v>0</v>
      </c>
      <c r="BL36" s="3">
        <v>0</v>
      </c>
      <c r="BM36" s="3" t="s">
        <v>274</v>
      </c>
      <c r="BN36" s="3">
        <v>1</v>
      </c>
      <c r="BO36" s="3">
        <v>0</v>
      </c>
      <c r="BP36" s="3">
        <v>0</v>
      </c>
      <c r="BQ36" s="3">
        <v>1</v>
      </c>
      <c r="BR36" s="3">
        <v>0</v>
      </c>
      <c r="BS36" s="3">
        <v>2</v>
      </c>
      <c r="BT36" s="3">
        <v>0</v>
      </c>
      <c r="BU36" s="2">
        <v>0</v>
      </c>
      <c r="BV36" s="2">
        <v>0</v>
      </c>
      <c r="BW36" s="2">
        <v>0</v>
      </c>
      <c r="BX36" s="2">
        <v>0</v>
      </c>
      <c r="BY36" s="2">
        <v>1</v>
      </c>
      <c r="BZ36" s="2">
        <v>1</v>
      </c>
      <c r="CA36" s="2">
        <v>0</v>
      </c>
      <c r="CB36" s="2">
        <v>2</v>
      </c>
      <c r="CC36" s="2">
        <v>0</v>
      </c>
      <c r="CD36" s="2">
        <v>0</v>
      </c>
      <c r="CE36" s="2">
        <v>0</v>
      </c>
      <c r="CF36" s="2">
        <v>0</v>
      </c>
      <c r="CG36" s="2">
        <v>1</v>
      </c>
      <c r="CH36" s="2">
        <v>2</v>
      </c>
      <c r="CI36" s="2">
        <v>2</v>
      </c>
      <c r="CJ36" s="2">
        <v>0</v>
      </c>
      <c r="CK36" s="2">
        <v>0</v>
      </c>
      <c r="CL36" s="2">
        <v>0</v>
      </c>
      <c r="CM36" s="2">
        <v>0</v>
      </c>
      <c r="CN36" s="2">
        <v>0</v>
      </c>
      <c r="CO36" s="2">
        <v>0</v>
      </c>
      <c r="CP36" s="2">
        <v>0</v>
      </c>
      <c r="CQ36" s="2">
        <v>0</v>
      </c>
      <c r="CR36" s="2">
        <v>0</v>
      </c>
      <c r="CS36" s="2">
        <v>0</v>
      </c>
      <c r="CT36" s="2">
        <v>0</v>
      </c>
      <c r="CU36" s="2">
        <v>1</v>
      </c>
      <c r="CV36" s="2">
        <v>2</v>
      </c>
      <c r="CW36" s="2">
        <v>0</v>
      </c>
      <c r="CX36" s="2">
        <v>0</v>
      </c>
      <c r="CY36" s="2">
        <v>0</v>
      </c>
      <c r="CZ36" s="2">
        <v>0</v>
      </c>
      <c r="DA36" s="2">
        <v>2</v>
      </c>
      <c r="DB36" s="2">
        <v>0</v>
      </c>
      <c r="DC36" s="2">
        <v>0</v>
      </c>
      <c r="DD36" s="2">
        <v>0</v>
      </c>
      <c r="DE36" s="2">
        <v>2</v>
      </c>
      <c r="DF36" s="2">
        <v>0</v>
      </c>
      <c r="DG36" s="2">
        <v>0</v>
      </c>
      <c r="DH36" s="2">
        <v>1</v>
      </c>
      <c r="DI36" s="2">
        <v>0</v>
      </c>
      <c r="DJ36" s="2">
        <v>0</v>
      </c>
      <c r="DK36" s="2">
        <v>0</v>
      </c>
      <c r="DL36" s="2">
        <v>0</v>
      </c>
      <c r="DM36" s="2">
        <v>0</v>
      </c>
      <c r="DN36" s="2">
        <v>0</v>
      </c>
      <c r="DO36" s="2">
        <v>0</v>
      </c>
      <c r="DP36" s="2">
        <v>0</v>
      </c>
      <c r="DQ36" s="2">
        <v>0</v>
      </c>
      <c r="DR36" s="2">
        <v>0</v>
      </c>
      <c r="DS36" s="2">
        <v>1</v>
      </c>
      <c r="DT36" s="2">
        <v>1</v>
      </c>
      <c r="DU36" s="2">
        <v>1</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1</v>
      </c>
      <c r="EM36" s="2">
        <v>0</v>
      </c>
      <c r="EN36" s="2">
        <v>0</v>
      </c>
      <c r="EO36" s="2">
        <v>0</v>
      </c>
      <c r="EP36" s="2">
        <v>0</v>
      </c>
      <c r="EQ36" s="2">
        <v>0</v>
      </c>
      <c r="ER36" s="2">
        <v>0</v>
      </c>
      <c r="ES36" s="2">
        <v>0</v>
      </c>
      <c r="ET36" s="2">
        <v>0</v>
      </c>
      <c r="EU36" s="2">
        <v>0</v>
      </c>
      <c r="EV36" s="2">
        <v>0</v>
      </c>
      <c r="EW36" s="2">
        <v>0</v>
      </c>
      <c r="EX36" s="2">
        <v>1</v>
      </c>
      <c r="EY36" s="2">
        <v>0</v>
      </c>
      <c r="EZ36" s="2">
        <v>0</v>
      </c>
      <c r="FA36" s="2">
        <v>0</v>
      </c>
      <c r="FB36" s="2">
        <v>0</v>
      </c>
      <c r="FC36" s="2">
        <v>0</v>
      </c>
      <c r="FD36" s="2">
        <v>0</v>
      </c>
      <c r="FE36" s="2">
        <v>0</v>
      </c>
      <c r="FF36" s="2">
        <v>2</v>
      </c>
      <c r="FG36" s="2">
        <v>0</v>
      </c>
      <c r="FH36" s="2">
        <v>0</v>
      </c>
      <c r="FI36" s="2">
        <v>0</v>
      </c>
      <c r="FJ36" s="2">
        <v>0</v>
      </c>
      <c r="FK36" s="2">
        <v>0</v>
      </c>
      <c r="FL36" s="2">
        <v>0</v>
      </c>
      <c r="FM36" s="2">
        <v>0</v>
      </c>
      <c r="FN36" s="2">
        <v>0</v>
      </c>
      <c r="FO36" s="2">
        <v>0</v>
      </c>
      <c r="FP36" s="2">
        <v>0</v>
      </c>
      <c r="FQ36" s="2">
        <v>0</v>
      </c>
      <c r="FR36" s="2">
        <v>0</v>
      </c>
      <c r="FS36" s="2">
        <v>0</v>
      </c>
      <c r="FT36" s="2">
        <v>0</v>
      </c>
      <c r="FU36" s="2">
        <v>0</v>
      </c>
      <c r="FV36" s="2">
        <v>0</v>
      </c>
      <c r="FW36" s="2">
        <v>0</v>
      </c>
      <c r="FX36" s="2">
        <v>0</v>
      </c>
      <c r="FY36" s="2">
        <v>0</v>
      </c>
      <c r="FZ36" s="2">
        <v>0</v>
      </c>
      <c r="GA36" s="2">
        <v>0</v>
      </c>
      <c r="GB36" s="2">
        <v>0</v>
      </c>
      <c r="GC36" s="2" t="s">
        <v>274</v>
      </c>
      <c r="GD36" s="2">
        <v>1</v>
      </c>
      <c r="GE36" s="2">
        <v>0</v>
      </c>
      <c r="GF36" s="2">
        <v>0</v>
      </c>
      <c r="GG36" s="2">
        <v>0</v>
      </c>
      <c r="GH36" s="2">
        <v>1</v>
      </c>
      <c r="GI36" s="2">
        <v>0</v>
      </c>
      <c r="GJ36" s="2">
        <v>0</v>
      </c>
      <c r="GK36" s="2">
        <v>0</v>
      </c>
      <c r="GL36" s="2">
        <v>1</v>
      </c>
      <c r="GM36" s="2">
        <v>0</v>
      </c>
      <c r="GN36" s="3">
        <v>1</v>
      </c>
      <c r="GO36" s="3">
        <v>0</v>
      </c>
      <c r="GP36" s="3">
        <v>0</v>
      </c>
      <c r="GQ36" s="3">
        <v>0</v>
      </c>
      <c r="GR36" s="3">
        <v>0</v>
      </c>
      <c r="GS36" s="3">
        <v>1</v>
      </c>
      <c r="GT36" s="3">
        <v>0</v>
      </c>
      <c r="GU36" s="3">
        <v>1</v>
      </c>
      <c r="GV36" s="3">
        <v>0</v>
      </c>
      <c r="GW36" s="3">
        <v>0</v>
      </c>
      <c r="GX36" s="3">
        <v>0</v>
      </c>
      <c r="GY36" s="3">
        <v>0</v>
      </c>
      <c r="GZ36" s="3">
        <v>0</v>
      </c>
      <c r="HA36" s="3">
        <v>1</v>
      </c>
      <c r="HB36" s="3">
        <v>0</v>
      </c>
      <c r="HC36" s="3">
        <v>0</v>
      </c>
      <c r="HD36" s="3">
        <v>0</v>
      </c>
      <c r="HE36" s="3">
        <v>0</v>
      </c>
      <c r="HF36" s="3">
        <v>0</v>
      </c>
      <c r="HG36" s="3">
        <v>0</v>
      </c>
      <c r="HH36" s="3">
        <v>0</v>
      </c>
      <c r="HI36" s="3">
        <v>0</v>
      </c>
      <c r="HJ36" s="3">
        <v>0</v>
      </c>
      <c r="HK36" s="3">
        <v>0</v>
      </c>
      <c r="HL36" s="3">
        <v>0</v>
      </c>
      <c r="HM36" s="3">
        <v>0</v>
      </c>
      <c r="HN36" s="3">
        <v>0</v>
      </c>
      <c r="HO36" s="3">
        <v>0</v>
      </c>
      <c r="HP36" s="3">
        <v>0</v>
      </c>
      <c r="HQ36" s="3">
        <v>0</v>
      </c>
      <c r="HR36" s="3">
        <v>0</v>
      </c>
      <c r="HS36" s="3">
        <v>0</v>
      </c>
      <c r="HT36" s="3">
        <v>0</v>
      </c>
      <c r="HU36" s="3">
        <v>0</v>
      </c>
      <c r="HV36" s="3">
        <v>0</v>
      </c>
      <c r="HW36" s="3">
        <v>1</v>
      </c>
      <c r="HX36" s="3">
        <v>0</v>
      </c>
      <c r="HY36" s="3">
        <v>0</v>
      </c>
      <c r="HZ36" s="3">
        <v>0</v>
      </c>
      <c r="IA36" s="3">
        <v>0</v>
      </c>
      <c r="IB36" s="3">
        <v>0</v>
      </c>
      <c r="IC36" s="3">
        <v>0</v>
      </c>
      <c r="ID36" s="3">
        <v>0</v>
      </c>
      <c r="IE36" s="3">
        <v>0</v>
      </c>
      <c r="IF36" s="3">
        <v>0</v>
      </c>
      <c r="IG36" s="3">
        <v>0</v>
      </c>
      <c r="IH36" s="3">
        <v>0</v>
      </c>
      <c r="II36" s="3">
        <v>0</v>
      </c>
      <c r="IJ36" s="3">
        <v>1</v>
      </c>
      <c r="IK36" s="3">
        <v>0</v>
      </c>
      <c r="IL36" s="3">
        <v>0</v>
      </c>
      <c r="IM36" s="3">
        <v>0</v>
      </c>
      <c r="IN36" s="3">
        <v>0</v>
      </c>
      <c r="IO36" s="3">
        <v>0</v>
      </c>
      <c r="IP36" s="3">
        <v>0</v>
      </c>
      <c r="IQ36" s="3">
        <v>0</v>
      </c>
      <c r="IR36" s="3" t="s">
        <v>274</v>
      </c>
      <c r="IS36" s="3">
        <v>3</v>
      </c>
      <c r="IT36" s="3">
        <v>0</v>
      </c>
      <c r="IU36" s="3">
        <v>1</v>
      </c>
      <c r="IV36" s="3">
        <v>2</v>
      </c>
      <c r="IW36" s="3">
        <v>0</v>
      </c>
      <c r="IX36" s="3">
        <v>0</v>
      </c>
      <c r="IY36" s="3">
        <v>0</v>
      </c>
      <c r="IZ36" s="2" t="s">
        <v>268</v>
      </c>
      <c r="JA36" s="2"/>
    </row>
    <row r="37" spans="1:261" ht="13.2" x14ac:dyDescent="0.25">
      <c r="A37" s="5" t="s">
        <v>274</v>
      </c>
      <c r="B37" s="5" t="s">
        <v>443</v>
      </c>
      <c r="C37" s="5" t="s">
        <v>444</v>
      </c>
      <c r="D37" s="5" t="s">
        <v>445</v>
      </c>
      <c r="E37" s="6">
        <v>25</v>
      </c>
      <c r="F37" s="7" t="s">
        <v>446</v>
      </c>
      <c r="G37" s="7" t="s">
        <v>447</v>
      </c>
      <c r="H37" s="5" t="s">
        <v>448</v>
      </c>
      <c r="I37" s="6">
        <v>3</v>
      </c>
      <c r="J37" s="6">
        <v>3</v>
      </c>
      <c r="K37" s="6">
        <v>1</v>
      </c>
      <c r="L37" s="6">
        <v>1</v>
      </c>
      <c r="M37" s="6">
        <v>3</v>
      </c>
      <c r="N37" s="6">
        <v>1</v>
      </c>
      <c r="O37" s="6">
        <v>1</v>
      </c>
      <c r="P37" s="6">
        <v>1</v>
      </c>
      <c r="Q37" s="6">
        <v>1</v>
      </c>
      <c r="R37" s="6">
        <v>1</v>
      </c>
      <c r="S37" s="6">
        <v>1</v>
      </c>
      <c r="T37" s="6">
        <v>1</v>
      </c>
      <c r="U37" s="6">
        <v>1</v>
      </c>
      <c r="V37" s="6">
        <v>3</v>
      </c>
      <c r="W37" s="6">
        <v>1</v>
      </c>
      <c r="X37" s="6">
        <v>3</v>
      </c>
      <c r="Y37" s="6">
        <v>1</v>
      </c>
      <c r="Z37" s="6">
        <v>1</v>
      </c>
      <c r="AA37" s="6">
        <v>3</v>
      </c>
      <c r="AB37" s="6">
        <v>1</v>
      </c>
      <c r="AC37" s="6">
        <v>1</v>
      </c>
      <c r="AD37" s="6">
        <v>1</v>
      </c>
      <c r="AE37" s="6">
        <v>3</v>
      </c>
      <c r="AF37" s="6">
        <v>1</v>
      </c>
      <c r="AG37" s="6">
        <v>1</v>
      </c>
      <c r="AH37" s="6">
        <v>3</v>
      </c>
      <c r="AI37" s="6">
        <v>1</v>
      </c>
      <c r="AJ37" s="6">
        <v>4</v>
      </c>
      <c r="AK37" s="6">
        <v>3</v>
      </c>
      <c r="AL37" s="6">
        <v>1</v>
      </c>
      <c r="AM37" s="6">
        <v>3</v>
      </c>
      <c r="AN37" s="6">
        <v>1</v>
      </c>
      <c r="AO37" s="6">
        <v>3</v>
      </c>
      <c r="AP37" s="6">
        <v>1</v>
      </c>
      <c r="AQ37" s="6">
        <v>3</v>
      </c>
      <c r="AR37" s="6">
        <v>3</v>
      </c>
      <c r="AS37" s="6">
        <v>1</v>
      </c>
      <c r="AT37" s="6">
        <v>1</v>
      </c>
      <c r="AU37" s="6">
        <v>1</v>
      </c>
      <c r="AV37" s="6">
        <v>1</v>
      </c>
      <c r="AW37" s="6">
        <v>1</v>
      </c>
      <c r="AX37" s="6">
        <v>1</v>
      </c>
      <c r="AY37" s="6">
        <v>1</v>
      </c>
      <c r="AZ37" s="6">
        <v>1</v>
      </c>
      <c r="BA37" s="6">
        <v>1</v>
      </c>
      <c r="BB37" s="6">
        <v>1</v>
      </c>
      <c r="BC37" s="6">
        <v>1</v>
      </c>
      <c r="BD37" s="6">
        <v>1</v>
      </c>
      <c r="BE37" s="6">
        <v>1</v>
      </c>
      <c r="BF37" s="6">
        <v>1</v>
      </c>
      <c r="BG37" s="6">
        <v>1</v>
      </c>
      <c r="BH37" s="6">
        <v>1</v>
      </c>
      <c r="BI37" s="6">
        <v>1</v>
      </c>
      <c r="BJ37" s="6">
        <v>3</v>
      </c>
      <c r="BK37" s="6">
        <v>1</v>
      </c>
      <c r="BL37" s="6">
        <v>1</v>
      </c>
      <c r="BM37" s="5" t="s">
        <v>274</v>
      </c>
      <c r="BN37" s="6">
        <v>0</v>
      </c>
      <c r="BO37" s="6">
        <v>0</v>
      </c>
      <c r="BP37" s="6">
        <v>1</v>
      </c>
      <c r="BQ37" s="6">
        <v>0</v>
      </c>
      <c r="BR37" s="6">
        <v>1</v>
      </c>
      <c r="BS37" s="6">
        <v>1</v>
      </c>
      <c r="BT37" s="6">
        <v>1</v>
      </c>
      <c r="BU37" s="6">
        <v>3</v>
      </c>
      <c r="BV37" s="6">
        <v>1</v>
      </c>
      <c r="BW37" s="6">
        <v>1</v>
      </c>
      <c r="BX37" s="6">
        <v>3</v>
      </c>
      <c r="BY37" s="6">
        <v>1</v>
      </c>
      <c r="BZ37" s="6">
        <v>1</v>
      </c>
      <c r="CA37" s="6">
        <v>3</v>
      </c>
      <c r="CB37" s="6">
        <v>1</v>
      </c>
      <c r="CC37" s="6">
        <v>1</v>
      </c>
      <c r="CD37" s="6">
        <v>1</v>
      </c>
      <c r="CE37" s="6">
        <v>3</v>
      </c>
      <c r="CF37" s="6">
        <v>1</v>
      </c>
      <c r="CG37" s="6">
        <v>3</v>
      </c>
      <c r="CH37" s="6">
        <v>3</v>
      </c>
      <c r="CI37" s="6">
        <v>3</v>
      </c>
      <c r="CJ37" s="6">
        <v>3</v>
      </c>
      <c r="CK37" s="6">
        <v>1</v>
      </c>
      <c r="CL37" s="6">
        <v>1</v>
      </c>
      <c r="CM37" s="6">
        <v>1</v>
      </c>
      <c r="CN37" s="6">
        <v>1</v>
      </c>
      <c r="CO37" s="6">
        <v>3</v>
      </c>
      <c r="CP37" s="6">
        <v>3</v>
      </c>
      <c r="CQ37" s="6">
        <v>3</v>
      </c>
      <c r="CR37" s="6">
        <v>1</v>
      </c>
      <c r="CS37" s="6">
        <v>3</v>
      </c>
      <c r="CT37" s="6">
        <v>3</v>
      </c>
      <c r="CU37" s="6">
        <v>3</v>
      </c>
      <c r="CV37" s="6">
        <v>3</v>
      </c>
      <c r="CW37" s="6">
        <v>3</v>
      </c>
      <c r="CX37" s="6">
        <v>3</v>
      </c>
      <c r="CY37" s="6">
        <v>3</v>
      </c>
      <c r="CZ37" s="6">
        <v>1</v>
      </c>
      <c r="DA37" s="6">
        <v>1</v>
      </c>
      <c r="DB37" s="6">
        <v>3</v>
      </c>
      <c r="DC37" s="6">
        <v>1</v>
      </c>
      <c r="DD37" s="6">
        <v>3</v>
      </c>
      <c r="DE37" s="6">
        <v>3</v>
      </c>
      <c r="DF37" s="6">
        <v>1</v>
      </c>
      <c r="DG37" s="6">
        <v>1</v>
      </c>
      <c r="DH37" s="6">
        <v>3</v>
      </c>
      <c r="DI37" s="6">
        <v>1</v>
      </c>
      <c r="DJ37" s="6">
        <v>3</v>
      </c>
      <c r="DK37" s="6">
        <v>1</v>
      </c>
      <c r="DL37" s="6">
        <v>1</v>
      </c>
      <c r="DM37" s="6">
        <v>0</v>
      </c>
      <c r="DN37" s="6">
        <v>2</v>
      </c>
      <c r="DO37" s="6">
        <v>1</v>
      </c>
      <c r="DP37" s="6">
        <v>1</v>
      </c>
      <c r="DQ37" s="6">
        <v>1</v>
      </c>
      <c r="DR37" s="6">
        <v>1</v>
      </c>
      <c r="DS37" s="6">
        <v>3</v>
      </c>
      <c r="DT37" s="6">
        <v>1</v>
      </c>
      <c r="DU37" s="6">
        <v>2</v>
      </c>
      <c r="DV37" s="6">
        <v>3</v>
      </c>
      <c r="DW37" s="6">
        <v>1</v>
      </c>
      <c r="DX37" s="6">
        <v>1</v>
      </c>
      <c r="DY37" s="6">
        <v>1</v>
      </c>
      <c r="DZ37" s="6">
        <v>1</v>
      </c>
      <c r="EA37" s="6">
        <v>3</v>
      </c>
      <c r="EB37" s="6">
        <v>1</v>
      </c>
      <c r="EC37" s="6">
        <v>3</v>
      </c>
      <c r="ED37" s="6">
        <v>1</v>
      </c>
      <c r="EE37" s="6">
        <v>3</v>
      </c>
      <c r="EF37" s="6">
        <v>1</v>
      </c>
      <c r="EG37" s="6">
        <v>1</v>
      </c>
      <c r="EH37" s="6">
        <v>3</v>
      </c>
      <c r="EI37" s="6">
        <v>1</v>
      </c>
      <c r="EJ37" s="6">
        <v>1</v>
      </c>
      <c r="EK37" s="6">
        <v>1</v>
      </c>
      <c r="EL37" s="6">
        <v>3</v>
      </c>
      <c r="EM37" s="6">
        <v>3</v>
      </c>
      <c r="EN37" s="6">
        <v>1</v>
      </c>
      <c r="EO37" s="6">
        <v>1</v>
      </c>
      <c r="EP37" s="6">
        <v>3</v>
      </c>
      <c r="EQ37" s="6">
        <v>1</v>
      </c>
      <c r="ER37" s="6">
        <v>3</v>
      </c>
      <c r="ES37" s="6">
        <v>1</v>
      </c>
      <c r="ET37" s="6">
        <v>3</v>
      </c>
      <c r="EU37" s="6">
        <v>1</v>
      </c>
      <c r="EV37" s="6">
        <v>3</v>
      </c>
      <c r="EW37" s="6">
        <v>1</v>
      </c>
      <c r="EX37" s="6">
        <v>3</v>
      </c>
      <c r="EY37" s="6">
        <v>1</v>
      </c>
      <c r="EZ37" s="6">
        <v>1</v>
      </c>
      <c r="FA37" s="6">
        <v>1</v>
      </c>
      <c r="FB37" s="6">
        <v>1</v>
      </c>
      <c r="FC37" s="6">
        <v>1</v>
      </c>
      <c r="FD37" s="6">
        <v>1</v>
      </c>
      <c r="FE37" s="6">
        <v>3</v>
      </c>
      <c r="FF37" s="6">
        <v>1</v>
      </c>
      <c r="FG37" s="6">
        <v>3</v>
      </c>
      <c r="FH37" s="6">
        <v>1</v>
      </c>
      <c r="FI37" s="6">
        <v>3</v>
      </c>
      <c r="FJ37" s="6">
        <v>1</v>
      </c>
      <c r="FK37" s="6">
        <v>3</v>
      </c>
      <c r="FL37" s="6">
        <v>1</v>
      </c>
      <c r="FM37" s="6">
        <v>3</v>
      </c>
      <c r="FN37" s="6">
        <v>1</v>
      </c>
      <c r="FO37" s="6">
        <v>3</v>
      </c>
      <c r="FP37" s="6">
        <v>1</v>
      </c>
      <c r="FQ37" s="6">
        <v>3</v>
      </c>
      <c r="FR37" s="6">
        <v>1</v>
      </c>
      <c r="FS37" s="6">
        <v>1</v>
      </c>
      <c r="FT37" s="6">
        <v>3</v>
      </c>
      <c r="FU37" s="6">
        <v>1</v>
      </c>
      <c r="FV37" s="6">
        <v>1</v>
      </c>
      <c r="FW37" s="6">
        <v>1</v>
      </c>
      <c r="FX37" s="6">
        <v>3</v>
      </c>
      <c r="FY37" s="6">
        <v>1</v>
      </c>
      <c r="FZ37" s="6">
        <v>3</v>
      </c>
      <c r="GA37" s="6">
        <v>1</v>
      </c>
      <c r="GB37" s="6">
        <v>3</v>
      </c>
      <c r="GC37" s="5" t="s">
        <v>274</v>
      </c>
      <c r="GD37" s="6">
        <v>1</v>
      </c>
      <c r="GE37" s="6">
        <v>1</v>
      </c>
      <c r="GF37" s="6">
        <v>1</v>
      </c>
      <c r="GG37" s="6">
        <v>2</v>
      </c>
      <c r="GH37" s="6">
        <v>1</v>
      </c>
      <c r="GI37" s="6">
        <v>1</v>
      </c>
      <c r="GJ37" s="6">
        <v>0</v>
      </c>
      <c r="GK37" s="6">
        <v>1</v>
      </c>
      <c r="GL37" s="6">
        <v>1</v>
      </c>
      <c r="GM37" s="6">
        <v>1</v>
      </c>
      <c r="GN37" s="6">
        <v>1</v>
      </c>
      <c r="GO37" s="6">
        <v>1</v>
      </c>
      <c r="GP37" s="6">
        <v>1</v>
      </c>
      <c r="GQ37" s="6">
        <v>3</v>
      </c>
      <c r="GR37" s="6">
        <v>1</v>
      </c>
      <c r="GS37" s="6">
        <v>3</v>
      </c>
      <c r="GT37" s="6">
        <v>1</v>
      </c>
      <c r="GU37" s="6">
        <v>3</v>
      </c>
      <c r="GV37" s="6">
        <v>1</v>
      </c>
      <c r="GW37" s="6">
        <v>3</v>
      </c>
      <c r="GX37" s="6">
        <v>1</v>
      </c>
      <c r="GY37" s="6">
        <v>3</v>
      </c>
      <c r="GZ37" s="6">
        <v>1</v>
      </c>
      <c r="HA37" s="6">
        <v>3</v>
      </c>
      <c r="HB37" s="6">
        <v>3</v>
      </c>
      <c r="HC37" s="6">
        <v>3</v>
      </c>
      <c r="HD37" s="6">
        <v>1</v>
      </c>
      <c r="HE37" s="6">
        <v>1</v>
      </c>
      <c r="HF37" s="6">
        <v>3</v>
      </c>
      <c r="HG37" s="6">
        <v>3</v>
      </c>
      <c r="HH37" s="6">
        <v>1</v>
      </c>
      <c r="HI37" s="6">
        <v>3</v>
      </c>
      <c r="HJ37" s="6">
        <v>3</v>
      </c>
      <c r="HK37" s="6">
        <v>3</v>
      </c>
      <c r="HL37" s="6">
        <v>3</v>
      </c>
      <c r="HM37" s="6">
        <v>3</v>
      </c>
      <c r="HN37" s="6">
        <v>3</v>
      </c>
      <c r="HO37" s="6">
        <v>3</v>
      </c>
      <c r="HP37" s="6">
        <v>3</v>
      </c>
      <c r="HQ37" s="6">
        <v>3</v>
      </c>
      <c r="HR37" s="6">
        <v>1</v>
      </c>
      <c r="HS37" s="6">
        <v>1</v>
      </c>
      <c r="HT37" s="6">
        <v>0</v>
      </c>
      <c r="HU37" s="6">
        <v>1</v>
      </c>
      <c r="HV37" s="6">
        <v>0</v>
      </c>
      <c r="HW37" s="6">
        <v>1</v>
      </c>
      <c r="HX37" s="6">
        <v>1</v>
      </c>
      <c r="HY37" s="6">
        <v>1</v>
      </c>
      <c r="HZ37" s="6">
        <v>1</v>
      </c>
      <c r="IA37" s="6">
        <v>0</v>
      </c>
      <c r="IB37" s="6">
        <v>1</v>
      </c>
      <c r="IC37" s="6">
        <v>1</v>
      </c>
      <c r="ID37" s="6">
        <v>3</v>
      </c>
      <c r="IE37" s="6">
        <v>1</v>
      </c>
      <c r="IF37" s="6">
        <v>3</v>
      </c>
      <c r="IG37" s="6">
        <v>3</v>
      </c>
      <c r="IH37" s="6">
        <v>3</v>
      </c>
      <c r="II37" s="6">
        <v>1</v>
      </c>
      <c r="IJ37" s="6">
        <v>1</v>
      </c>
      <c r="IK37" s="6">
        <v>1</v>
      </c>
      <c r="IL37" s="6">
        <v>3</v>
      </c>
      <c r="IM37" s="6">
        <v>1</v>
      </c>
      <c r="IN37" s="6">
        <v>3</v>
      </c>
      <c r="IO37" s="6">
        <v>1</v>
      </c>
      <c r="IP37" s="6">
        <v>3</v>
      </c>
      <c r="IQ37" s="6">
        <v>3</v>
      </c>
      <c r="IR37" s="5" t="s">
        <v>449</v>
      </c>
      <c r="IS37" s="6">
        <v>1</v>
      </c>
      <c r="IT37" s="6">
        <v>1</v>
      </c>
      <c r="IU37" s="6">
        <v>3</v>
      </c>
      <c r="IV37" s="6">
        <v>3</v>
      </c>
      <c r="IW37" s="6">
        <v>1</v>
      </c>
      <c r="IX37" s="6">
        <v>3</v>
      </c>
      <c r="IY37" s="6">
        <v>3</v>
      </c>
      <c r="IZ37" s="5" t="s">
        <v>268</v>
      </c>
      <c r="JA37" s="5"/>
    </row>
    <row r="38" spans="1:261" ht="13.2" x14ac:dyDescent="0.25">
      <c r="A38" s="10" t="s">
        <v>274</v>
      </c>
      <c r="B38" s="2" t="s">
        <v>450</v>
      </c>
      <c r="C38" s="2" t="s">
        <v>276</v>
      </c>
      <c r="D38" s="2" t="s">
        <v>270</v>
      </c>
      <c r="E38" s="2">
        <v>43</v>
      </c>
      <c r="F38" s="11" t="s">
        <v>451</v>
      </c>
      <c r="G38" s="11" t="s">
        <v>452</v>
      </c>
      <c r="H38" s="2" t="s">
        <v>453</v>
      </c>
      <c r="I38" s="3">
        <v>4</v>
      </c>
      <c r="J38" s="3">
        <v>4</v>
      </c>
      <c r="K38" s="3">
        <v>3</v>
      </c>
      <c r="L38" s="3">
        <v>3</v>
      </c>
      <c r="M38" s="3">
        <v>3</v>
      </c>
      <c r="N38" s="3">
        <v>4</v>
      </c>
      <c r="O38" s="3">
        <v>4</v>
      </c>
      <c r="P38" s="3">
        <v>2</v>
      </c>
      <c r="Q38" s="3">
        <v>4</v>
      </c>
      <c r="R38" s="3">
        <v>1</v>
      </c>
      <c r="S38" s="3">
        <v>0</v>
      </c>
      <c r="T38" s="3">
        <v>1</v>
      </c>
      <c r="U38" s="3">
        <v>0</v>
      </c>
      <c r="V38" s="3">
        <v>0</v>
      </c>
      <c r="W38" s="3">
        <v>2</v>
      </c>
      <c r="X38" s="3">
        <v>2</v>
      </c>
      <c r="Y38" s="3">
        <v>3</v>
      </c>
      <c r="Z38" s="3">
        <v>1</v>
      </c>
      <c r="AA38" s="3">
        <v>1</v>
      </c>
      <c r="AB38" s="3">
        <v>0</v>
      </c>
      <c r="AC38" s="3">
        <v>2</v>
      </c>
      <c r="AD38" s="3">
        <v>1</v>
      </c>
      <c r="AE38" s="3">
        <v>3</v>
      </c>
      <c r="AF38" s="3">
        <v>4</v>
      </c>
      <c r="AG38" s="3">
        <v>4</v>
      </c>
      <c r="AH38" s="3">
        <v>4</v>
      </c>
      <c r="AI38" s="3">
        <v>4</v>
      </c>
      <c r="AJ38" s="3">
        <v>4</v>
      </c>
      <c r="AK38" s="3">
        <v>3</v>
      </c>
      <c r="AL38" s="3">
        <v>3</v>
      </c>
      <c r="AM38" s="3">
        <v>4</v>
      </c>
      <c r="AN38" s="3">
        <v>1</v>
      </c>
      <c r="AO38" s="3">
        <v>4</v>
      </c>
      <c r="AP38" s="3">
        <v>1</v>
      </c>
      <c r="AQ38" s="3">
        <v>0</v>
      </c>
      <c r="AR38" s="3">
        <v>0</v>
      </c>
      <c r="AS38" s="3">
        <v>0</v>
      </c>
      <c r="AT38" s="3">
        <v>0</v>
      </c>
      <c r="AU38" s="3">
        <v>2</v>
      </c>
      <c r="AV38" s="3">
        <v>4</v>
      </c>
      <c r="AW38" s="3">
        <v>4</v>
      </c>
      <c r="AX38" s="3">
        <v>0</v>
      </c>
      <c r="AY38" s="3">
        <v>1</v>
      </c>
      <c r="AZ38" s="3">
        <v>3</v>
      </c>
      <c r="BA38" s="3">
        <v>1</v>
      </c>
      <c r="BB38" s="3">
        <v>3</v>
      </c>
      <c r="BC38" s="3">
        <v>2</v>
      </c>
      <c r="BD38" s="3">
        <v>1</v>
      </c>
      <c r="BE38" s="3">
        <v>4</v>
      </c>
      <c r="BF38" s="3">
        <v>4</v>
      </c>
      <c r="BG38" s="3">
        <v>4</v>
      </c>
      <c r="BH38" s="3">
        <v>4</v>
      </c>
      <c r="BI38" s="3">
        <v>3</v>
      </c>
      <c r="BJ38" s="3">
        <v>3</v>
      </c>
      <c r="BK38" s="3">
        <v>0</v>
      </c>
      <c r="BL38" s="3">
        <v>1</v>
      </c>
      <c r="BM38" s="3" t="s">
        <v>454</v>
      </c>
      <c r="BN38" s="3">
        <v>3</v>
      </c>
      <c r="BO38" s="3">
        <v>0</v>
      </c>
      <c r="BP38" s="3">
        <v>3</v>
      </c>
      <c r="BQ38" s="3">
        <v>3</v>
      </c>
      <c r="BR38" s="3">
        <v>3</v>
      </c>
      <c r="BS38" s="3">
        <v>3</v>
      </c>
      <c r="BT38" s="3">
        <v>4</v>
      </c>
      <c r="BU38" s="2">
        <v>4</v>
      </c>
      <c r="BV38" s="2">
        <v>1</v>
      </c>
      <c r="BW38" s="2">
        <v>3</v>
      </c>
      <c r="BX38" s="2">
        <v>1</v>
      </c>
      <c r="BY38" s="2">
        <v>0</v>
      </c>
      <c r="BZ38" s="2">
        <v>0</v>
      </c>
      <c r="CA38" s="2">
        <v>0</v>
      </c>
      <c r="CB38" s="2">
        <v>2</v>
      </c>
      <c r="CC38" s="2">
        <v>1</v>
      </c>
      <c r="CD38" s="2">
        <v>0</v>
      </c>
      <c r="CE38" s="2">
        <v>1</v>
      </c>
      <c r="CF38" s="2">
        <v>0</v>
      </c>
      <c r="CG38" s="2">
        <v>0</v>
      </c>
      <c r="CH38" s="2">
        <v>0</v>
      </c>
      <c r="CI38" s="2">
        <v>3</v>
      </c>
      <c r="CJ38" s="2">
        <v>1</v>
      </c>
      <c r="CK38" s="2">
        <v>1</v>
      </c>
      <c r="CL38" s="2">
        <v>3</v>
      </c>
      <c r="CM38" s="2">
        <v>1</v>
      </c>
      <c r="CN38" s="2">
        <v>1</v>
      </c>
      <c r="CO38" s="2">
        <v>0</v>
      </c>
      <c r="CP38" s="2">
        <v>0</v>
      </c>
      <c r="CQ38" s="2">
        <v>3</v>
      </c>
      <c r="CR38" s="2">
        <v>1</v>
      </c>
      <c r="CS38" s="2">
        <v>2</v>
      </c>
      <c r="CT38" s="2">
        <v>1</v>
      </c>
      <c r="CU38" s="2">
        <v>0</v>
      </c>
      <c r="CV38" s="2">
        <v>0</v>
      </c>
      <c r="CW38" s="2">
        <v>0</v>
      </c>
      <c r="CX38" s="2">
        <v>0</v>
      </c>
      <c r="CY38" s="2">
        <v>0</v>
      </c>
      <c r="CZ38" s="2">
        <v>0</v>
      </c>
      <c r="DA38" s="2">
        <v>0</v>
      </c>
      <c r="DB38" s="2">
        <v>0</v>
      </c>
      <c r="DC38" s="2">
        <v>0</v>
      </c>
      <c r="DD38" s="2">
        <v>0</v>
      </c>
      <c r="DE38" s="2">
        <v>1</v>
      </c>
      <c r="DF38" s="2">
        <v>2</v>
      </c>
      <c r="DG38" s="2">
        <v>3</v>
      </c>
      <c r="DH38" s="2">
        <v>3</v>
      </c>
      <c r="DI38" s="2">
        <v>3</v>
      </c>
      <c r="DJ38" s="2">
        <v>0</v>
      </c>
      <c r="DK38" s="2">
        <v>1</v>
      </c>
      <c r="DL38" s="2">
        <v>3</v>
      </c>
      <c r="DM38" s="2">
        <v>3</v>
      </c>
      <c r="DN38" s="2">
        <v>3</v>
      </c>
      <c r="DO38" s="2">
        <v>0</v>
      </c>
      <c r="DP38" s="2">
        <v>0</v>
      </c>
      <c r="DQ38" s="2">
        <v>4</v>
      </c>
      <c r="DR38" s="2">
        <v>4</v>
      </c>
      <c r="DS38" s="2">
        <v>4</v>
      </c>
      <c r="DT38" s="2">
        <v>4</v>
      </c>
      <c r="DU38" s="2">
        <v>0</v>
      </c>
      <c r="DV38" s="2">
        <v>0</v>
      </c>
      <c r="DW38" s="2">
        <v>0</v>
      </c>
      <c r="DX38" s="2">
        <v>3</v>
      </c>
      <c r="DY38" s="2">
        <v>3</v>
      </c>
      <c r="DZ38" s="2">
        <v>3</v>
      </c>
      <c r="EA38" s="2">
        <v>0</v>
      </c>
      <c r="EB38" s="2">
        <v>3</v>
      </c>
      <c r="EC38" s="2">
        <v>3</v>
      </c>
      <c r="ED38" s="2">
        <v>4</v>
      </c>
      <c r="EE38" s="2">
        <v>4</v>
      </c>
      <c r="EF38" s="2">
        <v>4</v>
      </c>
      <c r="EG38" s="2">
        <v>0</v>
      </c>
      <c r="EH38" s="2">
        <v>0</v>
      </c>
      <c r="EI38" s="2">
        <v>3</v>
      </c>
      <c r="EJ38" s="2">
        <v>3</v>
      </c>
      <c r="EK38" s="2">
        <v>3</v>
      </c>
      <c r="EL38" s="2">
        <v>3</v>
      </c>
      <c r="EM38" s="2">
        <v>0</v>
      </c>
      <c r="EN38" s="2">
        <v>4</v>
      </c>
      <c r="EO38" s="2">
        <v>4</v>
      </c>
      <c r="EP38" s="2">
        <v>0</v>
      </c>
      <c r="EQ38" s="2">
        <v>0</v>
      </c>
      <c r="ER38" s="2">
        <v>1</v>
      </c>
      <c r="ES38" s="2">
        <v>1</v>
      </c>
      <c r="ET38" s="2">
        <v>0</v>
      </c>
      <c r="EU38" s="2">
        <v>0</v>
      </c>
      <c r="EV38" s="2">
        <v>3</v>
      </c>
      <c r="EW38" s="2">
        <v>3</v>
      </c>
      <c r="EX38" s="2">
        <v>1</v>
      </c>
      <c r="EY38" s="2">
        <v>3</v>
      </c>
      <c r="EZ38" s="2">
        <v>0</v>
      </c>
      <c r="FA38" s="2">
        <v>0</v>
      </c>
      <c r="FB38" s="2">
        <v>0</v>
      </c>
      <c r="FC38" s="2">
        <v>0</v>
      </c>
      <c r="FD38" s="2">
        <v>1</v>
      </c>
      <c r="FE38" s="2">
        <v>1</v>
      </c>
      <c r="FF38" s="2">
        <v>1</v>
      </c>
      <c r="FG38" s="2">
        <v>4</v>
      </c>
      <c r="FH38" s="2">
        <v>4</v>
      </c>
      <c r="FI38" s="2">
        <v>1</v>
      </c>
      <c r="FJ38" s="2">
        <v>0</v>
      </c>
      <c r="FK38" s="2">
        <v>3</v>
      </c>
      <c r="FL38" s="2">
        <v>3</v>
      </c>
      <c r="FM38" s="2">
        <v>3</v>
      </c>
      <c r="FN38" s="2">
        <v>4</v>
      </c>
      <c r="FO38" s="2">
        <v>0</v>
      </c>
      <c r="FP38" s="2">
        <v>0</v>
      </c>
      <c r="FQ38" s="2">
        <v>1</v>
      </c>
      <c r="FR38" s="2">
        <v>1</v>
      </c>
      <c r="FS38" s="2">
        <v>0</v>
      </c>
      <c r="FT38" s="2">
        <v>0</v>
      </c>
      <c r="FU38" s="2">
        <v>3</v>
      </c>
      <c r="FV38" s="2">
        <v>0</v>
      </c>
      <c r="FW38" s="2">
        <v>3</v>
      </c>
      <c r="FX38" s="2">
        <v>3</v>
      </c>
      <c r="FY38" s="2">
        <v>3</v>
      </c>
      <c r="FZ38" s="2">
        <v>1</v>
      </c>
      <c r="GA38" s="2">
        <v>0</v>
      </c>
      <c r="GB38" s="2">
        <v>2</v>
      </c>
      <c r="GC38" s="2" t="s">
        <v>455</v>
      </c>
      <c r="GD38" s="2">
        <v>3</v>
      </c>
      <c r="GE38" s="2">
        <v>0</v>
      </c>
      <c r="GF38" s="2">
        <v>1</v>
      </c>
      <c r="GG38" s="2">
        <v>4</v>
      </c>
      <c r="GH38" s="2">
        <v>4</v>
      </c>
      <c r="GI38" s="2">
        <v>3</v>
      </c>
      <c r="GJ38" s="2">
        <v>3</v>
      </c>
      <c r="GK38" s="2">
        <v>3</v>
      </c>
      <c r="GL38" s="2">
        <v>0</v>
      </c>
      <c r="GM38" s="2">
        <v>0</v>
      </c>
      <c r="GN38" s="3">
        <v>4</v>
      </c>
      <c r="GO38" s="3">
        <v>0</v>
      </c>
      <c r="GP38" s="3">
        <v>0</v>
      </c>
      <c r="GQ38" s="3">
        <v>3</v>
      </c>
      <c r="GR38" s="3">
        <v>0</v>
      </c>
      <c r="GS38" s="3">
        <v>3</v>
      </c>
      <c r="GT38" s="3">
        <v>3</v>
      </c>
      <c r="GU38" s="3">
        <v>4</v>
      </c>
      <c r="GV38" s="3">
        <v>1</v>
      </c>
      <c r="GW38" s="3">
        <v>0</v>
      </c>
      <c r="GX38" s="3">
        <v>0</v>
      </c>
      <c r="GY38" s="3">
        <v>4</v>
      </c>
      <c r="GZ38" s="3">
        <v>0</v>
      </c>
      <c r="HA38" s="3">
        <v>1</v>
      </c>
      <c r="HB38" s="3">
        <v>3</v>
      </c>
      <c r="HC38" s="3">
        <v>3</v>
      </c>
      <c r="HD38" s="3">
        <v>0</v>
      </c>
      <c r="HE38" s="3">
        <v>2</v>
      </c>
      <c r="HF38" s="3">
        <v>1</v>
      </c>
      <c r="HG38" s="3">
        <v>2</v>
      </c>
      <c r="HH38" s="3">
        <v>3</v>
      </c>
      <c r="HI38" s="3">
        <v>4</v>
      </c>
      <c r="HJ38" s="3">
        <v>0</v>
      </c>
      <c r="HK38" s="3">
        <v>1</v>
      </c>
      <c r="HL38" s="3">
        <v>3</v>
      </c>
      <c r="HM38" s="3">
        <v>1</v>
      </c>
      <c r="HN38" s="3">
        <v>3</v>
      </c>
      <c r="HO38" s="3">
        <v>3</v>
      </c>
      <c r="HP38" s="3">
        <v>4</v>
      </c>
      <c r="HQ38" s="3">
        <v>3</v>
      </c>
      <c r="HR38" s="3">
        <v>1</v>
      </c>
      <c r="HS38" s="3">
        <v>2</v>
      </c>
      <c r="HT38" s="3">
        <v>0</v>
      </c>
      <c r="HU38" s="3">
        <v>0</v>
      </c>
      <c r="HV38" s="3">
        <v>0</v>
      </c>
      <c r="HW38" s="3">
        <v>4</v>
      </c>
      <c r="HX38" s="3">
        <v>0</v>
      </c>
      <c r="HY38" s="3">
        <v>0</v>
      </c>
      <c r="HZ38" s="3">
        <v>0</v>
      </c>
      <c r="IA38" s="3">
        <v>4</v>
      </c>
      <c r="IB38" s="3">
        <v>3</v>
      </c>
      <c r="IC38" s="3">
        <v>0</v>
      </c>
      <c r="ID38" s="3">
        <v>0</v>
      </c>
      <c r="IE38" s="3">
        <v>0</v>
      </c>
      <c r="IF38" s="3">
        <v>2</v>
      </c>
      <c r="IG38" s="3">
        <v>0</v>
      </c>
      <c r="IH38" s="3">
        <v>0</v>
      </c>
      <c r="II38" s="3">
        <v>3</v>
      </c>
      <c r="IJ38" s="3">
        <v>0</v>
      </c>
      <c r="IK38" s="3">
        <v>0</v>
      </c>
      <c r="IL38" s="3">
        <v>0</v>
      </c>
      <c r="IM38" s="3">
        <v>1</v>
      </c>
      <c r="IN38" s="3">
        <v>1</v>
      </c>
      <c r="IO38" s="3">
        <v>0</v>
      </c>
      <c r="IP38" s="3">
        <v>0</v>
      </c>
      <c r="IQ38" s="3">
        <v>3</v>
      </c>
      <c r="IR38" s="3" t="s">
        <v>456</v>
      </c>
      <c r="IS38" s="3">
        <v>3</v>
      </c>
      <c r="IT38" s="3">
        <v>3</v>
      </c>
      <c r="IU38" s="3">
        <v>4</v>
      </c>
      <c r="IV38" s="3">
        <v>4</v>
      </c>
      <c r="IW38" s="3">
        <v>0</v>
      </c>
      <c r="IX38" s="3">
        <v>0</v>
      </c>
      <c r="IY38" s="3">
        <v>0</v>
      </c>
      <c r="IZ38" s="2" t="s">
        <v>268</v>
      </c>
      <c r="JA38" s="2"/>
    </row>
    <row r="39" spans="1:261" ht="13.2" x14ac:dyDescent="0.25">
      <c r="A39" s="10" t="s">
        <v>274</v>
      </c>
      <c r="B39" s="2" t="s">
        <v>457</v>
      </c>
      <c r="C39" s="2" t="s">
        <v>261</v>
      </c>
      <c r="D39" s="2" t="s">
        <v>270</v>
      </c>
      <c r="E39" s="2">
        <v>31</v>
      </c>
      <c r="F39" s="11" t="s">
        <v>458</v>
      </c>
      <c r="G39" s="11" t="s">
        <v>459</v>
      </c>
      <c r="H39" s="2" t="s">
        <v>460</v>
      </c>
      <c r="I39" s="3">
        <v>0</v>
      </c>
      <c r="J39" s="3">
        <v>4</v>
      </c>
      <c r="K39" s="3">
        <v>3</v>
      </c>
      <c r="L39" s="3">
        <v>4</v>
      </c>
      <c r="M39" s="3">
        <v>4</v>
      </c>
      <c r="N39" s="3">
        <v>1</v>
      </c>
      <c r="O39" s="3">
        <v>1</v>
      </c>
      <c r="P39" s="3">
        <v>2</v>
      </c>
      <c r="Q39" s="3">
        <v>4</v>
      </c>
      <c r="R39" s="3">
        <v>0</v>
      </c>
      <c r="S39" s="3">
        <v>2</v>
      </c>
      <c r="T39" s="3">
        <v>0</v>
      </c>
      <c r="U39" s="3">
        <v>0</v>
      </c>
      <c r="V39" s="3">
        <v>0</v>
      </c>
      <c r="W39" s="3">
        <v>1</v>
      </c>
      <c r="X39" s="3">
        <v>1</v>
      </c>
      <c r="Y39" s="3">
        <v>2</v>
      </c>
      <c r="Z39" s="3">
        <v>2</v>
      </c>
      <c r="AA39" s="3">
        <v>1</v>
      </c>
      <c r="AB39" s="3">
        <v>1</v>
      </c>
      <c r="AC39" s="3">
        <v>2</v>
      </c>
      <c r="AD39" s="3">
        <v>1</v>
      </c>
      <c r="AE39" s="3">
        <v>4</v>
      </c>
      <c r="AF39" s="3">
        <v>2</v>
      </c>
      <c r="AG39" s="3">
        <v>0</v>
      </c>
      <c r="AH39" s="3">
        <v>0</v>
      </c>
      <c r="AI39" s="3">
        <v>2</v>
      </c>
      <c r="AJ39" s="3">
        <v>0</v>
      </c>
      <c r="AK39" s="3">
        <v>0</v>
      </c>
      <c r="AL39" s="3">
        <v>0</v>
      </c>
      <c r="AM39" s="3">
        <v>0</v>
      </c>
      <c r="AN39" s="3">
        <v>0</v>
      </c>
      <c r="AO39" s="3">
        <v>4</v>
      </c>
      <c r="AP39" s="3">
        <v>0</v>
      </c>
      <c r="AQ39" s="3">
        <v>2</v>
      </c>
      <c r="AR39" s="3">
        <v>0</v>
      </c>
      <c r="AS39" s="3">
        <v>0</v>
      </c>
      <c r="AT39" s="3">
        <v>0</v>
      </c>
      <c r="AU39" s="3">
        <v>1</v>
      </c>
      <c r="AV39" s="3">
        <v>0</v>
      </c>
      <c r="AW39" s="3">
        <v>0</v>
      </c>
      <c r="AX39" s="3">
        <v>0</v>
      </c>
      <c r="AY39" s="3">
        <v>0</v>
      </c>
      <c r="AZ39" s="3">
        <v>0</v>
      </c>
      <c r="BA39" s="3">
        <v>0</v>
      </c>
      <c r="BB39" s="3">
        <v>2</v>
      </c>
      <c r="BC39" s="3">
        <v>0</v>
      </c>
      <c r="BD39" s="3">
        <v>0</v>
      </c>
      <c r="BE39" s="3">
        <v>2</v>
      </c>
      <c r="BF39" s="3">
        <v>2</v>
      </c>
      <c r="BG39" s="3">
        <v>2</v>
      </c>
      <c r="BH39" s="3">
        <v>1</v>
      </c>
      <c r="BI39" s="3">
        <v>0</v>
      </c>
      <c r="BJ39" s="3">
        <v>2</v>
      </c>
      <c r="BK39" s="3">
        <v>2</v>
      </c>
      <c r="BL39" s="3">
        <v>0</v>
      </c>
      <c r="BM39" s="3" t="s">
        <v>461</v>
      </c>
      <c r="BN39" s="3">
        <v>1</v>
      </c>
      <c r="BO39" s="3">
        <v>2</v>
      </c>
      <c r="BP39" s="3">
        <v>2</v>
      </c>
      <c r="BQ39" s="3">
        <v>1</v>
      </c>
      <c r="BR39" s="3">
        <v>0</v>
      </c>
      <c r="BS39" s="3">
        <v>4</v>
      </c>
      <c r="BT39" s="3">
        <v>1</v>
      </c>
      <c r="BU39" s="2">
        <v>0</v>
      </c>
      <c r="BV39" s="2">
        <v>0</v>
      </c>
      <c r="BW39" s="2">
        <v>0</v>
      </c>
      <c r="BX39" s="2">
        <v>0</v>
      </c>
      <c r="BY39" s="2">
        <v>0</v>
      </c>
      <c r="BZ39" s="2">
        <v>0</v>
      </c>
      <c r="CA39" s="2">
        <v>0</v>
      </c>
      <c r="CB39" s="2">
        <v>3</v>
      </c>
      <c r="CC39" s="2">
        <v>1</v>
      </c>
      <c r="CD39" s="2">
        <v>0</v>
      </c>
      <c r="CE39" s="2">
        <v>0</v>
      </c>
      <c r="CF39" s="2">
        <v>0</v>
      </c>
      <c r="CG39" s="2">
        <v>0</v>
      </c>
      <c r="CH39" s="2">
        <v>1</v>
      </c>
      <c r="CI39" s="2">
        <v>0</v>
      </c>
      <c r="CJ39" s="2">
        <v>0</v>
      </c>
      <c r="CK39" s="2">
        <v>0</v>
      </c>
      <c r="CL39" s="2">
        <v>0</v>
      </c>
      <c r="CM39" s="2">
        <v>0</v>
      </c>
      <c r="CN39" s="2">
        <v>0</v>
      </c>
      <c r="CO39" s="2">
        <v>0</v>
      </c>
      <c r="CP39" s="2">
        <v>0</v>
      </c>
      <c r="CQ39" s="2">
        <v>0</v>
      </c>
      <c r="CR39" s="2">
        <v>0</v>
      </c>
      <c r="CS39" s="2">
        <v>0</v>
      </c>
      <c r="CT39" s="2">
        <v>0</v>
      </c>
      <c r="CU39" s="2">
        <v>0</v>
      </c>
      <c r="CV39" s="2">
        <v>0</v>
      </c>
      <c r="CW39" s="2">
        <v>0</v>
      </c>
      <c r="CX39" s="2">
        <v>0</v>
      </c>
      <c r="CY39" s="2">
        <v>0</v>
      </c>
      <c r="CZ39" s="2">
        <v>3</v>
      </c>
      <c r="DA39" s="2">
        <v>0</v>
      </c>
      <c r="DB39" s="2">
        <v>0</v>
      </c>
      <c r="DC39" s="2">
        <v>0</v>
      </c>
      <c r="DD39" s="2">
        <v>0</v>
      </c>
      <c r="DE39" s="2">
        <v>0</v>
      </c>
      <c r="DF39" s="2">
        <v>2</v>
      </c>
      <c r="DG39" s="2">
        <v>0</v>
      </c>
      <c r="DH39" s="2">
        <v>0</v>
      </c>
      <c r="DI39" s="2">
        <v>0</v>
      </c>
      <c r="DJ39" s="2">
        <v>0</v>
      </c>
      <c r="DK39" s="2">
        <v>0</v>
      </c>
      <c r="DL39" s="2">
        <v>0</v>
      </c>
      <c r="DM39" s="2">
        <v>0</v>
      </c>
      <c r="DN39" s="2">
        <v>0</v>
      </c>
      <c r="DO39" s="2">
        <v>0</v>
      </c>
      <c r="DP39" s="2">
        <v>1</v>
      </c>
      <c r="DQ39" s="2">
        <v>1</v>
      </c>
      <c r="DR39" s="2">
        <v>0</v>
      </c>
      <c r="DS39" s="2">
        <v>0</v>
      </c>
      <c r="DT39" s="2">
        <v>0</v>
      </c>
      <c r="DU39" s="2">
        <v>0</v>
      </c>
      <c r="DV39" s="2">
        <v>0</v>
      </c>
      <c r="DW39" s="2">
        <v>0</v>
      </c>
      <c r="DX39" s="2">
        <v>1</v>
      </c>
      <c r="DY39" s="2">
        <v>1</v>
      </c>
      <c r="DZ39" s="2">
        <v>0</v>
      </c>
      <c r="EA39" s="2">
        <v>0</v>
      </c>
      <c r="EB39" s="2">
        <v>0</v>
      </c>
      <c r="EC39" s="2">
        <v>0</v>
      </c>
      <c r="ED39" s="2">
        <v>0</v>
      </c>
      <c r="EE39" s="2">
        <v>0</v>
      </c>
      <c r="EF39" s="2">
        <v>0</v>
      </c>
      <c r="EG39" s="2">
        <v>0</v>
      </c>
      <c r="EH39" s="2">
        <v>0</v>
      </c>
      <c r="EI39" s="2">
        <v>0</v>
      </c>
      <c r="EJ39" s="2">
        <v>0</v>
      </c>
      <c r="EK39" s="2">
        <v>0</v>
      </c>
      <c r="EL39" s="2">
        <v>0</v>
      </c>
      <c r="EM39" s="2">
        <v>0</v>
      </c>
      <c r="EN39" s="2">
        <v>0</v>
      </c>
      <c r="EO39" s="2">
        <v>0</v>
      </c>
      <c r="EP39" s="2">
        <v>0</v>
      </c>
      <c r="EQ39" s="2">
        <v>2</v>
      </c>
      <c r="ER39" s="2">
        <v>0</v>
      </c>
      <c r="ES39" s="2">
        <v>0</v>
      </c>
      <c r="ET39" s="2">
        <v>1</v>
      </c>
      <c r="EU39" s="2">
        <v>0</v>
      </c>
      <c r="EV39" s="2">
        <v>0</v>
      </c>
      <c r="EW39" s="2">
        <v>0</v>
      </c>
      <c r="EX39" s="2">
        <v>0</v>
      </c>
      <c r="EY39" s="2">
        <v>0</v>
      </c>
      <c r="EZ39" s="2">
        <v>0</v>
      </c>
      <c r="FA39" s="2">
        <v>0</v>
      </c>
      <c r="FB39" s="2">
        <v>0</v>
      </c>
      <c r="FC39" s="2">
        <v>0</v>
      </c>
      <c r="FD39" s="2">
        <v>0</v>
      </c>
      <c r="FE39" s="2">
        <v>0</v>
      </c>
      <c r="FF39" s="2">
        <v>0</v>
      </c>
      <c r="FG39" s="2">
        <v>0</v>
      </c>
      <c r="FH39" s="2">
        <v>0</v>
      </c>
      <c r="FI39" s="2">
        <v>0</v>
      </c>
      <c r="FJ39" s="2">
        <v>0</v>
      </c>
      <c r="FK39" s="2">
        <v>0</v>
      </c>
      <c r="FL39" s="2">
        <v>0</v>
      </c>
      <c r="FM39" s="2">
        <v>0</v>
      </c>
      <c r="FN39" s="2">
        <v>0</v>
      </c>
      <c r="FO39" s="2">
        <v>0</v>
      </c>
      <c r="FP39" s="2">
        <v>0</v>
      </c>
      <c r="FQ39" s="2">
        <v>0</v>
      </c>
      <c r="FR39" s="2">
        <v>0</v>
      </c>
      <c r="FS39" s="2">
        <v>0</v>
      </c>
      <c r="FT39" s="2">
        <v>0</v>
      </c>
      <c r="FU39" s="2">
        <v>1</v>
      </c>
      <c r="FV39" s="2">
        <v>0</v>
      </c>
      <c r="FW39" s="2">
        <v>0</v>
      </c>
      <c r="FX39" s="2">
        <v>0</v>
      </c>
      <c r="FY39" s="2">
        <v>0</v>
      </c>
      <c r="FZ39" s="2">
        <v>0</v>
      </c>
      <c r="GA39" s="2">
        <v>0</v>
      </c>
      <c r="GB39" s="2">
        <v>0</v>
      </c>
      <c r="GC39" s="2" t="s">
        <v>462</v>
      </c>
      <c r="GD39" s="2">
        <v>0</v>
      </c>
      <c r="GE39" s="2">
        <v>0</v>
      </c>
      <c r="GF39" s="2">
        <v>0</v>
      </c>
      <c r="GG39" s="2">
        <v>0</v>
      </c>
      <c r="GH39" s="2">
        <v>0</v>
      </c>
      <c r="GI39" s="2">
        <v>0</v>
      </c>
      <c r="GJ39" s="2">
        <v>0</v>
      </c>
      <c r="GK39" s="2">
        <v>0</v>
      </c>
      <c r="GL39" s="2">
        <v>0</v>
      </c>
      <c r="GM39" s="2">
        <v>0</v>
      </c>
      <c r="GN39" s="3">
        <v>3</v>
      </c>
      <c r="GO39" s="3">
        <v>3</v>
      </c>
      <c r="GP39" s="3">
        <v>0</v>
      </c>
      <c r="GQ39" s="3">
        <v>2</v>
      </c>
      <c r="GR39" s="3">
        <v>0</v>
      </c>
      <c r="GS39" s="3">
        <v>0</v>
      </c>
      <c r="GT39" s="3">
        <v>0</v>
      </c>
      <c r="GU39" s="3">
        <v>4</v>
      </c>
      <c r="GV39" s="3">
        <v>0</v>
      </c>
      <c r="GW39" s="3">
        <v>0</v>
      </c>
      <c r="GX39" s="3">
        <v>1</v>
      </c>
      <c r="GY39" s="3">
        <v>4</v>
      </c>
      <c r="GZ39" s="3">
        <v>0</v>
      </c>
      <c r="HA39" s="3">
        <v>3</v>
      </c>
      <c r="HB39" s="3">
        <v>0</v>
      </c>
      <c r="HC39" s="3">
        <v>4</v>
      </c>
      <c r="HD39" s="3">
        <v>0</v>
      </c>
      <c r="HE39" s="3">
        <v>4</v>
      </c>
      <c r="HF39" s="3">
        <v>0</v>
      </c>
      <c r="HG39" s="3">
        <v>0</v>
      </c>
      <c r="HH39" s="3">
        <v>0</v>
      </c>
      <c r="HI39" s="3">
        <v>0</v>
      </c>
      <c r="HJ39" s="3">
        <v>0</v>
      </c>
      <c r="HK39" s="3">
        <v>2</v>
      </c>
      <c r="HL39" s="3">
        <v>4</v>
      </c>
      <c r="HM39" s="3">
        <v>0</v>
      </c>
      <c r="HN39" s="3">
        <v>0</v>
      </c>
      <c r="HO39" s="3">
        <v>0</v>
      </c>
      <c r="HP39" s="3">
        <v>4</v>
      </c>
      <c r="HQ39" s="3">
        <v>0</v>
      </c>
      <c r="HR39" s="3">
        <v>0</v>
      </c>
      <c r="HS39" s="3">
        <v>0</v>
      </c>
      <c r="HT39" s="3">
        <v>0</v>
      </c>
      <c r="HU39" s="3">
        <v>0</v>
      </c>
      <c r="HV39" s="3">
        <v>0</v>
      </c>
      <c r="HW39" s="3">
        <v>4</v>
      </c>
      <c r="HX39" s="3">
        <v>0</v>
      </c>
      <c r="HY39" s="3">
        <v>0</v>
      </c>
      <c r="HZ39" s="3">
        <v>0</v>
      </c>
      <c r="IA39" s="3">
        <v>0</v>
      </c>
      <c r="IB39" s="3">
        <v>4</v>
      </c>
      <c r="IC39" s="3">
        <v>0</v>
      </c>
      <c r="ID39" s="3">
        <v>0</v>
      </c>
      <c r="IE39" s="3">
        <v>0</v>
      </c>
      <c r="IF39" s="3">
        <v>0</v>
      </c>
      <c r="IG39" s="3">
        <v>0</v>
      </c>
      <c r="IH39" s="3">
        <v>0</v>
      </c>
      <c r="II39" s="3">
        <v>4</v>
      </c>
      <c r="IJ39" s="3">
        <v>0</v>
      </c>
      <c r="IK39" s="3">
        <v>0</v>
      </c>
      <c r="IL39" s="3">
        <v>0</v>
      </c>
      <c r="IM39" s="3">
        <v>0</v>
      </c>
      <c r="IN39" s="3">
        <v>0</v>
      </c>
      <c r="IO39" s="3">
        <v>0</v>
      </c>
      <c r="IP39" s="3">
        <v>0</v>
      </c>
      <c r="IQ39" s="3">
        <v>0</v>
      </c>
      <c r="IR39" s="3" t="s">
        <v>463</v>
      </c>
      <c r="IS39" s="3">
        <v>1</v>
      </c>
      <c r="IT39" s="3">
        <v>2</v>
      </c>
      <c r="IU39" s="3">
        <v>4</v>
      </c>
      <c r="IV39" s="3">
        <v>4</v>
      </c>
      <c r="IW39" s="3">
        <v>0</v>
      </c>
      <c r="IX39" s="3">
        <v>0</v>
      </c>
      <c r="IY39" s="3">
        <v>2</v>
      </c>
      <c r="IZ39" s="2" t="s">
        <v>268</v>
      </c>
      <c r="JA39" s="2"/>
    </row>
    <row r="40" spans="1:261" ht="13.2" x14ac:dyDescent="0.25">
      <c r="A40" s="10" t="s">
        <v>274</v>
      </c>
      <c r="B40" s="2" t="s">
        <v>464</v>
      </c>
      <c r="C40" s="2" t="s">
        <v>276</v>
      </c>
      <c r="D40" s="2" t="s">
        <v>373</v>
      </c>
      <c r="E40" s="2">
        <v>36</v>
      </c>
      <c r="F40" s="11" t="s">
        <v>465</v>
      </c>
      <c r="G40" s="11" t="s">
        <v>466</v>
      </c>
      <c r="H40" s="2" t="s">
        <v>467</v>
      </c>
      <c r="I40" s="3">
        <v>3</v>
      </c>
      <c r="J40" s="3">
        <v>4</v>
      </c>
      <c r="K40" s="3">
        <v>1</v>
      </c>
      <c r="L40" s="3">
        <v>4</v>
      </c>
      <c r="M40" s="3">
        <v>2</v>
      </c>
      <c r="N40" s="3">
        <v>2</v>
      </c>
      <c r="O40" s="3">
        <v>2</v>
      </c>
      <c r="P40" s="3">
        <v>4</v>
      </c>
      <c r="Q40" s="3">
        <v>2</v>
      </c>
      <c r="R40" s="3">
        <v>1</v>
      </c>
      <c r="S40" s="3">
        <v>2</v>
      </c>
      <c r="T40" s="3">
        <v>2</v>
      </c>
      <c r="U40" s="3">
        <v>0</v>
      </c>
      <c r="V40" s="3">
        <v>0</v>
      </c>
      <c r="W40" s="3">
        <v>2</v>
      </c>
      <c r="X40" s="3">
        <v>2</v>
      </c>
      <c r="Y40" s="3">
        <v>3</v>
      </c>
      <c r="Z40" s="3">
        <v>2</v>
      </c>
      <c r="AA40" s="3">
        <v>2</v>
      </c>
      <c r="AB40" s="3">
        <v>1</v>
      </c>
      <c r="AC40" s="3">
        <v>1</v>
      </c>
      <c r="AD40" s="3">
        <v>0</v>
      </c>
      <c r="AE40" s="3">
        <v>3</v>
      </c>
      <c r="AF40" s="3">
        <v>2</v>
      </c>
      <c r="AG40" s="3">
        <v>4</v>
      </c>
      <c r="AH40" s="3">
        <v>4</v>
      </c>
      <c r="AI40" s="3">
        <v>2</v>
      </c>
      <c r="AJ40" s="3">
        <v>3</v>
      </c>
      <c r="AK40" s="3">
        <v>4</v>
      </c>
      <c r="AL40" s="3">
        <v>4</v>
      </c>
      <c r="AM40" s="3">
        <v>4</v>
      </c>
      <c r="AN40" s="3">
        <v>2</v>
      </c>
      <c r="AO40" s="3">
        <v>1</v>
      </c>
      <c r="AP40" s="3">
        <v>3</v>
      </c>
      <c r="AQ40" s="3">
        <v>0</v>
      </c>
      <c r="AR40" s="3">
        <v>3</v>
      </c>
      <c r="AS40" s="3">
        <v>3</v>
      </c>
      <c r="AT40" s="3">
        <v>3</v>
      </c>
      <c r="AU40" s="3">
        <v>2</v>
      </c>
      <c r="AV40" s="3">
        <v>2</v>
      </c>
      <c r="AW40" s="3">
        <v>3</v>
      </c>
      <c r="AX40" s="3">
        <v>4</v>
      </c>
      <c r="AY40" s="3">
        <v>4</v>
      </c>
      <c r="AZ40" s="3">
        <v>4</v>
      </c>
      <c r="BA40" s="3">
        <v>4</v>
      </c>
      <c r="BB40" s="3">
        <v>4</v>
      </c>
      <c r="BC40" s="3">
        <v>0</v>
      </c>
      <c r="BD40" s="3">
        <v>3</v>
      </c>
      <c r="BE40" s="3">
        <v>2</v>
      </c>
      <c r="BF40" s="3">
        <v>0</v>
      </c>
      <c r="BG40" s="3">
        <v>2</v>
      </c>
      <c r="BH40" s="3">
        <v>2</v>
      </c>
      <c r="BI40" s="3">
        <v>2</v>
      </c>
      <c r="BJ40" s="3">
        <v>2</v>
      </c>
      <c r="BK40" s="3">
        <v>0</v>
      </c>
      <c r="BL40" s="3">
        <v>0</v>
      </c>
      <c r="BM40" s="3" t="s">
        <v>468</v>
      </c>
      <c r="BN40" s="3">
        <v>3</v>
      </c>
      <c r="BO40" s="3">
        <v>0</v>
      </c>
      <c r="BP40" s="3">
        <v>2</v>
      </c>
      <c r="BQ40" s="3">
        <v>2</v>
      </c>
      <c r="BR40" s="3">
        <v>0</v>
      </c>
      <c r="BS40" s="3">
        <v>4</v>
      </c>
      <c r="BT40" s="3">
        <v>1</v>
      </c>
      <c r="BU40" s="2">
        <v>3</v>
      </c>
      <c r="BV40" s="2">
        <v>3</v>
      </c>
      <c r="BW40" s="2">
        <v>3</v>
      </c>
      <c r="BX40" s="2">
        <v>3</v>
      </c>
      <c r="BY40" s="2">
        <v>3</v>
      </c>
      <c r="BZ40" s="2">
        <v>3</v>
      </c>
      <c r="CA40" s="2">
        <v>4</v>
      </c>
      <c r="CB40" s="2">
        <v>4</v>
      </c>
      <c r="CC40" s="2">
        <v>4</v>
      </c>
      <c r="CD40" s="2">
        <v>4</v>
      </c>
      <c r="CE40" s="2">
        <v>4</v>
      </c>
      <c r="CF40" s="2">
        <v>4</v>
      </c>
      <c r="CG40" s="2">
        <v>4</v>
      </c>
      <c r="CH40" s="2">
        <v>4</v>
      </c>
      <c r="CI40" s="2">
        <v>4</v>
      </c>
      <c r="CJ40" s="2">
        <v>4</v>
      </c>
      <c r="CK40" s="2">
        <v>4</v>
      </c>
      <c r="CL40" s="2">
        <v>4</v>
      </c>
      <c r="CM40" s="2">
        <v>4</v>
      </c>
      <c r="CN40" s="2">
        <v>4</v>
      </c>
      <c r="CO40" s="2">
        <v>4</v>
      </c>
      <c r="CP40" s="2">
        <v>4</v>
      </c>
      <c r="CQ40" s="2">
        <v>4</v>
      </c>
      <c r="CR40" s="2">
        <v>4</v>
      </c>
      <c r="CS40" s="2">
        <v>4</v>
      </c>
      <c r="CT40" s="2">
        <v>4</v>
      </c>
      <c r="CU40" s="2">
        <v>4</v>
      </c>
      <c r="CV40" s="2">
        <v>4</v>
      </c>
      <c r="CW40" s="2">
        <v>2</v>
      </c>
      <c r="CX40" s="2">
        <v>2</v>
      </c>
      <c r="CY40" s="2">
        <v>2</v>
      </c>
      <c r="CZ40" s="2">
        <v>3</v>
      </c>
      <c r="DA40" s="2">
        <v>2</v>
      </c>
      <c r="DB40" s="2">
        <v>2</v>
      </c>
      <c r="DC40" s="2">
        <v>2</v>
      </c>
      <c r="DD40" s="2">
        <v>2</v>
      </c>
      <c r="DE40" s="2">
        <v>3</v>
      </c>
      <c r="DF40" s="2">
        <v>3</v>
      </c>
      <c r="DG40" s="2">
        <v>3</v>
      </c>
      <c r="DH40" s="2">
        <v>3</v>
      </c>
      <c r="DI40" s="2">
        <v>3</v>
      </c>
      <c r="DJ40" s="2">
        <v>4</v>
      </c>
      <c r="DK40" s="2">
        <v>4</v>
      </c>
      <c r="DL40" s="2">
        <v>4</v>
      </c>
      <c r="DM40" s="2">
        <v>4</v>
      </c>
      <c r="DN40" s="2">
        <v>4</v>
      </c>
      <c r="DO40" s="2">
        <v>4</v>
      </c>
      <c r="DP40" s="2">
        <v>4</v>
      </c>
      <c r="DQ40" s="2">
        <v>4</v>
      </c>
      <c r="DR40" s="2">
        <v>4</v>
      </c>
      <c r="DS40" s="2">
        <v>4</v>
      </c>
      <c r="DT40" s="2">
        <v>4</v>
      </c>
      <c r="DU40" s="2">
        <v>4</v>
      </c>
      <c r="DV40" s="2">
        <v>4</v>
      </c>
      <c r="DW40" s="2">
        <v>2</v>
      </c>
      <c r="DX40" s="2">
        <v>3</v>
      </c>
      <c r="DY40" s="2">
        <v>3</v>
      </c>
      <c r="DZ40" s="2">
        <v>3</v>
      </c>
      <c r="EA40" s="2">
        <v>3</v>
      </c>
      <c r="EB40" s="2">
        <v>3</v>
      </c>
      <c r="EC40" s="2">
        <v>3</v>
      </c>
      <c r="ED40" s="2">
        <v>3</v>
      </c>
      <c r="EE40" s="2">
        <v>3</v>
      </c>
      <c r="EF40" s="2">
        <v>3</v>
      </c>
      <c r="EG40" s="2">
        <v>3</v>
      </c>
      <c r="EH40" s="2">
        <v>3</v>
      </c>
      <c r="EI40" s="2">
        <v>4</v>
      </c>
      <c r="EJ40" s="2">
        <v>4</v>
      </c>
      <c r="EK40" s="2">
        <v>3</v>
      </c>
      <c r="EL40" s="2">
        <v>3</v>
      </c>
      <c r="EM40" s="2">
        <v>4</v>
      </c>
      <c r="EN40" s="2">
        <v>3</v>
      </c>
      <c r="EO40" s="2">
        <v>3</v>
      </c>
      <c r="EP40" s="2">
        <v>4</v>
      </c>
      <c r="EQ40" s="2">
        <v>4</v>
      </c>
      <c r="ER40" s="2">
        <v>4</v>
      </c>
      <c r="ES40" s="2">
        <v>2</v>
      </c>
      <c r="ET40" s="2">
        <v>2</v>
      </c>
      <c r="EU40" s="2">
        <v>2</v>
      </c>
      <c r="EV40" s="2">
        <v>2</v>
      </c>
      <c r="EW40" s="2">
        <v>3</v>
      </c>
      <c r="EX40" s="2">
        <v>3</v>
      </c>
      <c r="EY40" s="2">
        <v>3</v>
      </c>
      <c r="EZ40" s="2">
        <v>3</v>
      </c>
      <c r="FA40" s="2">
        <v>3</v>
      </c>
      <c r="FB40" s="2">
        <v>3</v>
      </c>
      <c r="FC40" s="2">
        <v>3</v>
      </c>
      <c r="FD40" s="2">
        <v>3</v>
      </c>
      <c r="FE40" s="2">
        <v>3</v>
      </c>
      <c r="FF40" s="2">
        <v>4</v>
      </c>
      <c r="FG40" s="2">
        <v>2</v>
      </c>
      <c r="FH40" s="2">
        <v>2</v>
      </c>
      <c r="FI40" s="2">
        <v>2</v>
      </c>
      <c r="FJ40" s="2">
        <v>2</v>
      </c>
      <c r="FK40" s="2">
        <v>2</v>
      </c>
      <c r="FL40" s="2">
        <v>2</v>
      </c>
      <c r="FM40" s="2">
        <v>4</v>
      </c>
      <c r="FN40" s="2">
        <v>2</v>
      </c>
      <c r="FO40" s="2">
        <v>4</v>
      </c>
      <c r="FP40" s="2">
        <v>2</v>
      </c>
      <c r="FQ40" s="2">
        <v>3</v>
      </c>
      <c r="FR40" s="2">
        <v>3</v>
      </c>
      <c r="FS40" s="2">
        <v>3</v>
      </c>
      <c r="FT40" s="2">
        <v>3</v>
      </c>
      <c r="FU40" s="2">
        <v>2</v>
      </c>
      <c r="FV40" s="2">
        <v>2</v>
      </c>
      <c r="FW40" s="2">
        <v>3</v>
      </c>
      <c r="FX40" s="2">
        <v>2</v>
      </c>
      <c r="FY40" s="2">
        <v>2</v>
      </c>
      <c r="FZ40" s="2">
        <v>2</v>
      </c>
      <c r="GA40" s="2">
        <v>3</v>
      </c>
      <c r="GB40" s="2">
        <v>2</v>
      </c>
      <c r="GC40" s="2" t="s">
        <v>469</v>
      </c>
      <c r="GD40" s="2">
        <v>4</v>
      </c>
      <c r="GE40" s="2">
        <v>2</v>
      </c>
      <c r="GF40" s="2">
        <v>2</v>
      </c>
      <c r="GG40" s="2">
        <v>3</v>
      </c>
      <c r="GH40" s="2">
        <v>4</v>
      </c>
      <c r="GI40" s="2">
        <v>2</v>
      </c>
      <c r="GJ40" s="2">
        <v>3</v>
      </c>
      <c r="GK40" s="2">
        <v>2</v>
      </c>
      <c r="GL40" s="2">
        <v>2</v>
      </c>
      <c r="GM40" s="2">
        <v>2</v>
      </c>
      <c r="GN40" s="3">
        <v>4</v>
      </c>
      <c r="GO40" s="3">
        <v>4</v>
      </c>
      <c r="GP40" s="3">
        <v>1</v>
      </c>
      <c r="GQ40" s="3">
        <v>4</v>
      </c>
      <c r="GR40" s="3">
        <v>1</v>
      </c>
      <c r="GS40" s="3">
        <v>4</v>
      </c>
      <c r="GT40" s="3">
        <v>4</v>
      </c>
      <c r="GU40" s="3">
        <v>0</v>
      </c>
      <c r="GV40" s="3">
        <v>1</v>
      </c>
      <c r="GW40" s="3">
        <v>0</v>
      </c>
      <c r="GX40" s="3">
        <v>3</v>
      </c>
      <c r="GY40" s="3">
        <v>0</v>
      </c>
      <c r="GZ40" s="3">
        <v>1</v>
      </c>
      <c r="HA40" s="3">
        <v>1</v>
      </c>
      <c r="HB40" s="3">
        <v>4</v>
      </c>
      <c r="HC40" s="3">
        <v>0</v>
      </c>
      <c r="HD40" s="3">
        <v>0</v>
      </c>
      <c r="HE40" s="3">
        <v>0</v>
      </c>
      <c r="HF40" s="3">
        <v>0</v>
      </c>
      <c r="HG40" s="3">
        <v>0</v>
      </c>
      <c r="HH40" s="3">
        <v>4</v>
      </c>
      <c r="HI40" s="3">
        <v>0</v>
      </c>
      <c r="HJ40" s="3">
        <v>0</v>
      </c>
      <c r="HK40" s="3">
        <v>2</v>
      </c>
      <c r="HL40" s="3">
        <v>0</v>
      </c>
      <c r="HM40" s="3">
        <v>0</v>
      </c>
      <c r="HN40" s="3">
        <v>0</v>
      </c>
      <c r="HO40" s="3">
        <v>4</v>
      </c>
      <c r="HP40" s="3">
        <v>0</v>
      </c>
      <c r="HQ40" s="3">
        <v>2</v>
      </c>
      <c r="HR40" s="3">
        <v>4</v>
      </c>
      <c r="HS40" s="3">
        <v>4</v>
      </c>
      <c r="HT40" s="3">
        <v>4</v>
      </c>
      <c r="HU40" s="3">
        <v>4</v>
      </c>
      <c r="HV40" s="3">
        <v>2</v>
      </c>
      <c r="HW40" s="3">
        <v>0</v>
      </c>
      <c r="HX40" s="3">
        <v>4</v>
      </c>
      <c r="HY40" s="3">
        <v>4</v>
      </c>
      <c r="HZ40" s="3">
        <v>2</v>
      </c>
      <c r="IA40" s="3">
        <v>4</v>
      </c>
      <c r="IB40" s="3">
        <v>4</v>
      </c>
      <c r="IC40" s="3">
        <v>3</v>
      </c>
      <c r="ID40" s="3">
        <v>3</v>
      </c>
      <c r="IE40" s="3">
        <v>0</v>
      </c>
      <c r="IF40" s="3">
        <v>4</v>
      </c>
      <c r="IG40" s="3">
        <v>0</v>
      </c>
      <c r="IH40" s="3">
        <v>0</v>
      </c>
      <c r="II40" s="3">
        <v>0</v>
      </c>
      <c r="IJ40" s="3">
        <v>2</v>
      </c>
      <c r="IK40" s="3">
        <v>0</v>
      </c>
      <c r="IL40" s="3">
        <v>2</v>
      </c>
      <c r="IM40" s="3">
        <v>4</v>
      </c>
      <c r="IN40" s="3">
        <v>0</v>
      </c>
      <c r="IO40" s="3">
        <v>4</v>
      </c>
      <c r="IP40" s="3">
        <v>4</v>
      </c>
      <c r="IQ40" s="3">
        <v>2</v>
      </c>
      <c r="IR40" s="3" t="s">
        <v>470</v>
      </c>
      <c r="IS40" s="3">
        <v>3</v>
      </c>
      <c r="IT40" s="3">
        <v>3</v>
      </c>
      <c r="IU40" s="3">
        <v>2</v>
      </c>
      <c r="IV40" s="3">
        <v>2</v>
      </c>
      <c r="IW40" s="3">
        <v>4</v>
      </c>
      <c r="IX40" s="3">
        <v>2</v>
      </c>
      <c r="IY40" s="3">
        <v>3</v>
      </c>
      <c r="IZ40" s="2" t="s">
        <v>268</v>
      </c>
      <c r="JA40" s="2"/>
    </row>
    <row r="41" spans="1:261" ht="13.2" x14ac:dyDescent="0.25">
      <c r="A41" s="10" t="s">
        <v>274</v>
      </c>
      <c r="B41" s="2" t="s">
        <v>471</v>
      </c>
      <c r="C41" s="2" t="s">
        <v>276</v>
      </c>
      <c r="D41" s="2" t="s">
        <v>373</v>
      </c>
      <c r="E41" s="2">
        <v>37</v>
      </c>
      <c r="F41" s="11" t="s">
        <v>472</v>
      </c>
      <c r="G41" s="11" t="s">
        <v>473</v>
      </c>
      <c r="H41" s="2" t="s">
        <v>474</v>
      </c>
      <c r="I41" s="3">
        <v>3</v>
      </c>
      <c r="J41" s="3">
        <v>2</v>
      </c>
      <c r="K41" s="3">
        <v>3</v>
      </c>
      <c r="L41" s="3">
        <v>3</v>
      </c>
      <c r="M41" s="3">
        <v>3</v>
      </c>
      <c r="N41" s="3">
        <v>4</v>
      </c>
      <c r="O41" s="3">
        <v>2</v>
      </c>
      <c r="P41" s="3">
        <v>2</v>
      </c>
      <c r="Q41" s="3">
        <v>2</v>
      </c>
      <c r="R41" s="3">
        <v>1</v>
      </c>
      <c r="S41" s="3">
        <v>1</v>
      </c>
      <c r="T41" s="3">
        <v>1</v>
      </c>
      <c r="U41" s="3">
        <v>0</v>
      </c>
      <c r="V41" s="3">
        <v>3</v>
      </c>
      <c r="W41" s="3">
        <v>3</v>
      </c>
      <c r="X41" s="3">
        <v>2</v>
      </c>
      <c r="Y41" s="3">
        <v>3</v>
      </c>
      <c r="Z41" s="3">
        <v>2</v>
      </c>
      <c r="AA41" s="3">
        <v>4</v>
      </c>
      <c r="AB41" s="3">
        <v>4</v>
      </c>
      <c r="AC41" s="3">
        <v>4</v>
      </c>
      <c r="AD41" s="3">
        <v>3</v>
      </c>
      <c r="AE41" s="3">
        <v>3</v>
      </c>
      <c r="AF41" s="3">
        <v>0</v>
      </c>
      <c r="AG41" s="3">
        <v>2</v>
      </c>
      <c r="AH41" s="3">
        <v>0</v>
      </c>
      <c r="AI41" s="3">
        <v>4</v>
      </c>
      <c r="AJ41" s="3">
        <v>3</v>
      </c>
      <c r="AK41" s="3">
        <v>3</v>
      </c>
      <c r="AL41" s="3">
        <v>2</v>
      </c>
      <c r="AM41" s="3">
        <v>1</v>
      </c>
      <c r="AN41" s="3">
        <v>0</v>
      </c>
      <c r="AO41" s="3">
        <v>3</v>
      </c>
      <c r="AP41" s="3">
        <v>1</v>
      </c>
      <c r="AQ41" s="3">
        <v>0</v>
      </c>
      <c r="AR41" s="3">
        <v>0</v>
      </c>
      <c r="AS41" s="3">
        <v>0</v>
      </c>
      <c r="AT41" s="3">
        <v>0</v>
      </c>
      <c r="AU41" s="3">
        <v>2</v>
      </c>
      <c r="AV41" s="3">
        <v>3</v>
      </c>
      <c r="AW41" s="3">
        <v>4</v>
      </c>
      <c r="AX41" s="3">
        <v>1</v>
      </c>
      <c r="AY41" s="3">
        <v>3</v>
      </c>
      <c r="AZ41" s="3">
        <v>4</v>
      </c>
      <c r="BA41" s="3">
        <v>1</v>
      </c>
      <c r="BB41" s="3">
        <v>3</v>
      </c>
      <c r="BC41" s="3">
        <v>1</v>
      </c>
      <c r="BD41" s="3">
        <v>3</v>
      </c>
      <c r="BE41" s="3">
        <v>2</v>
      </c>
      <c r="BF41" s="3">
        <v>3</v>
      </c>
      <c r="BG41" s="3">
        <v>3</v>
      </c>
      <c r="BH41" s="3">
        <v>3</v>
      </c>
      <c r="BI41" s="3">
        <v>2</v>
      </c>
      <c r="BJ41" s="3">
        <v>2</v>
      </c>
      <c r="BK41" s="3">
        <v>1</v>
      </c>
      <c r="BL41" s="3">
        <v>0</v>
      </c>
      <c r="BM41" s="3" t="s">
        <v>475</v>
      </c>
      <c r="BN41" s="3">
        <v>3</v>
      </c>
      <c r="BO41" s="3">
        <v>2</v>
      </c>
      <c r="BP41" s="3">
        <v>2</v>
      </c>
      <c r="BQ41" s="3">
        <v>3</v>
      </c>
      <c r="BR41" s="3">
        <v>3</v>
      </c>
      <c r="BS41" s="3">
        <v>3</v>
      </c>
      <c r="BT41" s="3">
        <v>2</v>
      </c>
      <c r="BU41" s="2">
        <v>1</v>
      </c>
      <c r="BV41" s="2">
        <v>2</v>
      </c>
      <c r="BW41" s="2">
        <v>3</v>
      </c>
      <c r="BX41" s="2">
        <v>0</v>
      </c>
      <c r="BY41" s="2">
        <v>2</v>
      </c>
      <c r="BZ41" s="2">
        <v>0</v>
      </c>
      <c r="CA41" s="2">
        <v>0</v>
      </c>
      <c r="CB41" s="2">
        <v>4</v>
      </c>
      <c r="CC41" s="2">
        <v>0</v>
      </c>
      <c r="CD41" s="2">
        <v>0</v>
      </c>
      <c r="CE41" s="2">
        <v>0</v>
      </c>
      <c r="CF41" s="2">
        <v>0</v>
      </c>
      <c r="CG41" s="2">
        <v>0</v>
      </c>
      <c r="CH41" s="2">
        <v>0</v>
      </c>
      <c r="CI41" s="2">
        <v>4</v>
      </c>
      <c r="CJ41" s="2">
        <v>0</v>
      </c>
      <c r="CK41" s="2">
        <v>0</v>
      </c>
      <c r="CL41" s="2">
        <v>3</v>
      </c>
      <c r="CM41" s="2">
        <v>2</v>
      </c>
      <c r="CN41" s="2">
        <v>0</v>
      </c>
      <c r="CO41" s="2">
        <v>1</v>
      </c>
      <c r="CP41" s="2">
        <v>0</v>
      </c>
      <c r="CQ41" s="2">
        <v>3</v>
      </c>
      <c r="CR41" s="2">
        <v>2</v>
      </c>
      <c r="CS41" s="2">
        <v>1</v>
      </c>
      <c r="CT41" s="2">
        <v>0</v>
      </c>
      <c r="CU41" s="2">
        <v>0</v>
      </c>
      <c r="CV41" s="2">
        <v>2</v>
      </c>
      <c r="CW41" s="2">
        <v>0</v>
      </c>
      <c r="CX41" s="2">
        <v>0</v>
      </c>
      <c r="CY41" s="2">
        <v>0</v>
      </c>
      <c r="CZ41" s="2">
        <v>0</v>
      </c>
      <c r="DA41" s="2">
        <v>0</v>
      </c>
      <c r="DB41" s="2">
        <v>0</v>
      </c>
      <c r="DC41" s="2">
        <v>0</v>
      </c>
      <c r="DD41" s="2">
        <v>0</v>
      </c>
      <c r="DE41" s="2">
        <v>4</v>
      </c>
      <c r="DF41" s="2">
        <v>2</v>
      </c>
      <c r="DG41" s="2">
        <v>3</v>
      </c>
      <c r="DH41" s="2">
        <v>3</v>
      </c>
      <c r="DI41" s="2">
        <v>1</v>
      </c>
      <c r="DJ41" s="2">
        <v>2</v>
      </c>
      <c r="DK41" s="2">
        <v>0</v>
      </c>
      <c r="DL41" s="2">
        <v>1</v>
      </c>
      <c r="DM41" s="2">
        <v>0</v>
      </c>
      <c r="DN41" s="2">
        <v>1</v>
      </c>
      <c r="DO41" s="2">
        <v>0</v>
      </c>
      <c r="DP41" s="2">
        <v>4</v>
      </c>
      <c r="DQ41" s="2">
        <v>2</v>
      </c>
      <c r="DR41" s="2">
        <v>0</v>
      </c>
      <c r="DS41" s="2">
        <v>2</v>
      </c>
      <c r="DT41" s="2">
        <v>0</v>
      </c>
      <c r="DU41" s="2">
        <v>1</v>
      </c>
      <c r="DV41" s="2">
        <v>0</v>
      </c>
      <c r="DW41" s="2">
        <v>0</v>
      </c>
      <c r="DX41" s="2">
        <v>3</v>
      </c>
      <c r="DY41" s="2">
        <v>2</v>
      </c>
      <c r="DZ41" s="2">
        <v>0</v>
      </c>
      <c r="EA41" s="2">
        <v>0</v>
      </c>
      <c r="EB41" s="2">
        <v>0</v>
      </c>
      <c r="EC41" s="2">
        <v>0</v>
      </c>
      <c r="ED41" s="2">
        <v>0</v>
      </c>
      <c r="EE41" s="2">
        <v>0</v>
      </c>
      <c r="EF41" s="2">
        <v>0</v>
      </c>
      <c r="EG41" s="2">
        <v>0</v>
      </c>
      <c r="EH41" s="2">
        <v>0</v>
      </c>
      <c r="EI41" s="2">
        <v>0</v>
      </c>
      <c r="EJ41" s="2">
        <v>2</v>
      </c>
      <c r="EK41" s="2">
        <v>3</v>
      </c>
      <c r="EL41" s="2">
        <v>0</v>
      </c>
      <c r="EM41" s="2">
        <v>0</v>
      </c>
      <c r="EN41" s="2">
        <v>0</v>
      </c>
      <c r="EO41" s="2">
        <v>0</v>
      </c>
      <c r="EP41" s="2">
        <v>3</v>
      </c>
      <c r="EQ41" s="2">
        <v>0</v>
      </c>
      <c r="ER41" s="2">
        <v>0</v>
      </c>
      <c r="ES41" s="2">
        <v>0</v>
      </c>
      <c r="ET41" s="2">
        <v>0</v>
      </c>
      <c r="EU41" s="2">
        <v>0</v>
      </c>
      <c r="EV41" s="2">
        <v>0</v>
      </c>
      <c r="EW41" s="2">
        <v>3</v>
      </c>
      <c r="EX41" s="2">
        <v>4</v>
      </c>
      <c r="EY41" s="2">
        <v>0</v>
      </c>
      <c r="EZ41" s="2">
        <v>0</v>
      </c>
      <c r="FA41" s="2">
        <v>0</v>
      </c>
      <c r="FB41" s="2">
        <v>0</v>
      </c>
      <c r="FC41" s="2">
        <v>0</v>
      </c>
      <c r="FD41" s="2">
        <v>0</v>
      </c>
      <c r="FE41" s="2">
        <v>0</v>
      </c>
      <c r="FF41" s="2">
        <v>3</v>
      </c>
      <c r="FG41" s="2">
        <v>0</v>
      </c>
      <c r="FH41" s="2">
        <v>0</v>
      </c>
      <c r="FI41" s="2">
        <v>0</v>
      </c>
      <c r="FJ41" s="2">
        <v>0</v>
      </c>
      <c r="FK41" s="2">
        <v>2</v>
      </c>
      <c r="FL41" s="2">
        <v>3</v>
      </c>
      <c r="FM41" s="2">
        <v>0</v>
      </c>
      <c r="FN41" s="2">
        <v>3</v>
      </c>
      <c r="FO41" s="2">
        <v>0</v>
      </c>
      <c r="FP41" s="2">
        <v>0</v>
      </c>
      <c r="FQ41" s="2">
        <v>3</v>
      </c>
      <c r="FR41" s="2">
        <v>0</v>
      </c>
      <c r="FS41" s="2">
        <v>0</v>
      </c>
      <c r="FT41" s="2">
        <v>0</v>
      </c>
      <c r="FU41" s="2">
        <v>4</v>
      </c>
      <c r="FV41" s="2">
        <v>0</v>
      </c>
      <c r="FW41" s="2">
        <v>0</v>
      </c>
      <c r="FX41" s="2">
        <v>0</v>
      </c>
      <c r="FY41" s="2">
        <v>0</v>
      </c>
      <c r="FZ41" s="2">
        <v>0</v>
      </c>
      <c r="GA41" s="2">
        <v>0</v>
      </c>
      <c r="GB41" s="2">
        <v>1</v>
      </c>
      <c r="GC41" s="2" t="s">
        <v>476</v>
      </c>
      <c r="GD41" s="2">
        <v>4</v>
      </c>
      <c r="GE41" s="2">
        <v>0</v>
      </c>
      <c r="GF41" s="2">
        <v>0</v>
      </c>
      <c r="GG41" s="2">
        <v>3</v>
      </c>
      <c r="GH41" s="2">
        <v>4</v>
      </c>
      <c r="GI41" s="2">
        <v>0</v>
      </c>
      <c r="GJ41" s="2">
        <v>0</v>
      </c>
      <c r="GK41" s="2">
        <v>1</v>
      </c>
      <c r="GL41" s="2">
        <v>0</v>
      </c>
      <c r="GM41" s="2">
        <v>0</v>
      </c>
      <c r="GN41" s="3">
        <v>4</v>
      </c>
      <c r="GO41" s="3">
        <v>1</v>
      </c>
      <c r="GP41" s="3">
        <v>1</v>
      </c>
      <c r="GQ41" s="3">
        <v>3</v>
      </c>
      <c r="GR41" s="3">
        <v>1</v>
      </c>
      <c r="GS41" s="3">
        <v>1</v>
      </c>
      <c r="GT41" s="3">
        <v>3</v>
      </c>
      <c r="GU41" s="3">
        <v>2</v>
      </c>
      <c r="GV41" s="3">
        <v>1</v>
      </c>
      <c r="GW41" s="3">
        <v>0</v>
      </c>
      <c r="GX41" s="3">
        <v>0</v>
      </c>
      <c r="GY41" s="3">
        <v>2</v>
      </c>
      <c r="GZ41" s="3">
        <v>1</v>
      </c>
      <c r="HA41" s="3">
        <v>0</v>
      </c>
      <c r="HB41" s="3">
        <v>1</v>
      </c>
      <c r="HC41" s="3">
        <v>0</v>
      </c>
      <c r="HD41" s="3">
        <v>0</v>
      </c>
      <c r="HE41" s="3">
        <v>0</v>
      </c>
      <c r="HF41" s="3">
        <v>0</v>
      </c>
      <c r="HG41" s="3">
        <v>0</v>
      </c>
      <c r="HH41" s="3">
        <v>4</v>
      </c>
      <c r="HI41" s="3">
        <v>1</v>
      </c>
      <c r="HJ41" s="3">
        <v>0</v>
      </c>
      <c r="HK41" s="3">
        <v>4</v>
      </c>
      <c r="HL41" s="3">
        <v>0</v>
      </c>
      <c r="HM41" s="3">
        <v>0</v>
      </c>
      <c r="HN41" s="3">
        <v>0</v>
      </c>
      <c r="HO41" s="3">
        <v>3</v>
      </c>
      <c r="HP41" s="3">
        <v>0</v>
      </c>
      <c r="HQ41" s="3">
        <v>0</v>
      </c>
      <c r="HR41" s="3">
        <v>0</v>
      </c>
      <c r="HS41" s="3">
        <v>0</v>
      </c>
      <c r="HT41" s="3">
        <v>0</v>
      </c>
      <c r="HU41" s="3">
        <v>0</v>
      </c>
      <c r="HV41" s="3">
        <v>2</v>
      </c>
      <c r="HW41" s="3">
        <v>1</v>
      </c>
      <c r="HX41" s="3">
        <v>0</v>
      </c>
      <c r="HY41" s="3">
        <v>0</v>
      </c>
      <c r="HZ41" s="3">
        <v>0</v>
      </c>
      <c r="IA41" s="3">
        <v>1</v>
      </c>
      <c r="IB41" s="3">
        <v>2</v>
      </c>
      <c r="IC41" s="3">
        <v>0</v>
      </c>
      <c r="ID41" s="3">
        <v>0</v>
      </c>
      <c r="IE41" s="3">
        <v>0</v>
      </c>
      <c r="IF41" s="3">
        <v>0</v>
      </c>
      <c r="IG41" s="3">
        <v>0</v>
      </c>
      <c r="IH41" s="3">
        <v>0</v>
      </c>
      <c r="II41" s="3">
        <v>0</v>
      </c>
      <c r="IJ41" s="3">
        <v>1</v>
      </c>
      <c r="IK41" s="3">
        <v>0</v>
      </c>
      <c r="IL41" s="3">
        <v>0</v>
      </c>
      <c r="IM41" s="3">
        <v>0</v>
      </c>
      <c r="IN41" s="3">
        <v>0</v>
      </c>
      <c r="IO41" s="3">
        <v>0</v>
      </c>
      <c r="IP41" s="3">
        <v>0</v>
      </c>
      <c r="IQ41" s="3">
        <v>0</v>
      </c>
      <c r="IR41" s="3" t="s">
        <v>477</v>
      </c>
      <c r="IS41" s="3">
        <v>2</v>
      </c>
      <c r="IT41" s="3">
        <v>3</v>
      </c>
      <c r="IU41" s="3">
        <v>2</v>
      </c>
      <c r="IV41" s="3">
        <v>2</v>
      </c>
      <c r="IW41" s="3">
        <v>0</v>
      </c>
      <c r="IX41" s="3">
        <v>0</v>
      </c>
      <c r="IY41" s="3">
        <v>0</v>
      </c>
      <c r="IZ41" s="2" t="s">
        <v>268</v>
      </c>
      <c r="JA41" s="2"/>
    </row>
    <row r="42" spans="1:261" ht="13.2" x14ac:dyDescent="0.25">
      <c r="A42" s="10" t="s">
        <v>274</v>
      </c>
      <c r="B42" s="2" t="s">
        <v>478</v>
      </c>
      <c r="C42" s="2" t="s">
        <v>276</v>
      </c>
      <c r="D42" s="2" t="s">
        <v>325</v>
      </c>
      <c r="E42" s="2">
        <v>30</v>
      </c>
      <c r="F42" s="11" t="s">
        <v>479</v>
      </c>
      <c r="G42" s="11" t="s">
        <v>473</v>
      </c>
      <c r="H42" s="2" t="s">
        <v>480</v>
      </c>
      <c r="I42" s="3">
        <v>3</v>
      </c>
      <c r="J42" s="3">
        <v>3</v>
      </c>
      <c r="K42" s="3">
        <v>3</v>
      </c>
      <c r="L42" s="3">
        <v>3</v>
      </c>
      <c r="M42" s="3">
        <v>3</v>
      </c>
      <c r="N42" s="3">
        <v>3</v>
      </c>
      <c r="O42" s="3">
        <v>2</v>
      </c>
      <c r="P42" s="3">
        <v>2</v>
      </c>
      <c r="Q42" s="3">
        <v>3</v>
      </c>
      <c r="R42" s="3">
        <v>2</v>
      </c>
      <c r="S42" s="3">
        <v>2</v>
      </c>
      <c r="T42" s="3">
        <v>1</v>
      </c>
      <c r="U42" s="3">
        <v>2</v>
      </c>
      <c r="V42" s="3">
        <v>0</v>
      </c>
      <c r="W42" s="3">
        <v>3</v>
      </c>
      <c r="X42" s="3">
        <v>3</v>
      </c>
      <c r="Y42" s="3">
        <v>3</v>
      </c>
      <c r="Z42" s="3">
        <v>3</v>
      </c>
      <c r="AA42" s="3">
        <v>2</v>
      </c>
      <c r="AB42" s="3">
        <v>2</v>
      </c>
      <c r="AC42" s="3">
        <v>3</v>
      </c>
      <c r="AD42" s="3">
        <v>2</v>
      </c>
      <c r="AE42" s="3">
        <v>4</v>
      </c>
      <c r="AF42" s="3">
        <v>0</v>
      </c>
      <c r="AG42" s="3">
        <v>0</v>
      </c>
      <c r="AH42" s="3">
        <v>0</v>
      </c>
      <c r="AI42" s="3">
        <v>0</v>
      </c>
      <c r="AJ42" s="3">
        <v>4</v>
      </c>
      <c r="AK42" s="3">
        <v>4</v>
      </c>
      <c r="AL42" s="3">
        <v>4</v>
      </c>
      <c r="AM42" s="3">
        <v>2</v>
      </c>
      <c r="AN42" s="3">
        <v>0</v>
      </c>
      <c r="AO42" s="3">
        <v>3</v>
      </c>
      <c r="AP42" s="3">
        <v>3</v>
      </c>
      <c r="AQ42" s="3">
        <v>0</v>
      </c>
      <c r="AR42" s="3">
        <v>4</v>
      </c>
      <c r="AS42" s="3">
        <v>4</v>
      </c>
      <c r="AT42" s="3">
        <v>3</v>
      </c>
      <c r="AU42" s="3">
        <v>4</v>
      </c>
      <c r="AV42" s="3">
        <v>4</v>
      </c>
      <c r="AW42" s="3">
        <v>2</v>
      </c>
      <c r="AX42" s="3">
        <v>2</v>
      </c>
      <c r="AY42" s="3">
        <v>2</v>
      </c>
      <c r="AZ42" s="3">
        <v>2</v>
      </c>
      <c r="BA42" s="3">
        <v>2</v>
      </c>
      <c r="BB42" s="3">
        <v>3</v>
      </c>
      <c r="BC42" s="3">
        <v>2</v>
      </c>
      <c r="BD42" s="3">
        <v>3</v>
      </c>
      <c r="BE42" s="3">
        <v>3</v>
      </c>
      <c r="BF42" s="3">
        <v>3</v>
      </c>
      <c r="BG42" s="3">
        <v>3</v>
      </c>
      <c r="BH42" s="3">
        <v>3</v>
      </c>
      <c r="BI42" s="3">
        <v>3</v>
      </c>
      <c r="BJ42" s="3">
        <v>2</v>
      </c>
      <c r="BK42" s="3">
        <v>3</v>
      </c>
      <c r="BL42" s="3">
        <v>1</v>
      </c>
      <c r="BM42" s="3" t="s">
        <v>274</v>
      </c>
      <c r="BN42" s="3">
        <v>4</v>
      </c>
      <c r="BO42" s="3">
        <v>3</v>
      </c>
      <c r="BP42" s="3">
        <v>3</v>
      </c>
      <c r="BQ42" s="3">
        <v>3</v>
      </c>
      <c r="BR42" s="3">
        <v>3</v>
      </c>
      <c r="BS42" s="3">
        <v>3</v>
      </c>
      <c r="BT42" s="3">
        <v>3</v>
      </c>
      <c r="BU42" s="2">
        <v>3</v>
      </c>
      <c r="BV42" s="2">
        <v>3</v>
      </c>
      <c r="BW42" s="2">
        <v>3</v>
      </c>
      <c r="BX42" s="2">
        <v>3</v>
      </c>
      <c r="BY42" s="2">
        <v>3</v>
      </c>
      <c r="BZ42" s="2">
        <v>0</v>
      </c>
      <c r="CA42" s="2">
        <v>3</v>
      </c>
      <c r="CB42" s="2">
        <v>2</v>
      </c>
      <c r="CC42" s="2">
        <v>3</v>
      </c>
      <c r="CD42" s="2">
        <v>1</v>
      </c>
      <c r="CE42" s="2">
        <v>1</v>
      </c>
      <c r="CF42" s="2">
        <v>1</v>
      </c>
      <c r="CG42" s="2">
        <v>1</v>
      </c>
      <c r="CH42" s="2">
        <v>0</v>
      </c>
      <c r="CI42" s="2">
        <v>2</v>
      </c>
      <c r="CJ42" s="2">
        <v>3</v>
      </c>
      <c r="CK42" s="2">
        <v>3</v>
      </c>
      <c r="CL42" s="2">
        <v>2</v>
      </c>
      <c r="CM42" s="2">
        <v>2</v>
      </c>
      <c r="CN42" s="2">
        <v>2</v>
      </c>
      <c r="CO42" s="2">
        <v>2</v>
      </c>
      <c r="CP42" s="2">
        <v>0</v>
      </c>
      <c r="CQ42" s="2">
        <v>2</v>
      </c>
      <c r="CR42" s="2">
        <v>0</v>
      </c>
      <c r="CS42" s="2">
        <v>0</v>
      </c>
      <c r="CT42" s="2">
        <v>0</v>
      </c>
      <c r="CU42" s="2">
        <v>0</v>
      </c>
      <c r="CV42" s="2">
        <v>0</v>
      </c>
      <c r="CW42" s="2">
        <v>1</v>
      </c>
      <c r="CX42" s="2">
        <v>0</v>
      </c>
      <c r="CY42" s="2">
        <v>0</v>
      </c>
      <c r="CZ42" s="2">
        <v>0</v>
      </c>
      <c r="DA42" s="2">
        <v>0</v>
      </c>
      <c r="DB42" s="2">
        <v>0</v>
      </c>
      <c r="DC42" s="2">
        <v>0</v>
      </c>
      <c r="DD42" s="2">
        <v>0</v>
      </c>
      <c r="DE42" s="2">
        <v>4</v>
      </c>
      <c r="DF42" s="2">
        <v>4</v>
      </c>
      <c r="DG42" s="2">
        <v>4</v>
      </c>
      <c r="DH42" s="2">
        <v>4</v>
      </c>
      <c r="DI42" s="2">
        <v>4</v>
      </c>
      <c r="DJ42" s="2">
        <v>4</v>
      </c>
      <c r="DK42" s="2">
        <v>0</v>
      </c>
      <c r="DL42" s="2">
        <v>3</v>
      </c>
      <c r="DM42" s="2">
        <v>3</v>
      </c>
      <c r="DN42" s="2">
        <v>3</v>
      </c>
      <c r="DO42" s="2">
        <v>0</v>
      </c>
      <c r="DP42" s="2">
        <v>3</v>
      </c>
      <c r="DQ42" s="2">
        <v>3</v>
      </c>
      <c r="DR42" s="2">
        <v>3</v>
      </c>
      <c r="DS42" s="2">
        <v>3</v>
      </c>
      <c r="DT42" s="2">
        <v>3</v>
      </c>
      <c r="DU42" s="2">
        <v>3</v>
      </c>
      <c r="DV42" s="2">
        <v>0</v>
      </c>
      <c r="DW42" s="2">
        <v>3</v>
      </c>
      <c r="DX42" s="2">
        <v>4</v>
      </c>
      <c r="DY42" s="2">
        <v>4</v>
      </c>
      <c r="DZ42" s="2">
        <v>4</v>
      </c>
      <c r="EA42" s="2">
        <v>4</v>
      </c>
      <c r="EB42" s="2">
        <v>4</v>
      </c>
      <c r="EC42" s="2">
        <v>0</v>
      </c>
      <c r="ED42" s="2">
        <v>0</v>
      </c>
      <c r="EE42" s="2">
        <v>0</v>
      </c>
      <c r="EF42" s="2">
        <v>0</v>
      </c>
      <c r="EG42" s="2">
        <v>0</v>
      </c>
      <c r="EH42" s="2">
        <v>0</v>
      </c>
      <c r="EI42" s="2">
        <v>4</v>
      </c>
      <c r="EJ42" s="2">
        <v>3</v>
      </c>
      <c r="EK42" s="2">
        <v>3</v>
      </c>
      <c r="EL42" s="2">
        <v>3</v>
      </c>
      <c r="EM42" s="2">
        <v>3</v>
      </c>
      <c r="EN42" s="2">
        <v>2</v>
      </c>
      <c r="EO42" s="2">
        <v>2</v>
      </c>
      <c r="EP42" s="2">
        <v>2</v>
      </c>
      <c r="EQ42" s="2">
        <v>0</v>
      </c>
      <c r="ER42" s="2">
        <v>0</v>
      </c>
      <c r="ES42" s="2">
        <v>0</v>
      </c>
      <c r="ET42" s="2">
        <v>0</v>
      </c>
      <c r="EU42" s="2">
        <v>4</v>
      </c>
      <c r="EV42" s="2">
        <v>4</v>
      </c>
      <c r="EW42" s="2">
        <v>4</v>
      </c>
      <c r="EX42" s="2">
        <v>4</v>
      </c>
      <c r="EY42" s="2">
        <v>4</v>
      </c>
      <c r="EZ42" s="2">
        <v>0</v>
      </c>
      <c r="FA42" s="2">
        <v>2</v>
      </c>
      <c r="FB42" s="2">
        <v>2</v>
      </c>
      <c r="FC42" s="2">
        <v>2</v>
      </c>
      <c r="FD42" s="2">
        <v>3</v>
      </c>
      <c r="FE42" s="2">
        <v>2</v>
      </c>
      <c r="FF42" s="2">
        <v>4</v>
      </c>
      <c r="FG42" s="2">
        <v>2</v>
      </c>
      <c r="FH42" s="2">
        <v>2</v>
      </c>
      <c r="FI42" s="2">
        <v>2</v>
      </c>
      <c r="FJ42" s="2">
        <v>2</v>
      </c>
      <c r="FK42" s="2">
        <v>2</v>
      </c>
      <c r="FL42" s="2">
        <v>2</v>
      </c>
      <c r="FM42" s="2">
        <v>2</v>
      </c>
      <c r="FN42" s="2">
        <v>3</v>
      </c>
      <c r="FO42" s="2">
        <v>0</v>
      </c>
      <c r="FP42" s="2">
        <v>2</v>
      </c>
      <c r="FQ42" s="2">
        <v>3</v>
      </c>
      <c r="FR42" s="2">
        <v>3</v>
      </c>
      <c r="FS42" s="2">
        <v>3</v>
      </c>
      <c r="FT42" s="2">
        <v>2</v>
      </c>
      <c r="FU42" s="2">
        <v>2</v>
      </c>
      <c r="FV42" s="2">
        <v>1</v>
      </c>
      <c r="FW42" s="2">
        <v>1</v>
      </c>
      <c r="FX42" s="2">
        <v>1</v>
      </c>
      <c r="FY42" s="2">
        <v>1</v>
      </c>
      <c r="FZ42" s="2">
        <v>1</v>
      </c>
      <c r="GA42" s="2">
        <v>0</v>
      </c>
      <c r="GB42" s="2">
        <v>1</v>
      </c>
      <c r="GC42" s="2" t="s">
        <v>274</v>
      </c>
      <c r="GD42" s="2">
        <v>2</v>
      </c>
      <c r="GE42" s="2">
        <v>2</v>
      </c>
      <c r="GF42" s="2">
        <v>2</v>
      </c>
      <c r="GG42" s="2">
        <v>2</v>
      </c>
      <c r="GH42" s="2">
        <v>2</v>
      </c>
      <c r="GI42" s="2">
        <v>2</v>
      </c>
      <c r="GJ42" s="2">
        <v>2</v>
      </c>
      <c r="GK42" s="2">
        <v>2</v>
      </c>
      <c r="GL42" s="2">
        <v>0</v>
      </c>
      <c r="GM42" s="2">
        <v>2</v>
      </c>
      <c r="GN42" s="3">
        <v>3</v>
      </c>
      <c r="GO42" s="3">
        <v>3</v>
      </c>
      <c r="GP42" s="3">
        <v>1</v>
      </c>
      <c r="GQ42" s="3">
        <v>3</v>
      </c>
      <c r="GR42" s="3">
        <v>1</v>
      </c>
      <c r="GS42" s="3">
        <v>0</v>
      </c>
      <c r="GT42" s="3">
        <v>3</v>
      </c>
      <c r="GU42" s="3">
        <v>1</v>
      </c>
      <c r="GV42" s="3">
        <v>1</v>
      </c>
      <c r="GW42" s="3">
        <v>0</v>
      </c>
      <c r="GX42" s="3">
        <v>0</v>
      </c>
      <c r="GY42" s="3">
        <v>0</v>
      </c>
      <c r="GZ42" s="3">
        <v>1</v>
      </c>
      <c r="HA42" s="3">
        <v>1</v>
      </c>
      <c r="HB42" s="3">
        <v>0</v>
      </c>
      <c r="HC42" s="3">
        <v>0</v>
      </c>
      <c r="HD42" s="3">
        <v>0</v>
      </c>
      <c r="HE42" s="3">
        <v>0</v>
      </c>
      <c r="HF42" s="3">
        <v>1</v>
      </c>
      <c r="HG42" s="3">
        <v>0</v>
      </c>
      <c r="HH42" s="3">
        <v>1</v>
      </c>
      <c r="HI42" s="3">
        <v>0</v>
      </c>
      <c r="HJ42" s="3">
        <v>1</v>
      </c>
      <c r="HK42" s="3">
        <v>1</v>
      </c>
      <c r="HL42" s="3">
        <v>2</v>
      </c>
      <c r="HM42" s="3">
        <v>1</v>
      </c>
      <c r="HN42" s="3">
        <v>0</v>
      </c>
      <c r="HO42" s="3">
        <v>4</v>
      </c>
      <c r="HP42" s="3">
        <v>0</v>
      </c>
      <c r="HQ42" s="3">
        <v>3</v>
      </c>
      <c r="HR42" s="3">
        <v>3</v>
      </c>
      <c r="HS42" s="3">
        <v>0</v>
      </c>
      <c r="HT42" s="3">
        <v>0</v>
      </c>
      <c r="HU42" s="3">
        <v>0</v>
      </c>
      <c r="HV42" s="3">
        <v>4</v>
      </c>
      <c r="HW42" s="3">
        <v>0</v>
      </c>
      <c r="HX42" s="3">
        <v>1</v>
      </c>
      <c r="HY42" s="3">
        <v>1</v>
      </c>
      <c r="HZ42" s="3">
        <v>1</v>
      </c>
      <c r="IA42" s="3">
        <v>4</v>
      </c>
      <c r="IB42" s="3">
        <v>0</v>
      </c>
      <c r="IC42" s="3">
        <v>1</v>
      </c>
      <c r="ID42" s="3">
        <v>1</v>
      </c>
      <c r="IE42" s="3">
        <v>0</v>
      </c>
      <c r="IF42" s="3">
        <v>1</v>
      </c>
      <c r="IG42" s="3">
        <v>0</v>
      </c>
      <c r="IH42" s="3">
        <v>0</v>
      </c>
      <c r="II42" s="3">
        <v>0</v>
      </c>
      <c r="IJ42" s="3">
        <v>2</v>
      </c>
      <c r="IK42" s="3">
        <v>1</v>
      </c>
      <c r="IL42" s="3">
        <v>2</v>
      </c>
      <c r="IM42" s="3">
        <v>0</v>
      </c>
      <c r="IN42" s="3">
        <v>0</v>
      </c>
      <c r="IO42" s="3">
        <v>2</v>
      </c>
      <c r="IP42" s="3">
        <v>1</v>
      </c>
      <c r="IQ42" s="3">
        <v>1</v>
      </c>
      <c r="IR42" s="3" t="s">
        <v>274</v>
      </c>
      <c r="IS42" s="3">
        <v>3</v>
      </c>
      <c r="IT42" s="3">
        <v>3</v>
      </c>
      <c r="IU42" s="3">
        <v>0</v>
      </c>
      <c r="IV42" s="3">
        <v>0</v>
      </c>
      <c r="IW42" s="3">
        <v>1</v>
      </c>
      <c r="IX42" s="3">
        <v>1</v>
      </c>
      <c r="IY42" s="3">
        <v>0</v>
      </c>
      <c r="IZ42" s="2" t="s">
        <v>268</v>
      </c>
      <c r="JA42" s="2"/>
    </row>
    <row r="43" spans="1:261" ht="13.2" x14ac:dyDescent="0.25">
      <c r="A43" s="10" t="s">
        <v>274</v>
      </c>
      <c r="B43" s="2" t="s">
        <v>481</v>
      </c>
      <c r="C43" s="2" t="s">
        <v>276</v>
      </c>
      <c r="D43" s="2" t="s">
        <v>270</v>
      </c>
      <c r="E43" s="2">
        <v>20</v>
      </c>
      <c r="F43" s="11" t="s">
        <v>482</v>
      </c>
      <c r="G43" s="11" t="s">
        <v>483</v>
      </c>
      <c r="H43" s="2" t="s">
        <v>484</v>
      </c>
      <c r="I43" s="3">
        <v>2</v>
      </c>
      <c r="J43" s="3">
        <v>2</v>
      </c>
      <c r="K43" s="3">
        <v>4</v>
      </c>
      <c r="L43" s="3">
        <v>3</v>
      </c>
      <c r="M43" s="3">
        <v>3</v>
      </c>
      <c r="N43" s="3">
        <v>3</v>
      </c>
      <c r="O43" s="3">
        <v>3</v>
      </c>
      <c r="P43" s="3">
        <v>1</v>
      </c>
      <c r="Q43" s="3">
        <v>2</v>
      </c>
      <c r="R43" s="3">
        <v>1</v>
      </c>
      <c r="S43" s="3">
        <v>0</v>
      </c>
      <c r="T43" s="3">
        <v>2</v>
      </c>
      <c r="U43" s="3">
        <v>0</v>
      </c>
      <c r="V43" s="3">
        <v>1</v>
      </c>
      <c r="W43" s="3">
        <v>0</v>
      </c>
      <c r="X43" s="3">
        <v>1</v>
      </c>
      <c r="Y43" s="3">
        <v>1</v>
      </c>
      <c r="Z43" s="3">
        <v>1</v>
      </c>
      <c r="AA43" s="3">
        <v>2</v>
      </c>
      <c r="AB43" s="3">
        <v>2</v>
      </c>
      <c r="AC43" s="3">
        <v>2</v>
      </c>
      <c r="AD43" s="3">
        <v>1</v>
      </c>
      <c r="AE43" s="3">
        <v>1</v>
      </c>
      <c r="AF43" s="3">
        <v>1</v>
      </c>
      <c r="AG43" s="3">
        <v>1</v>
      </c>
      <c r="AH43" s="3">
        <v>1</v>
      </c>
      <c r="AI43" s="3">
        <v>1</v>
      </c>
      <c r="AJ43" s="3">
        <v>2</v>
      </c>
      <c r="AK43" s="3">
        <v>2</v>
      </c>
      <c r="AL43" s="3">
        <v>2</v>
      </c>
      <c r="AM43" s="3">
        <v>1</v>
      </c>
      <c r="AN43" s="3">
        <v>1</v>
      </c>
      <c r="AO43" s="3">
        <v>2</v>
      </c>
      <c r="AP43" s="3">
        <v>1</v>
      </c>
      <c r="AQ43" s="3">
        <v>1</v>
      </c>
      <c r="AR43" s="3">
        <v>1</v>
      </c>
      <c r="AS43" s="3">
        <v>1</v>
      </c>
      <c r="AT43" s="3">
        <v>1</v>
      </c>
      <c r="AU43" s="3">
        <v>1</v>
      </c>
      <c r="AV43" s="3">
        <v>1</v>
      </c>
      <c r="AW43" s="3">
        <v>2</v>
      </c>
      <c r="AX43" s="3">
        <v>2</v>
      </c>
      <c r="AY43" s="3">
        <v>2</v>
      </c>
      <c r="AZ43" s="3">
        <v>3</v>
      </c>
      <c r="BA43" s="3">
        <v>2</v>
      </c>
      <c r="BB43" s="3">
        <v>4</v>
      </c>
      <c r="BC43" s="3">
        <v>1</v>
      </c>
      <c r="BD43" s="3">
        <v>2</v>
      </c>
      <c r="BE43" s="3">
        <v>2</v>
      </c>
      <c r="BF43" s="3">
        <v>1</v>
      </c>
      <c r="BG43" s="3">
        <v>1</v>
      </c>
      <c r="BH43" s="3">
        <v>1</v>
      </c>
      <c r="BI43" s="3">
        <v>2</v>
      </c>
      <c r="BJ43" s="3">
        <v>1</v>
      </c>
      <c r="BK43" s="3">
        <v>1</v>
      </c>
      <c r="BL43" s="3">
        <v>1</v>
      </c>
      <c r="BM43" s="3" t="s">
        <v>485</v>
      </c>
      <c r="BN43" s="3">
        <v>2</v>
      </c>
      <c r="BO43" s="3">
        <v>1</v>
      </c>
      <c r="BP43" s="3">
        <v>1</v>
      </c>
      <c r="BQ43" s="3">
        <v>2</v>
      </c>
      <c r="BR43" s="3">
        <v>2</v>
      </c>
      <c r="BS43" s="3">
        <v>2</v>
      </c>
      <c r="BT43" s="3">
        <v>1</v>
      </c>
      <c r="BU43" s="2">
        <v>2</v>
      </c>
      <c r="BV43" s="2">
        <v>2</v>
      </c>
      <c r="BW43" s="2">
        <v>3</v>
      </c>
      <c r="BX43" s="2">
        <v>2</v>
      </c>
      <c r="BY43" s="2">
        <v>3</v>
      </c>
      <c r="BZ43" s="2">
        <v>3</v>
      </c>
      <c r="CA43" s="2">
        <v>1</v>
      </c>
      <c r="CB43" s="2">
        <v>3</v>
      </c>
      <c r="CC43" s="2">
        <v>3</v>
      </c>
      <c r="CD43" s="2">
        <v>3</v>
      </c>
      <c r="CE43" s="2">
        <v>3</v>
      </c>
      <c r="CF43" s="2">
        <v>3</v>
      </c>
      <c r="CG43" s="2">
        <v>3</v>
      </c>
      <c r="CH43" s="2">
        <v>3</v>
      </c>
      <c r="CI43" s="2">
        <v>3</v>
      </c>
      <c r="CJ43" s="2">
        <v>3</v>
      </c>
      <c r="CK43" s="2">
        <v>3</v>
      </c>
      <c r="CL43" s="2">
        <v>3</v>
      </c>
      <c r="CM43" s="2">
        <v>3</v>
      </c>
      <c r="CN43" s="2">
        <v>3</v>
      </c>
      <c r="CO43" s="2">
        <v>3</v>
      </c>
      <c r="CP43" s="2">
        <v>3</v>
      </c>
      <c r="CQ43" s="2">
        <v>3</v>
      </c>
      <c r="CR43" s="2">
        <v>2</v>
      </c>
      <c r="CS43" s="2">
        <v>3</v>
      </c>
      <c r="CT43" s="2">
        <v>2</v>
      </c>
      <c r="CU43" s="2">
        <v>2</v>
      </c>
      <c r="CV43" s="2">
        <v>1</v>
      </c>
      <c r="CW43" s="2">
        <v>1</v>
      </c>
      <c r="CX43" s="2">
        <v>1</v>
      </c>
      <c r="CY43" s="2">
        <v>1</v>
      </c>
      <c r="CZ43" s="2">
        <v>2</v>
      </c>
      <c r="DA43" s="2">
        <v>2</v>
      </c>
      <c r="DB43" s="2">
        <v>2</v>
      </c>
      <c r="DC43" s="2">
        <v>2</v>
      </c>
      <c r="DD43" s="2">
        <v>2</v>
      </c>
      <c r="DE43" s="2">
        <v>4</v>
      </c>
      <c r="DF43" s="2">
        <v>3</v>
      </c>
      <c r="DG43" s="2">
        <v>3</v>
      </c>
      <c r="DH43" s="2">
        <v>4</v>
      </c>
      <c r="DI43" s="2">
        <v>4</v>
      </c>
      <c r="DJ43" s="2">
        <v>3</v>
      </c>
      <c r="DK43" s="2">
        <v>3</v>
      </c>
      <c r="DL43" s="2">
        <v>3</v>
      </c>
      <c r="DM43" s="2">
        <v>2</v>
      </c>
      <c r="DN43" s="2">
        <v>2</v>
      </c>
      <c r="DO43" s="2">
        <v>3</v>
      </c>
      <c r="DP43" s="2">
        <v>2</v>
      </c>
      <c r="DQ43" s="2">
        <v>2</v>
      </c>
      <c r="DR43" s="2">
        <v>2</v>
      </c>
      <c r="DS43" s="2">
        <v>3</v>
      </c>
      <c r="DT43" s="2">
        <v>2</v>
      </c>
      <c r="DU43" s="2">
        <v>2</v>
      </c>
      <c r="DV43" s="2">
        <v>2</v>
      </c>
      <c r="DW43" s="2">
        <v>2</v>
      </c>
      <c r="DX43" s="2">
        <v>1</v>
      </c>
      <c r="DY43" s="2">
        <v>2</v>
      </c>
      <c r="DZ43" s="2">
        <v>2</v>
      </c>
      <c r="EA43" s="2">
        <v>1</v>
      </c>
      <c r="EB43" s="2">
        <v>1</v>
      </c>
      <c r="EC43" s="2">
        <v>2</v>
      </c>
      <c r="ED43" s="2">
        <v>2</v>
      </c>
      <c r="EE43" s="2">
        <v>3</v>
      </c>
      <c r="EF43" s="2">
        <v>2</v>
      </c>
      <c r="EG43" s="2">
        <v>2</v>
      </c>
      <c r="EH43" s="2">
        <v>2</v>
      </c>
      <c r="EI43" s="2">
        <v>2</v>
      </c>
      <c r="EJ43" s="2">
        <v>2</v>
      </c>
      <c r="EK43" s="2">
        <v>3</v>
      </c>
      <c r="EL43" s="2">
        <v>2</v>
      </c>
      <c r="EM43" s="2">
        <v>1</v>
      </c>
      <c r="EN43" s="2">
        <v>2</v>
      </c>
      <c r="EO43" s="2">
        <v>1</v>
      </c>
      <c r="EP43" s="2">
        <v>1</v>
      </c>
      <c r="EQ43" s="2">
        <v>2</v>
      </c>
      <c r="ER43" s="2">
        <v>1</v>
      </c>
      <c r="ES43" s="2">
        <v>2</v>
      </c>
      <c r="ET43" s="2">
        <v>2</v>
      </c>
      <c r="EU43" s="2">
        <v>1</v>
      </c>
      <c r="EV43" s="2">
        <v>2</v>
      </c>
      <c r="EW43" s="2">
        <v>3</v>
      </c>
      <c r="EX43" s="2">
        <v>3</v>
      </c>
      <c r="EY43" s="2">
        <v>3</v>
      </c>
      <c r="EZ43" s="2">
        <v>2</v>
      </c>
      <c r="FA43" s="2">
        <v>1</v>
      </c>
      <c r="FB43" s="2">
        <v>1</v>
      </c>
      <c r="FC43" s="2">
        <v>1</v>
      </c>
      <c r="FD43" s="2">
        <v>1</v>
      </c>
      <c r="FE43" s="2">
        <v>2</v>
      </c>
      <c r="FF43" s="2">
        <v>2</v>
      </c>
      <c r="FG43" s="2">
        <v>1</v>
      </c>
      <c r="FH43" s="2">
        <v>1</v>
      </c>
      <c r="FI43" s="2">
        <v>1</v>
      </c>
      <c r="FJ43" s="2">
        <v>1</v>
      </c>
      <c r="FK43" s="2">
        <v>3</v>
      </c>
      <c r="FL43" s="2">
        <v>4</v>
      </c>
      <c r="FM43" s="2">
        <v>3</v>
      </c>
      <c r="FN43" s="2">
        <v>2</v>
      </c>
      <c r="FO43" s="2">
        <v>2</v>
      </c>
      <c r="FP43" s="2">
        <v>2</v>
      </c>
      <c r="FQ43" s="2">
        <v>2</v>
      </c>
      <c r="FR43" s="2">
        <v>3</v>
      </c>
      <c r="FS43" s="2">
        <v>2</v>
      </c>
      <c r="FT43" s="2">
        <v>2</v>
      </c>
      <c r="FU43" s="2">
        <v>3</v>
      </c>
      <c r="FV43" s="2">
        <v>2</v>
      </c>
      <c r="FW43" s="2">
        <v>3</v>
      </c>
      <c r="FX43" s="2">
        <v>3</v>
      </c>
      <c r="FY43" s="2">
        <v>2</v>
      </c>
      <c r="FZ43" s="2">
        <v>2</v>
      </c>
      <c r="GA43" s="2">
        <v>1</v>
      </c>
      <c r="GB43" s="2">
        <v>2</v>
      </c>
      <c r="GC43" s="2" t="s">
        <v>485</v>
      </c>
      <c r="GD43" s="2">
        <v>2</v>
      </c>
      <c r="GE43" s="2">
        <v>1</v>
      </c>
      <c r="GF43" s="2">
        <v>2</v>
      </c>
      <c r="GG43" s="2">
        <v>3</v>
      </c>
      <c r="GH43" s="2">
        <v>2</v>
      </c>
      <c r="GI43" s="2">
        <v>2</v>
      </c>
      <c r="GJ43" s="2">
        <v>2</v>
      </c>
      <c r="GK43" s="2">
        <v>2</v>
      </c>
      <c r="GL43" s="2">
        <v>2</v>
      </c>
      <c r="GM43" s="2">
        <v>2</v>
      </c>
      <c r="GN43" s="3">
        <v>3</v>
      </c>
      <c r="GO43" s="3">
        <v>2</v>
      </c>
      <c r="GP43" s="3">
        <v>1</v>
      </c>
      <c r="GQ43" s="3">
        <v>2</v>
      </c>
      <c r="GR43" s="3">
        <v>1</v>
      </c>
      <c r="GS43" s="3">
        <v>2</v>
      </c>
      <c r="GT43" s="3">
        <v>3</v>
      </c>
      <c r="GU43" s="3">
        <v>2</v>
      </c>
      <c r="GV43" s="3">
        <v>2</v>
      </c>
      <c r="GW43" s="3">
        <v>2</v>
      </c>
      <c r="GX43" s="3">
        <v>2</v>
      </c>
      <c r="GY43" s="3">
        <v>0</v>
      </c>
      <c r="GZ43" s="3">
        <v>1</v>
      </c>
      <c r="HA43" s="3">
        <v>1</v>
      </c>
      <c r="HB43" s="3">
        <v>2</v>
      </c>
      <c r="HC43" s="3">
        <v>1</v>
      </c>
      <c r="HD43" s="3">
        <v>1</v>
      </c>
      <c r="HE43" s="3">
        <v>0</v>
      </c>
      <c r="HF43" s="3">
        <v>0</v>
      </c>
      <c r="HG43" s="3">
        <v>0</v>
      </c>
      <c r="HH43" s="3">
        <v>0</v>
      </c>
      <c r="HI43" s="3">
        <v>0</v>
      </c>
      <c r="HJ43" s="3">
        <v>1</v>
      </c>
      <c r="HK43" s="3">
        <v>2</v>
      </c>
      <c r="HL43" s="3">
        <v>0</v>
      </c>
      <c r="HM43" s="3">
        <v>1</v>
      </c>
      <c r="HN43" s="3">
        <v>0</v>
      </c>
      <c r="HO43" s="3">
        <v>1</v>
      </c>
      <c r="HP43" s="3">
        <v>0</v>
      </c>
      <c r="HQ43" s="3">
        <v>1</v>
      </c>
      <c r="HR43" s="3">
        <v>2</v>
      </c>
      <c r="HS43" s="3">
        <v>0</v>
      </c>
      <c r="HT43" s="3">
        <v>0</v>
      </c>
      <c r="HU43" s="3">
        <v>1</v>
      </c>
      <c r="HV43" s="3">
        <v>2</v>
      </c>
      <c r="HW43" s="3">
        <v>1</v>
      </c>
      <c r="HX43" s="3">
        <v>1</v>
      </c>
      <c r="HY43" s="3">
        <v>2</v>
      </c>
      <c r="HZ43" s="3">
        <v>1</v>
      </c>
      <c r="IA43" s="3">
        <v>2</v>
      </c>
      <c r="IB43" s="3">
        <v>2</v>
      </c>
      <c r="IC43" s="3">
        <v>1</v>
      </c>
      <c r="ID43" s="3">
        <v>2</v>
      </c>
      <c r="IE43" s="3">
        <v>0</v>
      </c>
      <c r="IF43" s="3">
        <v>1</v>
      </c>
      <c r="IG43" s="3">
        <v>1</v>
      </c>
      <c r="IH43" s="3">
        <v>0</v>
      </c>
      <c r="II43" s="3">
        <v>0</v>
      </c>
      <c r="IJ43" s="3">
        <v>0</v>
      </c>
      <c r="IK43" s="3">
        <v>1</v>
      </c>
      <c r="IL43" s="3">
        <v>0</v>
      </c>
      <c r="IM43" s="3">
        <v>3</v>
      </c>
      <c r="IN43" s="3">
        <v>0</v>
      </c>
      <c r="IO43" s="3">
        <v>1</v>
      </c>
      <c r="IP43" s="3">
        <v>1</v>
      </c>
      <c r="IQ43" s="3">
        <v>1</v>
      </c>
      <c r="IR43" s="3" t="s">
        <v>486</v>
      </c>
      <c r="IS43" s="3">
        <v>3</v>
      </c>
      <c r="IT43" s="3">
        <v>1</v>
      </c>
      <c r="IU43" s="3">
        <v>1</v>
      </c>
      <c r="IV43" s="3">
        <v>1</v>
      </c>
      <c r="IW43" s="3">
        <v>1</v>
      </c>
      <c r="IX43" s="3">
        <v>1</v>
      </c>
      <c r="IY43" s="3">
        <v>1</v>
      </c>
      <c r="IZ43" s="2" t="s">
        <v>268</v>
      </c>
      <c r="JA43" s="2"/>
    </row>
    <row r="44" spans="1:261" ht="13.2" x14ac:dyDescent="0.25">
      <c r="A44" s="10" t="s">
        <v>274</v>
      </c>
      <c r="B44" s="2" t="s">
        <v>487</v>
      </c>
      <c r="C44" s="2" t="s">
        <v>276</v>
      </c>
      <c r="D44" s="2" t="s">
        <v>270</v>
      </c>
      <c r="E44" s="2">
        <v>16</v>
      </c>
      <c r="F44" s="11" t="s">
        <v>488</v>
      </c>
      <c r="G44" s="11" t="s">
        <v>489</v>
      </c>
      <c r="H44" s="2" t="s">
        <v>490</v>
      </c>
      <c r="I44" s="3">
        <v>4</v>
      </c>
      <c r="J44" s="3">
        <v>3</v>
      </c>
      <c r="K44" s="3">
        <v>2</v>
      </c>
      <c r="L44" s="3">
        <v>1</v>
      </c>
      <c r="M44" s="3">
        <v>3</v>
      </c>
      <c r="N44" s="3">
        <v>2</v>
      </c>
      <c r="O44" s="3">
        <v>4</v>
      </c>
      <c r="P44" s="3">
        <v>3</v>
      </c>
      <c r="Q44" s="3">
        <v>2</v>
      </c>
      <c r="R44" s="3">
        <v>2</v>
      </c>
      <c r="S44" s="3">
        <v>2</v>
      </c>
      <c r="T44" s="3">
        <v>1</v>
      </c>
      <c r="U44" s="3">
        <v>1</v>
      </c>
      <c r="V44" s="3">
        <v>0</v>
      </c>
      <c r="W44" s="3">
        <v>3</v>
      </c>
      <c r="X44" s="3">
        <v>2</v>
      </c>
      <c r="Y44" s="3">
        <v>3</v>
      </c>
      <c r="Z44" s="3">
        <v>2</v>
      </c>
      <c r="AA44" s="3">
        <v>3</v>
      </c>
      <c r="AB44" s="3">
        <v>2</v>
      </c>
      <c r="AC44" s="3">
        <v>3</v>
      </c>
      <c r="AD44" s="3">
        <v>3</v>
      </c>
      <c r="AE44" s="3">
        <v>4</v>
      </c>
      <c r="AF44" s="3">
        <v>0</v>
      </c>
      <c r="AG44" s="3">
        <v>0</v>
      </c>
      <c r="AH44" s="3">
        <v>0</v>
      </c>
      <c r="AI44" s="3">
        <v>2</v>
      </c>
      <c r="AJ44" s="3">
        <v>0</v>
      </c>
      <c r="AK44" s="3">
        <v>0</v>
      </c>
      <c r="AL44" s="3">
        <v>1</v>
      </c>
      <c r="AM44" s="3">
        <v>0</v>
      </c>
      <c r="AN44" s="3">
        <v>1</v>
      </c>
      <c r="AO44" s="3">
        <v>4</v>
      </c>
      <c r="AP44" s="3">
        <v>2</v>
      </c>
      <c r="AQ44" s="3">
        <v>4</v>
      </c>
      <c r="AR44" s="3">
        <v>1</v>
      </c>
      <c r="AS44" s="3">
        <v>4</v>
      </c>
      <c r="AT44" s="3">
        <v>2</v>
      </c>
      <c r="AU44" s="3">
        <v>4</v>
      </c>
      <c r="AV44" s="3">
        <v>2</v>
      </c>
      <c r="AW44" s="3">
        <v>0</v>
      </c>
      <c r="AX44" s="3">
        <v>0</v>
      </c>
      <c r="AY44" s="3">
        <v>0</v>
      </c>
      <c r="AZ44" s="3">
        <v>0</v>
      </c>
      <c r="BA44" s="3">
        <v>0</v>
      </c>
      <c r="BB44" s="3">
        <v>0</v>
      </c>
      <c r="BC44" s="3">
        <v>0</v>
      </c>
      <c r="BD44" s="3">
        <v>1</v>
      </c>
      <c r="BE44" s="3">
        <v>2</v>
      </c>
      <c r="BF44" s="3">
        <v>3</v>
      </c>
      <c r="BG44" s="3">
        <v>3</v>
      </c>
      <c r="BH44" s="3">
        <v>3</v>
      </c>
      <c r="BI44" s="3">
        <v>1</v>
      </c>
      <c r="BJ44" s="3">
        <v>1</v>
      </c>
      <c r="BK44" s="3">
        <v>3</v>
      </c>
      <c r="BL44" s="3">
        <v>0</v>
      </c>
      <c r="BM44" s="3" t="s">
        <v>491</v>
      </c>
      <c r="BN44" s="3">
        <v>2</v>
      </c>
      <c r="BO44" s="3">
        <v>3</v>
      </c>
      <c r="BP44" s="3">
        <v>3</v>
      </c>
      <c r="BQ44" s="3">
        <v>3</v>
      </c>
      <c r="BR44" s="3">
        <v>1</v>
      </c>
      <c r="BS44" s="3">
        <v>3</v>
      </c>
      <c r="BT44" s="3">
        <v>0</v>
      </c>
      <c r="BU44" s="2">
        <v>2</v>
      </c>
      <c r="BV44" s="2">
        <v>2</v>
      </c>
      <c r="BW44" s="2">
        <v>2</v>
      </c>
      <c r="BX44" s="2">
        <v>1</v>
      </c>
      <c r="BY44" s="2">
        <v>4</v>
      </c>
      <c r="BZ44" s="2">
        <v>1</v>
      </c>
      <c r="CA44" s="2">
        <v>0</v>
      </c>
      <c r="CB44" s="2">
        <v>4</v>
      </c>
      <c r="CC44" s="2">
        <v>0</v>
      </c>
      <c r="CD44" s="2">
        <v>2</v>
      </c>
      <c r="CE44" s="2">
        <v>1</v>
      </c>
      <c r="CF44" s="2">
        <v>3</v>
      </c>
      <c r="CG44" s="2">
        <v>0</v>
      </c>
      <c r="CH44" s="2">
        <v>0</v>
      </c>
      <c r="CI44" s="2">
        <v>3</v>
      </c>
      <c r="CJ44" s="2">
        <v>0</v>
      </c>
      <c r="CK44" s="2">
        <v>1</v>
      </c>
      <c r="CL44" s="2">
        <v>3</v>
      </c>
      <c r="CM44" s="2">
        <v>0</v>
      </c>
      <c r="CN44" s="2">
        <v>0</v>
      </c>
      <c r="CO44" s="2">
        <v>0</v>
      </c>
      <c r="CP44" s="2">
        <v>0</v>
      </c>
      <c r="CQ44" s="2">
        <v>3</v>
      </c>
      <c r="CR44" s="2">
        <v>3</v>
      </c>
      <c r="CS44" s="2">
        <v>3</v>
      </c>
      <c r="CT44" s="2">
        <v>0</v>
      </c>
      <c r="CU44" s="2">
        <v>0</v>
      </c>
      <c r="CV44" s="2">
        <v>2</v>
      </c>
      <c r="CW44" s="2">
        <v>2</v>
      </c>
      <c r="CX44" s="2">
        <v>0</v>
      </c>
      <c r="CY44" s="2">
        <v>0</v>
      </c>
      <c r="CZ44" s="2">
        <v>0</v>
      </c>
      <c r="DA44" s="2">
        <v>1</v>
      </c>
      <c r="DB44" s="2">
        <v>0</v>
      </c>
      <c r="DC44" s="2">
        <v>0</v>
      </c>
      <c r="DD44" s="2">
        <v>0</v>
      </c>
      <c r="DE44" s="2">
        <v>3</v>
      </c>
      <c r="DF44" s="2">
        <v>0</v>
      </c>
      <c r="DG44" s="2">
        <v>4</v>
      </c>
      <c r="DH44" s="2">
        <v>0</v>
      </c>
      <c r="DI44" s="2">
        <v>0</v>
      </c>
      <c r="DJ44" s="2">
        <v>0</v>
      </c>
      <c r="DK44" s="2">
        <v>0</v>
      </c>
      <c r="DL44" s="2">
        <v>3</v>
      </c>
      <c r="DM44" s="2">
        <v>0</v>
      </c>
      <c r="DN44" s="2">
        <v>1</v>
      </c>
      <c r="DO44" s="2">
        <v>0</v>
      </c>
      <c r="DP44" s="2">
        <v>3</v>
      </c>
      <c r="DQ44" s="2">
        <v>3</v>
      </c>
      <c r="DR44" s="2">
        <v>3</v>
      </c>
      <c r="DS44" s="2">
        <v>4</v>
      </c>
      <c r="DT44" s="2">
        <v>1</v>
      </c>
      <c r="DU44" s="2">
        <v>3</v>
      </c>
      <c r="DV44" s="2">
        <v>0</v>
      </c>
      <c r="DW44" s="2">
        <v>0</v>
      </c>
      <c r="DX44" s="2">
        <v>3</v>
      </c>
      <c r="DY44" s="2">
        <v>2</v>
      </c>
      <c r="DZ44" s="2">
        <v>0</v>
      </c>
      <c r="EA44" s="2">
        <v>2</v>
      </c>
      <c r="EB44" s="2">
        <v>0</v>
      </c>
      <c r="EC44" s="2">
        <v>0</v>
      </c>
      <c r="ED44" s="2">
        <v>1</v>
      </c>
      <c r="EE44" s="2">
        <v>0</v>
      </c>
      <c r="EF44" s="2">
        <v>0</v>
      </c>
      <c r="EG44" s="2">
        <v>0</v>
      </c>
      <c r="EH44" s="2">
        <v>0</v>
      </c>
      <c r="EI44" s="2">
        <v>0</v>
      </c>
      <c r="EJ44" s="2">
        <v>1</v>
      </c>
      <c r="EK44" s="2">
        <v>1</v>
      </c>
      <c r="EL44" s="2">
        <v>0</v>
      </c>
      <c r="EM44" s="2">
        <v>0</v>
      </c>
      <c r="EN44" s="2">
        <v>0</v>
      </c>
      <c r="EO44" s="2">
        <v>0</v>
      </c>
      <c r="EP44" s="2">
        <v>0</v>
      </c>
      <c r="EQ44" s="2">
        <v>1</v>
      </c>
      <c r="ER44" s="2">
        <v>0</v>
      </c>
      <c r="ES44" s="2">
        <v>0</v>
      </c>
      <c r="ET44" s="2">
        <v>0</v>
      </c>
      <c r="EU44" s="2">
        <v>0</v>
      </c>
      <c r="EV44" s="2">
        <v>1</v>
      </c>
      <c r="EW44" s="2">
        <v>3</v>
      </c>
      <c r="EX44" s="2">
        <v>2</v>
      </c>
      <c r="EY44" s="2">
        <v>0</v>
      </c>
      <c r="EZ44" s="2">
        <v>0</v>
      </c>
      <c r="FA44" s="2">
        <v>4</v>
      </c>
      <c r="FB44" s="2">
        <v>0</v>
      </c>
      <c r="FC44" s="2">
        <v>3</v>
      </c>
      <c r="FD44" s="2">
        <v>3</v>
      </c>
      <c r="FE44" s="2">
        <v>0</v>
      </c>
      <c r="FF44" s="2">
        <v>4</v>
      </c>
      <c r="FG44" s="2">
        <v>4</v>
      </c>
      <c r="FH44" s="2">
        <v>4</v>
      </c>
      <c r="FI44" s="2">
        <v>0</v>
      </c>
      <c r="FJ44" s="2">
        <v>0</v>
      </c>
      <c r="FK44" s="2">
        <v>0</v>
      </c>
      <c r="FL44" s="2">
        <v>0</v>
      </c>
      <c r="FM44" s="2">
        <v>0</v>
      </c>
      <c r="FN44" s="2">
        <v>1</v>
      </c>
      <c r="FO44" s="2">
        <v>0</v>
      </c>
      <c r="FP44" s="2">
        <v>0</v>
      </c>
      <c r="FQ44" s="2">
        <v>1</v>
      </c>
      <c r="FR44" s="2">
        <v>0</v>
      </c>
      <c r="FS44" s="2">
        <v>0</v>
      </c>
      <c r="FT44" s="2">
        <v>0</v>
      </c>
      <c r="FU44" s="2">
        <v>3</v>
      </c>
      <c r="FV44" s="2">
        <v>1</v>
      </c>
      <c r="FW44" s="2">
        <v>4</v>
      </c>
      <c r="FX44" s="2">
        <v>1</v>
      </c>
      <c r="FY44" s="2">
        <v>0</v>
      </c>
      <c r="FZ44" s="2">
        <v>3</v>
      </c>
      <c r="GA44" s="2">
        <v>0</v>
      </c>
      <c r="GB44" s="2">
        <v>2</v>
      </c>
      <c r="GC44" s="2" t="s">
        <v>492</v>
      </c>
      <c r="GD44" s="2">
        <v>3</v>
      </c>
      <c r="GE44" s="2">
        <v>0</v>
      </c>
      <c r="GF44" s="2">
        <v>2</v>
      </c>
      <c r="GG44" s="2">
        <v>3</v>
      </c>
      <c r="GH44" s="2">
        <v>2</v>
      </c>
      <c r="GI44" s="2">
        <v>0</v>
      </c>
      <c r="GJ44" s="2">
        <v>0</v>
      </c>
      <c r="GK44" s="2">
        <v>3</v>
      </c>
      <c r="GL44" s="2">
        <v>0</v>
      </c>
      <c r="GM44" s="2">
        <v>0</v>
      </c>
      <c r="GN44" s="3">
        <v>3</v>
      </c>
      <c r="GO44" s="3">
        <v>3</v>
      </c>
      <c r="GP44" s="3">
        <v>3</v>
      </c>
      <c r="GQ44" s="3">
        <v>3</v>
      </c>
      <c r="GR44" s="3">
        <v>3</v>
      </c>
      <c r="GS44" s="3">
        <v>2</v>
      </c>
      <c r="GT44" s="3">
        <v>3</v>
      </c>
      <c r="GU44" s="3">
        <v>3</v>
      </c>
      <c r="GV44" s="3">
        <v>3</v>
      </c>
      <c r="GW44" s="3">
        <v>3</v>
      </c>
      <c r="GX44" s="3">
        <v>0</v>
      </c>
      <c r="GY44" s="3">
        <v>4</v>
      </c>
      <c r="GZ44" s="3">
        <v>4</v>
      </c>
      <c r="HA44" s="3">
        <v>1</v>
      </c>
      <c r="HB44" s="3">
        <v>1</v>
      </c>
      <c r="HC44" s="3">
        <v>0</v>
      </c>
      <c r="HD44" s="3">
        <v>3</v>
      </c>
      <c r="HE44" s="3">
        <v>0</v>
      </c>
      <c r="HF44" s="3">
        <v>0</v>
      </c>
      <c r="HG44" s="3">
        <v>0</v>
      </c>
      <c r="HH44" s="3">
        <v>3</v>
      </c>
      <c r="HI44" s="3">
        <v>2</v>
      </c>
      <c r="HJ44" s="3">
        <v>0</v>
      </c>
      <c r="HK44" s="3">
        <v>3</v>
      </c>
      <c r="HL44" s="3">
        <v>3</v>
      </c>
      <c r="HM44" s="3">
        <v>1</v>
      </c>
      <c r="HN44" s="3">
        <v>0</v>
      </c>
      <c r="HO44" s="3">
        <v>3</v>
      </c>
      <c r="HP44" s="3">
        <v>4</v>
      </c>
      <c r="HQ44" s="3">
        <v>3</v>
      </c>
      <c r="HR44" s="3">
        <v>1</v>
      </c>
      <c r="HS44" s="3">
        <v>0</v>
      </c>
      <c r="HT44" s="3">
        <v>0</v>
      </c>
      <c r="HU44" s="3">
        <v>0</v>
      </c>
      <c r="HV44" s="3">
        <v>2</v>
      </c>
      <c r="HW44" s="3">
        <v>3</v>
      </c>
      <c r="HX44" s="3">
        <v>0</v>
      </c>
      <c r="HY44" s="3">
        <v>1</v>
      </c>
      <c r="HZ44" s="3">
        <v>1</v>
      </c>
      <c r="IA44" s="3">
        <v>3</v>
      </c>
      <c r="IB44" s="3">
        <v>4</v>
      </c>
      <c r="IC44" s="3">
        <v>2</v>
      </c>
      <c r="ID44" s="3">
        <v>3</v>
      </c>
      <c r="IE44" s="3">
        <v>0</v>
      </c>
      <c r="IF44" s="3">
        <v>3</v>
      </c>
      <c r="IG44" s="3">
        <v>1</v>
      </c>
      <c r="IH44" s="3">
        <v>1</v>
      </c>
      <c r="II44" s="3">
        <v>2</v>
      </c>
      <c r="IJ44" s="3">
        <v>2</v>
      </c>
      <c r="IK44" s="3">
        <v>2</v>
      </c>
      <c r="IL44" s="3">
        <v>1</v>
      </c>
      <c r="IM44" s="3">
        <v>0</v>
      </c>
      <c r="IN44" s="3">
        <v>0</v>
      </c>
      <c r="IO44" s="3">
        <v>0</v>
      </c>
      <c r="IP44" s="3">
        <v>0</v>
      </c>
      <c r="IQ44" s="3">
        <v>3</v>
      </c>
      <c r="IR44" s="3" t="s">
        <v>493</v>
      </c>
      <c r="IS44" s="3">
        <v>0</v>
      </c>
      <c r="IT44" s="3">
        <v>3</v>
      </c>
      <c r="IU44" s="3">
        <v>4</v>
      </c>
      <c r="IV44" s="3">
        <v>1</v>
      </c>
      <c r="IW44" s="3">
        <v>3</v>
      </c>
      <c r="IX44" s="3">
        <v>4</v>
      </c>
      <c r="IY44" s="3">
        <v>0</v>
      </c>
      <c r="IZ44" s="2" t="s">
        <v>268</v>
      </c>
      <c r="JA44" s="2"/>
    </row>
    <row r="45" spans="1:261" ht="13.2" x14ac:dyDescent="0.25">
      <c r="A45" s="10" t="s">
        <v>274</v>
      </c>
      <c r="B45" s="2" t="s">
        <v>494</v>
      </c>
      <c r="C45" s="2" t="s">
        <v>276</v>
      </c>
      <c r="D45" s="2" t="s">
        <v>325</v>
      </c>
      <c r="E45" s="2">
        <v>22</v>
      </c>
      <c r="F45" s="11" t="s">
        <v>495</v>
      </c>
      <c r="G45" s="11" t="s">
        <v>496</v>
      </c>
      <c r="H45" s="2" t="s">
        <v>497</v>
      </c>
      <c r="I45" s="3">
        <v>4</v>
      </c>
      <c r="J45" s="3">
        <v>4</v>
      </c>
      <c r="K45" s="3">
        <v>4</v>
      </c>
      <c r="L45" s="3">
        <v>2</v>
      </c>
      <c r="M45" s="3">
        <v>4</v>
      </c>
      <c r="N45" s="3">
        <v>4</v>
      </c>
      <c r="O45" s="3">
        <v>4</v>
      </c>
      <c r="P45" s="3">
        <v>2</v>
      </c>
      <c r="Q45" s="3">
        <v>4</v>
      </c>
      <c r="R45" s="3">
        <v>2</v>
      </c>
      <c r="S45" s="3">
        <v>2</v>
      </c>
      <c r="T45" s="3">
        <v>4</v>
      </c>
      <c r="U45" s="3">
        <v>2</v>
      </c>
      <c r="V45" s="3">
        <v>4</v>
      </c>
      <c r="W45" s="3">
        <v>2</v>
      </c>
      <c r="X45" s="3">
        <v>2</v>
      </c>
      <c r="Y45" s="3">
        <v>4</v>
      </c>
      <c r="Z45" s="3">
        <v>2</v>
      </c>
      <c r="AA45" s="3">
        <v>4</v>
      </c>
      <c r="AB45" s="3">
        <v>4</v>
      </c>
      <c r="AC45" s="3">
        <v>4</v>
      </c>
      <c r="AD45" s="3">
        <v>2</v>
      </c>
      <c r="AE45" s="3">
        <v>4</v>
      </c>
      <c r="AF45" s="3">
        <v>4</v>
      </c>
      <c r="AG45" s="3">
        <v>4</v>
      </c>
      <c r="AH45" s="3">
        <v>4</v>
      </c>
      <c r="AI45" s="3">
        <v>2</v>
      </c>
      <c r="AJ45" s="3">
        <v>4</v>
      </c>
      <c r="AK45" s="3">
        <v>4</v>
      </c>
      <c r="AL45" s="3">
        <v>2</v>
      </c>
      <c r="AM45" s="3">
        <v>4</v>
      </c>
      <c r="AN45" s="3">
        <v>2</v>
      </c>
      <c r="AO45" s="3">
        <v>4</v>
      </c>
      <c r="AP45" s="3">
        <v>2</v>
      </c>
      <c r="AQ45" s="3">
        <v>2</v>
      </c>
      <c r="AR45" s="3">
        <v>2</v>
      </c>
      <c r="AS45" s="3">
        <v>4</v>
      </c>
      <c r="AT45" s="3">
        <v>2</v>
      </c>
      <c r="AU45" s="3">
        <v>2</v>
      </c>
      <c r="AV45" s="3">
        <v>2</v>
      </c>
      <c r="AW45" s="3">
        <v>4</v>
      </c>
      <c r="AX45" s="3">
        <v>2</v>
      </c>
      <c r="AY45" s="3">
        <v>3</v>
      </c>
      <c r="AZ45" s="3">
        <v>4</v>
      </c>
      <c r="BA45" s="3">
        <v>2</v>
      </c>
      <c r="BB45" s="3">
        <v>2</v>
      </c>
      <c r="BC45" s="3">
        <v>2</v>
      </c>
      <c r="BD45" s="3">
        <v>1</v>
      </c>
      <c r="BE45" s="3">
        <v>3</v>
      </c>
      <c r="BF45" s="3">
        <v>2</v>
      </c>
      <c r="BG45" s="3">
        <v>2</v>
      </c>
      <c r="BH45" s="3">
        <v>4</v>
      </c>
      <c r="BI45" s="3">
        <v>2</v>
      </c>
      <c r="BJ45" s="3">
        <v>4</v>
      </c>
      <c r="BK45" s="3">
        <v>2</v>
      </c>
      <c r="BL45" s="3">
        <v>2</v>
      </c>
      <c r="BM45" s="3" t="s">
        <v>274</v>
      </c>
      <c r="BN45" s="3">
        <v>4</v>
      </c>
      <c r="BO45" s="3">
        <v>2</v>
      </c>
      <c r="BP45" s="3">
        <v>3</v>
      </c>
      <c r="BQ45" s="3">
        <v>4</v>
      </c>
      <c r="BR45" s="3">
        <v>2</v>
      </c>
      <c r="BS45" s="3">
        <v>4</v>
      </c>
      <c r="BT45" s="3">
        <v>2</v>
      </c>
      <c r="BU45" s="2">
        <v>4</v>
      </c>
      <c r="BV45" s="2">
        <v>2</v>
      </c>
      <c r="BW45" s="2">
        <v>3</v>
      </c>
      <c r="BX45" s="2">
        <v>3</v>
      </c>
      <c r="BY45" s="2">
        <v>0</v>
      </c>
      <c r="BZ45" s="2">
        <v>2</v>
      </c>
      <c r="CA45" s="2">
        <v>2</v>
      </c>
      <c r="CB45" s="2">
        <v>2</v>
      </c>
      <c r="CC45" s="2">
        <v>2</v>
      </c>
      <c r="CD45" s="2">
        <v>3</v>
      </c>
      <c r="CE45" s="2">
        <v>2</v>
      </c>
      <c r="CF45" s="2">
        <v>3</v>
      </c>
      <c r="CG45" s="2">
        <v>2</v>
      </c>
      <c r="CH45" s="2">
        <v>2</v>
      </c>
      <c r="CI45" s="2">
        <v>2</v>
      </c>
      <c r="CJ45" s="2">
        <v>2</v>
      </c>
      <c r="CK45" s="2">
        <v>3</v>
      </c>
      <c r="CL45" s="2">
        <v>2</v>
      </c>
      <c r="CM45" s="2">
        <v>2</v>
      </c>
      <c r="CN45" s="2">
        <v>2</v>
      </c>
      <c r="CO45" s="2">
        <v>0</v>
      </c>
      <c r="CP45" s="2">
        <v>2</v>
      </c>
      <c r="CQ45" s="2">
        <v>4</v>
      </c>
      <c r="CR45" s="2">
        <v>2</v>
      </c>
      <c r="CS45" s="2">
        <v>2</v>
      </c>
      <c r="CT45" s="2">
        <v>2</v>
      </c>
      <c r="CU45" s="2">
        <v>2</v>
      </c>
      <c r="CV45" s="2">
        <v>2</v>
      </c>
      <c r="CW45" s="2">
        <v>3</v>
      </c>
      <c r="CX45" s="2">
        <v>2</v>
      </c>
      <c r="CY45" s="2">
        <v>2</v>
      </c>
      <c r="CZ45" s="2">
        <v>3</v>
      </c>
      <c r="DA45" s="2">
        <v>2</v>
      </c>
      <c r="DB45" s="2">
        <v>2</v>
      </c>
      <c r="DC45" s="2">
        <v>0</v>
      </c>
      <c r="DD45" s="2">
        <v>2</v>
      </c>
      <c r="DE45" s="2">
        <v>2</v>
      </c>
      <c r="DF45" s="2">
        <v>3</v>
      </c>
      <c r="DG45" s="2">
        <v>4</v>
      </c>
      <c r="DH45" s="2">
        <v>2</v>
      </c>
      <c r="DI45" s="2">
        <v>2</v>
      </c>
      <c r="DJ45" s="2">
        <v>0</v>
      </c>
      <c r="DK45" s="2">
        <v>2</v>
      </c>
      <c r="DL45" s="2">
        <v>3</v>
      </c>
      <c r="DM45" s="2">
        <v>2</v>
      </c>
      <c r="DN45" s="2">
        <v>0</v>
      </c>
      <c r="DO45" s="2">
        <v>2</v>
      </c>
      <c r="DP45" s="2">
        <v>2</v>
      </c>
      <c r="DQ45" s="2">
        <v>3</v>
      </c>
      <c r="DR45" s="2">
        <v>2</v>
      </c>
      <c r="DS45" s="2">
        <v>0</v>
      </c>
      <c r="DT45" s="2">
        <v>0</v>
      </c>
      <c r="DU45" s="2">
        <v>0</v>
      </c>
      <c r="DV45" s="2">
        <v>2</v>
      </c>
      <c r="DW45" s="2">
        <v>2</v>
      </c>
      <c r="DX45" s="2">
        <v>2</v>
      </c>
      <c r="DY45" s="2">
        <v>3</v>
      </c>
      <c r="DZ45" s="2">
        <v>2</v>
      </c>
      <c r="EA45" s="2">
        <v>2</v>
      </c>
      <c r="EB45" s="2">
        <v>0</v>
      </c>
      <c r="EC45" s="2">
        <v>0</v>
      </c>
      <c r="ED45" s="2">
        <v>0</v>
      </c>
      <c r="EE45" s="2">
        <v>0</v>
      </c>
      <c r="EF45" s="2">
        <v>0</v>
      </c>
      <c r="EG45" s="2">
        <v>0</v>
      </c>
      <c r="EH45" s="2">
        <v>0</v>
      </c>
      <c r="EI45" s="2">
        <v>2</v>
      </c>
      <c r="EJ45" s="2">
        <v>2</v>
      </c>
      <c r="EK45" s="2">
        <v>2</v>
      </c>
      <c r="EL45" s="2">
        <v>2</v>
      </c>
      <c r="EM45" s="2">
        <v>0</v>
      </c>
      <c r="EN45" s="2">
        <v>2</v>
      </c>
      <c r="EO45" s="2">
        <v>0</v>
      </c>
      <c r="EP45" s="2">
        <v>0</v>
      </c>
      <c r="EQ45" s="2">
        <v>2</v>
      </c>
      <c r="ER45" s="2">
        <v>0</v>
      </c>
      <c r="ES45" s="2">
        <v>0</v>
      </c>
      <c r="ET45" s="2">
        <v>0</v>
      </c>
      <c r="EU45" s="2">
        <v>2</v>
      </c>
      <c r="EV45" s="2">
        <v>2</v>
      </c>
      <c r="EW45" s="2">
        <v>3</v>
      </c>
      <c r="EX45" s="2">
        <v>3</v>
      </c>
      <c r="EY45" s="2">
        <v>0</v>
      </c>
      <c r="EZ45" s="2">
        <v>0</v>
      </c>
      <c r="FA45" s="2">
        <v>0</v>
      </c>
      <c r="FB45" s="2">
        <v>2</v>
      </c>
      <c r="FC45" s="2">
        <v>2</v>
      </c>
      <c r="FD45" s="2">
        <v>0</v>
      </c>
      <c r="FE45" s="2">
        <v>2</v>
      </c>
      <c r="FF45" s="2">
        <v>2</v>
      </c>
      <c r="FG45" s="2">
        <v>2</v>
      </c>
      <c r="FH45" s="2">
        <v>2</v>
      </c>
      <c r="FI45" s="2">
        <v>0</v>
      </c>
      <c r="FJ45" s="2">
        <v>0</v>
      </c>
      <c r="FK45" s="2">
        <v>2</v>
      </c>
      <c r="FL45" s="2">
        <v>0</v>
      </c>
      <c r="FM45" s="2">
        <v>0</v>
      </c>
      <c r="FN45" s="2">
        <v>2</v>
      </c>
      <c r="FO45" s="2">
        <v>2</v>
      </c>
      <c r="FP45" s="2">
        <v>2</v>
      </c>
      <c r="FQ45" s="2">
        <v>2</v>
      </c>
      <c r="FR45" s="2">
        <v>2</v>
      </c>
      <c r="FS45" s="2">
        <v>1</v>
      </c>
      <c r="FT45" s="2">
        <v>0</v>
      </c>
      <c r="FU45" s="2">
        <v>2</v>
      </c>
      <c r="FV45" s="2">
        <v>2</v>
      </c>
      <c r="FW45" s="2">
        <v>3</v>
      </c>
      <c r="FX45" s="2">
        <v>0</v>
      </c>
      <c r="FY45" s="2">
        <v>0</v>
      </c>
      <c r="FZ45" s="2">
        <v>0</v>
      </c>
      <c r="GA45" s="2">
        <v>0</v>
      </c>
      <c r="GB45" s="2">
        <v>3</v>
      </c>
      <c r="GC45" s="2" t="s">
        <v>274</v>
      </c>
      <c r="GD45" s="2">
        <v>0</v>
      </c>
      <c r="GE45" s="2">
        <v>2</v>
      </c>
      <c r="GF45" s="2">
        <v>2</v>
      </c>
      <c r="GG45" s="2">
        <v>3</v>
      </c>
      <c r="GH45" s="2">
        <v>3</v>
      </c>
      <c r="GI45" s="2">
        <v>0</v>
      </c>
      <c r="GJ45" s="2">
        <v>0</v>
      </c>
      <c r="GK45" s="2">
        <v>0</v>
      </c>
      <c r="GL45" s="2">
        <v>0</v>
      </c>
      <c r="GM45" s="2">
        <v>2</v>
      </c>
      <c r="GN45" s="3">
        <v>4</v>
      </c>
      <c r="GO45" s="3">
        <v>4</v>
      </c>
      <c r="GP45" s="3">
        <v>4</v>
      </c>
      <c r="GQ45" s="3">
        <v>4</v>
      </c>
      <c r="GR45" s="3">
        <v>4</v>
      </c>
      <c r="GS45" s="3">
        <v>4</v>
      </c>
      <c r="GT45" s="3">
        <v>4</v>
      </c>
      <c r="GU45" s="3">
        <v>4</v>
      </c>
      <c r="GV45" s="3">
        <v>4</v>
      </c>
      <c r="GW45" s="3">
        <v>4</v>
      </c>
      <c r="GX45" s="3">
        <v>4</v>
      </c>
      <c r="GY45" s="3">
        <v>4</v>
      </c>
      <c r="GZ45" s="3">
        <v>4</v>
      </c>
      <c r="HA45" s="3">
        <v>4</v>
      </c>
      <c r="HB45" s="3">
        <v>4</v>
      </c>
      <c r="HC45" s="3">
        <v>4</v>
      </c>
      <c r="HD45" s="3">
        <v>4</v>
      </c>
      <c r="HE45" s="3">
        <v>4</v>
      </c>
      <c r="HF45" s="3">
        <v>2</v>
      </c>
      <c r="HG45" s="3">
        <v>4</v>
      </c>
      <c r="HH45" s="3">
        <v>4</v>
      </c>
      <c r="HI45" s="3">
        <v>4</v>
      </c>
      <c r="HJ45" s="3">
        <v>4</v>
      </c>
      <c r="HK45" s="3">
        <v>4</v>
      </c>
      <c r="HL45" s="3">
        <v>4</v>
      </c>
      <c r="HM45" s="3">
        <v>4</v>
      </c>
      <c r="HN45" s="3">
        <v>4</v>
      </c>
      <c r="HO45" s="3">
        <v>4</v>
      </c>
      <c r="HP45" s="3">
        <v>4</v>
      </c>
      <c r="HQ45" s="3">
        <v>4</v>
      </c>
      <c r="HR45" s="3">
        <v>4</v>
      </c>
      <c r="HS45" s="3">
        <v>2</v>
      </c>
      <c r="HT45" s="3">
        <v>4</v>
      </c>
      <c r="HU45" s="3">
        <v>4</v>
      </c>
      <c r="HV45" s="3">
        <v>4</v>
      </c>
      <c r="HW45" s="3">
        <v>4</v>
      </c>
      <c r="HX45" s="3">
        <v>4</v>
      </c>
      <c r="HY45" s="3">
        <v>4</v>
      </c>
      <c r="HZ45" s="3">
        <v>2</v>
      </c>
      <c r="IA45" s="3">
        <v>4</v>
      </c>
      <c r="IB45" s="3">
        <v>4</v>
      </c>
      <c r="IC45" s="3">
        <v>4</v>
      </c>
      <c r="ID45" s="3">
        <v>4</v>
      </c>
      <c r="IE45" s="3">
        <v>4</v>
      </c>
      <c r="IF45" s="3">
        <v>4</v>
      </c>
      <c r="IG45" s="3">
        <v>4</v>
      </c>
      <c r="IH45" s="3">
        <v>0</v>
      </c>
      <c r="II45" s="3">
        <v>4</v>
      </c>
      <c r="IJ45" s="3">
        <v>2</v>
      </c>
      <c r="IK45" s="3">
        <v>4</v>
      </c>
      <c r="IL45" s="3">
        <v>4</v>
      </c>
      <c r="IM45" s="3">
        <v>4</v>
      </c>
      <c r="IN45" s="3">
        <v>4</v>
      </c>
      <c r="IO45" s="3">
        <v>4</v>
      </c>
      <c r="IP45" s="3">
        <v>4</v>
      </c>
      <c r="IQ45" s="3">
        <v>4</v>
      </c>
      <c r="IR45" s="3" t="s">
        <v>274</v>
      </c>
      <c r="IS45" s="3">
        <v>4</v>
      </c>
      <c r="IT45" s="3">
        <v>4</v>
      </c>
      <c r="IU45" s="3">
        <v>4</v>
      </c>
      <c r="IV45" s="3">
        <v>2</v>
      </c>
      <c r="IW45" s="3">
        <v>4</v>
      </c>
      <c r="IX45" s="3">
        <v>4</v>
      </c>
      <c r="IY45" s="3">
        <v>4</v>
      </c>
      <c r="IZ45" s="2" t="s">
        <v>268</v>
      </c>
      <c r="JA45" s="2"/>
    </row>
    <row r="46" spans="1:261" ht="13.2" x14ac:dyDescent="0.25">
      <c r="A46" s="10" t="s">
        <v>274</v>
      </c>
      <c r="B46" s="2" t="s">
        <v>498</v>
      </c>
      <c r="C46" s="2" t="s">
        <v>261</v>
      </c>
      <c r="D46" s="2" t="s">
        <v>262</v>
      </c>
      <c r="E46" s="2">
        <v>41</v>
      </c>
      <c r="F46" s="11" t="s">
        <v>499</v>
      </c>
      <c r="G46" s="11" t="s">
        <v>500</v>
      </c>
      <c r="H46" s="2" t="s">
        <v>501</v>
      </c>
      <c r="I46" s="3">
        <v>3</v>
      </c>
      <c r="J46" s="3">
        <v>2</v>
      </c>
      <c r="K46" s="3">
        <v>2</v>
      </c>
      <c r="L46" s="3">
        <v>1</v>
      </c>
      <c r="M46" s="3">
        <v>3</v>
      </c>
      <c r="N46" s="3">
        <v>3</v>
      </c>
      <c r="O46" s="3">
        <v>2</v>
      </c>
      <c r="P46" s="3">
        <v>0</v>
      </c>
      <c r="Q46" s="3">
        <v>0</v>
      </c>
      <c r="R46" s="3">
        <v>0</v>
      </c>
      <c r="S46" s="3">
        <v>0</v>
      </c>
      <c r="T46" s="3">
        <v>0</v>
      </c>
      <c r="U46" s="3">
        <v>0</v>
      </c>
      <c r="V46" s="3">
        <v>0</v>
      </c>
      <c r="W46" s="3">
        <v>0</v>
      </c>
      <c r="X46" s="3">
        <v>0</v>
      </c>
      <c r="Y46" s="3">
        <v>1</v>
      </c>
      <c r="Z46" s="3">
        <v>0</v>
      </c>
      <c r="AA46" s="3">
        <v>0</v>
      </c>
      <c r="AB46" s="3">
        <v>0</v>
      </c>
      <c r="AC46" s="3">
        <v>0</v>
      </c>
      <c r="AD46" s="3">
        <v>0</v>
      </c>
      <c r="AE46" s="3">
        <v>0</v>
      </c>
      <c r="AF46" s="3">
        <v>0</v>
      </c>
      <c r="AG46" s="3">
        <v>0</v>
      </c>
      <c r="AH46" s="3">
        <v>0</v>
      </c>
      <c r="AI46" s="3">
        <v>2</v>
      </c>
      <c r="AJ46" s="3">
        <v>2</v>
      </c>
      <c r="AK46" s="3">
        <v>2</v>
      </c>
      <c r="AL46" s="3">
        <v>0</v>
      </c>
      <c r="AM46" s="3">
        <v>0</v>
      </c>
      <c r="AN46" s="3">
        <v>0</v>
      </c>
      <c r="AO46" s="3">
        <v>2</v>
      </c>
      <c r="AP46" s="3">
        <v>0</v>
      </c>
      <c r="AQ46" s="3">
        <v>0</v>
      </c>
      <c r="AR46" s="3">
        <v>0</v>
      </c>
      <c r="AS46" s="3">
        <v>0</v>
      </c>
      <c r="AT46" s="3">
        <v>0</v>
      </c>
      <c r="AU46" s="3">
        <v>0</v>
      </c>
      <c r="AV46" s="3">
        <v>1</v>
      </c>
      <c r="AW46" s="3">
        <v>0</v>
      </c>
      <c r="AX46" s="3">
        <v>0</v>
      </c>
      <c r="AY46" s="3">
        <v>0</v>
      </c>
      <c r="AZ46" s="3">
        <v>0</v>
      </c>
      <c r="BA46" s="3">
        <v>0</v>
      </c>
      <c r="BB46" s="3">
        <v>2</v>
      </c>
      <c r="BC46" s="3">
        <v>0</v>
      </c>
      <c r="BD46" s="3">
        <v>2</v>
      </c>
      <c r="BE46" s="3">
        <v>1</v>
      </c>
      <c r="BF46" s="3">
        <v>0</v>
      </c>
      <c r="BG46" s="3">
        <v>0</v>
      </c>
      <c r="BH46" s="3">
        <v>2</v>
      </c>
      <c r="BI46" s="3">
        <v>0</v>
      </c>
      <c r="BJ46" s="3">
        <v>0</v>
      </c>
      <c r="BK46" s="3">
        <v>0</v>
      </c>
      <c r="BL46" s="3">
        <v>0</v>
      </c>
      <c r="BM46" s="3" t="s">
        <v>502</v>
      </c>
      <c r="BN46" s="3">
        <v>4</v>
      </c>
      <c r="BO46" s="3">
        <v>0</v>
      </c>
      <c r="BP46" s="3">
        <v>0</v>
      </c>
      <c r="BQ46" s="3">
        <v>1</v>
      </c>
      <c r="BR46" s="3">
        <v>0</v>
      </c>
      <c r="BS46" s="3">
        <v>2</v>
      </c>
      <c r="BT46" s="3">
        <v>0</v>
      </c>
      <c r="BU46" s="2">
        <v>0</v>
      </c>
      <c r="BV46" s="2">
        <v>0</v>
      </c>
      <c r="BW46" s="2">
        <v>1</v>
      </c>
      <c r="BX46" s="2">
        <v>0</v>
      </c>
      <c r="BY46" s="2">
        <v>0</v>
      </c>
      <c r="BZ46" s="2">
        <v>1</v>
      </c>
      <c r="CA46" s="2">
        <v>0</v>
      </c>
      <c r="CB46" s="2">
        <v>3</v>
      </c>
      <c r="CC46" s="2">
        <v>0</v>
      </c>
      <c r="CD46" s="2">
        <v>0</v>
      </c>
      <c r="CE46" s="2">
        <v>0</v>
      </c>
      <c r="CF46" s="2">
        <v>0</v>
      </c>
      <c r="CG46" s="2">
        <v>0</v>
      </c>
      <c r="CH46" s="2">
        <v>1</v>
      </c>
      <c r="CI46" s="2">
        <v>1</v>
      </c>
      <c r="CJ46" s="2">
        <v>0</v>
      </c>
      <c r="CK46" s="2">
        <v>0</v>
      </c>
      <c r="CL46" s="2">
        <v>1</v>
      </c>
      <c r="CM46" s="2">
        <v>0</v>
      </c>
      <c r="CN46" s="2">
        <v>0</v>
      </c>
      <c r="CO46" s="2">
        <v>0</v>
      </c>
      <c r="CP46" s="2">
        <v>1</v>
      </c>
      <c r="CQ46" s="2">
        <v>0</v>
      </c>
      <c r="CR46" s="2">
        <v>0</v>
      </c>
      <c r="CS46" s="2">
        <v>0</v>
      </c>
      <c r="CT46" s="2">
        <v>0</v>
      </c>
      <c r="CU46" s="2">
        <v>0</v>
      </c>
      <c r="CV46" s="2">
        <v>0</v>
      </c>
      <c r="CW46" s="2">
        <v>0</v>
      </c>
      <c r="CX46" s="2">
        <v>0</v>
      </c>
      <c r="CY46" s="2">
        <v>0</v>
      </c>
      <c r="CZ46" s="2">
        <v>1</v>
      </c>
      <c r="DA46" s="2">
        <v>3</v>
      </c>
      <c r="DB46" s="2">
        <v>0</v>
      </c>
      <c r="DC46" s="2">
        <v>0</v>
      </c>
      <c r="DD46" s="2">
        <v>0</v>
      </c>
      <c r="DE46" s="2">
        <v>2</v>
      </c>
      <c r="DF46" s="2">
        <v>2</v>
      </c>
      <c r="DG46" s="2">
        <v>4</v>
      </c>
      <c r="DH46" s="2">
        <v>1</v>
      </c>
      <c r="DI46" s="2">
        <v>0</v>
      </c>
      <c r="DJ46" s="2">
        <v>0</v>
      </c>
      <c r="DK46" s="2">
        <v>1</v>
      </c>
      <c r="DL46" s="2">
        <v>1</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1</v>
      </c>
      <c r="EL46" s="2">
        <v>0</v>
      </c>
      <c r="EM46" s="2">
        <v>0</v>
      </c>
      <c r="EN46" s="2">
        <v>0</v>
      </c>
      <c r="EO46" s="2">
        <v>0</v>
      </c>
      <c r="EP46" s="2">
        <v>0</v>
      </c>
      <c r="EQ46" s="2">
        <v>1</v>
      </c>
      <c r="ER46" s="2">
        <v>0</v>
      </c>
      <c r="ES46" s="2">
        <v>0</v>
      </c>
      <c r="ET46" s="2">
        <v>0</v>
      </c>
      <c r="EU46" s="2">
        <v>1</v>
      </c>
      <c r="EV46" s="2">
        <v>1</v>
      </c>
      <c r="EW46" s="2">
        <v>0</v>
      </c>
      <c r="EX46" s="2">
        <v>1</v>
      </c>
      <c r="EY46" s="2">
        <v>0</v>
      </c>
      <c r="EZ46" s="2">
        <v>1</v>
      </c>
      <c r="FA46" s="2">
        <v>0</v>
      </c>
      <c r="FB46" s="2">
        <v>0</v>
      </c>
      <c r="FC46" s="2">
        <v>0</v>
      </c>
      <c r="FD46" s="2">
        <v>0</v>
      </c>
      <c r="FE46" s="2">
        <v>0</v>
      </c>
      <c r="FF46" s="2">
        <v>2</v>
      </c>
      <c r="FG46" s="2">
        <v>0</v>
      </c>
      <c r="FH46" s="2">
        <v>0</v>
      </c>
      <c r="FI46" s="2">
        <v>0</v>
      </c>
      <c r="FJ46" s="2">
        <v>0</v>
      </c>
      <c r="FK46" s="2">
        <v>0</v>
      </c>
      <c r="FL46" s="2">
        <v>0</v>
      </c>
      <c r="FM46" s="2">
        <v>0</v>
      </c>
      <c r="FN46" s="2">
        <v>0</v>
      </c>
      <c r="FO46" s="2">
        <v>0</v>
      </c>
      <c r="FP46" s="2">
        <v>0</v>
      </c>
      <c r="FQ46" s="2">
        <v>1</v>
      </c>
      <c r="FR46" s="2">
        <v>1</v>
      </c>
      <c r="FS46" s="2">
        <v>0</v>
      </c>
      <c r="FT46" s="2">
        <v>0</v>
      </c>
      <c r="FU46" s="2">
        <v>0</v>
      </c>
      <c r="FV46" s="2">
        <v>0</v>
      </c>
      <c r="FW46" s="2">
        <v>0</v>
      </c>
      <c r="FX46" s="2">
        <v>0</v>
      </c>
      <c r="FY46" s="2">
        <v>0</v>
      </c>
      <c r="FZ46" s="2">
        <v>0</v>
      </c>
      <c r="GA46" s="2">
        <v>0</v>
      </c>
      <c r="GB46" s="2">
        <v>0</v>
      </c>
      <c r="GC46" s="2" t="s">
        <v>503</v>
      </c>
      <c r="GD46" s="2">
        <v>3</v>
      </c>
      <c r="GE46" s="2">
        <v>0</v>
      </c>
      <c r="GF46" s="2">
        <v>0</v>
      </c>
      <c r="GG46" s="2">
        <v>1</v>
      </c>
      <c r="GH46" s="2">
        <v>0</v>
      </c>
      <c r="GI46" s="2">
        <v>0</v>
      </c>
      <c r="GJ46" s="2">
        <v>0</v>
      </c>
      <c r="GK46" s="2">
        <v>0</v>
      </c>
      <c r="GL46" s="2">
        <v>0</v>
      </c>
      <c r="GM46" s="2">
        <v>0</v>
      </c>
      <c r="GN46" s="3">
        <v>0</v>
      </c>
      <c r="GO46" s="3">
        <v>0</v>
      </c>
      <c r="GP46" s="3">
        <v>0</v>
      </c>
      <c r="GQ46" s="3">
        <v>0</v>
      </c>
      <c r="GR46" s="3">
        <v>0</v>
      </c>
      <c r="GS46" s="3">
        <v>0</v>
      </c>
      <c r="GT46" s="3">
        <v>0</v>
      </c>
      <c r="GU46" s="3">
        <v>1</v>
      </c>
      <c r="GV46" s="3">
        <v>0</v>
      </c>
      <c r="GW46" s="3">
        <v>0</v>
      </c>
      <c r="GX46" s="3">
        <v>0</v>
      </c>
      <c r="GY46" s="3">
        <v>1</v>
      </c>
      <c r="GZ46" s="3">
        <v>0</v>
      </c>
      <c r="HA46" s="3">
        <v>0</v>
      </c>
      <c r="HB46" s="3">
        <v>0</v>
      </c>
      <c r="HC46" s="3">
        <v>0</v>
      </c>
      <c r="HD46" s="3">
        <v>0</v>
      </c>
      <c r="HE46" s="3">
        <v>0</v>
      </c>
      <c r="HF46" s="3">
        <v>0</v>
      </c>
      <c r="HG46" s="3">
        <v>0</v>
      </c>
      <c r="HH46" s="3">
        <v>0</v>
      </c>
      <c r="HI46" s="3">
        <v>1</v>
      </c>
      <c r="HJ46" s="3">
        <v>0</v>
      </c>
      <c r="HK46" s="3">
        <v>0</v>
      </c>
      <c r="HL46" s="3">
        <v>1</v>
      </c>
      <c r="HM46" s="3">
        <v>0</v>
      </c>
      <c r="HN46" s="3">
        <v>1</v>
      </c>
      <c r="HO46" s="3">
        <v>1</v>
      </c>
      <c r="HP46" s="3">
        <v>1</v>
      </c>
      <c r="HQ46" s="3">
        <v>0</v>
      </c>
      <c r="HR46" s="3">
        <v>0</v>
      </c>
      <c r="HS46" s="3">
        <v>0</v>
      </c>
      <c r="HT46" s="3">
        <v>0</v>
      </c>
      <c r="HU46" s="3">
        <v>0</v>
      </c>
      <c r="HV46" s="3">
        <v>0</v>
      </c>
      <c r="HW46" s="3">
        <v>1</v>
      </c>
      <c r="HX46" s="3">
        <v>0</v>
      </c>
      <c r="HY46" s="3">
        <v>0</v>
      </c>
      <c r="HZ46" s="3">
        <v>0</v>
      </c>
      <c r="IA46" s="3">
        <v>0</v>
      </c>
      <c r="IB46" s="3">
        <v>1</v>
      </c>
      <c r="IC46" s="3">
        <v>0</v>
      </c>
      <c r="ID46" s="3">
        <v>0</v>
      </c>
      <c r="IE46" s="3">
        <v>1</v>
      </c>
      <c r="IF46" s="3">
        <v>0</v>
      </c>
      <c r="IG46" s="3">
        <v>0</v>
      </c>
      <c r="IH46" s="3">
        <v>0</v>
      </c>
      <c r="II46" s="3">
        <v>1</v>
      </c>
      <c r="IJ46" s="3">
        <v>0</v>
      </c>
      <c r="IK46" s="3">
        <v>0</v>
      </c>
      <c r="IL46" s="3">
        <v>0</v>
      </c>
      <c r="IM46" s="3">
        <v>0</v>
      </c>
      <c r="IN46" s="3">
        <v>0</v>
      </c>
      <c r="IO46" s="3">
        <v>0</v>
      </c>
      <c r="IP46" s="3">
        <v>0</v>
      </c>
      <c r="IQ46" s="3">
        <v>0</v>
      </c>
      <c r="IR46" s="3" t="s">
        <v>504</v>
      </c>
      <c r="IS46" s="3">
        <v>4</v>
      </c>
      <c r="IT46" s="3">
        <v>1</v>
      </c>
      <c r="IU46" s="3">
        <v>1</v>
      </c>
      <c r="IV46" s="3">
        <v>0</v>
      </c>
      <c r="IW46" s="3">
        <v>1</v>
      </c>
      <c r="IX46" s="3">
        <v>0</v>
      </c>
      <c r="IY46" s="3">
        <v>0</v>
      </c>
      <c r="IZ46" s="2" t="s">
        <v>268</v>
      </c>
      <c r="JA46" s="2"/>
    </row>
    <row r="47" spans="1:261" ht="13.2" x14ac:dyDescent="0.25">
      <c r="A47" s="10" t="s">
        <v>274</v>
      </c>
      <c r="B47" s="2" t="s">
        <v>505</v>
      </c>
      <c r="C47" s="2" t="s">
        <v>276</v>
      </c>
      <c r="D47" s="2" t="s">
        <v>325</v>
      </c>
      <c r="E47" s="2">
        <v>41</v>
      </c>
      <c r="F47" s="11" t="s">
        <v>506</v>
      </c>
      <c r="G47" s="11" t="s">
        <v>507</v>
      </c>
      <c r="H47" s="2" t="s">
        <v>508</v>
      </c>
      <c r="I47" s="3">
        <v>4</v>
      </c>
      <c r="J47" s="3">
        <v>2</v>
      </c>
      <c r="K47" s="3">
        <v>2</v>
      </c>
      <c r="L47" s="3">
        <v>0</v>
      </c>
      <c r="M47" s="3">
        <v>0</v>
      </c>
      <c r="N47" s="3">
        <v>2</v>
      </c>
      <c r="O47" s="3">
        <v>2</v>
      </c>
      <c r="P47" s="3">
        <v>2</v>
      </c>
      <c r="Q47" s="3">
        <v>0</v>
      </c>
      <c r="R47" s="3">
        <v>1</v>
      </c>
      <c r="S47" s="3">
        <v>0</v>
      </c>
      <c r="T47" s="3">
        <v>0</v>
      </c>
      <c r="U47" s="3">
        <v>0</v>
      </c>
      <c r="V47" s="3">
        <v>4</v>
      </c>
      <c r="W47" s="3">
        <v>2</v>
      </c>
      <c r="X47" s="3">
        <v>2</v>
      </c>
      <c r="Y47" s="3">
        <v>0</v>
      </c>
      <c r="Z47" s="3">
        <v>0</v>
      </c>
      <c r="AA47" s="3">
        <v>0</v>
      </c>
      <c r="AB47" s="3">
        <v>0</v>
      </c>
      <c r="AC47" s="3">
        <v>0</v>
      </c>
      <c r="AD47" s="3">
        <v>0</v>
      </c>
      <c r="AE47" s="3">
        <v>2</v>
      </c>
      <c r="AF47" s="3">
        <v>1</v>
      </c>
      <c r="AG47" s="3">
        <v>1</v>
      </c>
      <c r="AH47" s="3">
        <v>1</v>
      </c>
      <c r="AI47" s="3">
        <v>0</v>
      </c>
      <c r="AJ47" s="3">
        <v>1</v>
      </c>
      <c r="AK47" s="3">
        <v>1</v>
      </c>
      <c r="AL47" s="3">
        <v>1</v>
      </c>
      <c r="AM47" s="3">
        <v>0</v>
      </c>
      <c r="AN47" s="3">
        <v>4</v>
      </c>
      <c r="AO47" s="3">
        <v>1</v>
      </c>
      <c r="AP47" s="3">
        <v>0</v>
      </c>
      <c r="AQ47" s="3">
        <v>0</v>
      </c>
      <c r="AR47" s="3">
        <v>1</v>
      </c>
      <c r="AS47" s="3">
        <v>2</v>
      </c>
      <c r="AT47" s="3">
        <v>0</v>
      </c>
      <c r="AU47" s="3">
        <v>1</v>
      </c>
      <c r="AV47" s="3">
        <v>0</v>
      </c>
      <c r="AW47" s="3">
        <v>4</v>
      </c>
      <c r="AX47" s="3">
        <v>2</v>
      </c>
      <c r="AY47" s="3">
        <v>2</v>
      </c>
      <c r="AZ47" s="3">
        <v>2</v>
      </c>
      <c r="BA47" s="3">
        <v>0</v>
      </c>
      <c r="BB47" s="3">
        <v>4</v>
      </c>
      <c r="BC47" s="3">
        <v>0</v>
      </c>
      <c r="BD47" s="3">
        <v>0</v>
      </c>
      <c r="BE47" s="3">
        <v>4</v>
      </c>
      <c r="BF47" s="3">
        <v>0</v>
      </c>
      <c r="BG47" s="3">
        <v>0</v>
      </c>
      <c r="BH47" s="3">
        <v>4</v>
      </c>
      <c r="BI47" s="3">
        <v>2</v>
      </c>
      <c r="BJ47" s="3">
        <v>2</v>
      </c>
      <c r="BK47" s="3">
        <v>1</v>
      </c>
      <c r="BL47" s="3">
        <v>0</v>
      </c>
      <c r="BM47" s="3" t="s">
        <v>509</v>
      </c>
      <c r="BN47" s="3">
        <v>4</v>
      </c>
      <c r="BO47" s="3">
        <v>2</v>
      </c>
      <c r="BP47" s="3">
        <v>2</v>
      </c>
      <c r="BQ47" s="3">
        <v>4</v>
      </c>
      <c r="BR47" s="3">
        <v>4</v>
      </c>
      <c r="BS47" s="3">
        <v>4</v>
      </c>
      <c r="BT47" s="3">
        <v>4</v>
      </c>
      <c r="BU47" s="2">
        <v>2</v>
      </c>
      <c r="BV47" s="2">
        <v>0</v>
      </c>
      <c r="BW47" s="2">
        <v>0</v>
      </c>
      <c r="BX47" s="2">
        <v>0</v>
      </c>
      <c r="BY47" s="2">
        <v>0</v>
      </c>
      <c r="BZ47" s="2">
        <v>0</v>
      </c>
      <c r="CA47" s="2">
        <v>0</v>
      </c>
      <c r="CB47" s="2">
        <v>2</v>
      </c>
      <c r="CC47" s="2">
        <v>4</v>
      </c>
      <c r="CD47" s="2">
        <v>4</v>
      </c>
      <c r="CE47" s="2">
        <v>2</v>
      </c>
      <c r="CF47" s="2">
        <v>2</v>
      </c>
      <c r="CG47" s="2">
        <v>1</v>
      </c>
      <c r="CH47" s="2">
        <v>0</v>
      </c>
      <c r="CI47" s="2">
        <v>1</v>
      </c>
      <c r="CJ47" s="2">
        <v>1</v>
      </c>
      <c r="CK47" s="2">
        <v>0</v>
      </c>
      <c r="CL47" s="2">
        <v>0</v>
      </c>
      <c r="CM47" s="2">
        <v>2</v>
      </c>
      <c r="CN47" s="2">
        <v>0</v>
      </c>
      <c r="CO47" s="2">
        <v>0</v>
      </c>
      <c r="CP47" s="2">
        <v>0</v>
      </c>
      <c r="CQ47" s="2">
        <v>0</v>
      </c>
      <c r="CR47" s="2">
        <v>0</v>
      </c>
      <c r="CS47" s="2">
        <v>2</v>
      </c>
      <c r="CT47" s="2">
        <v>2</v>
      </c>
      <c r="CU47" s="2">
        <v>0</v>
      </c>
      <c r="CV47" s="2">
        <v>0</v>
      </c>
      <c r="CW47" s="2">
        <v>0</v>
      </c>
      <c r="CX47" s="2">
        <v>0</v>
      </c>
      <c r="CY47" s="2">
        <v>0</v>
      </c>
      <c r="CZ47" s="2">
        <v>0</v>
      </c>
      <c r="DA47" s="2">
        <v>4</v>
      </c>
      <c r="DB47" s="2">
        <v>0</v>
      </c>
      <c r="DC47" s="2">
        <v>0</v>
      </c>
      <c r="DD47" s="2">
        <v>0</v>
      </c>
      <c r="DE47" s="2">
        <v>4</v>
      </c>
      <c r="DF47" s="2">
        <v>4</v>
      </c>
      <c r="DG47" s="2">
        <v>4</v>
      </c>
      <c r="DH47" s="2">
        <v>4</v>
      </c>
      <c r="DI47" s="2">
        <v>4</v>
      </c>
      <c r="DJ47" s="2">
        <v>4</v>
      </c>
      <c r="DK47" s="2">
        <v>4</v>
      </c>
      <c r="DL47" s="2">
        <v>0</v>
      </c>
      <c r="DM47" s="2">
        <v>0</v>
      </c>
      <c r="DN47" s="2">
        <v>0</v>
      </c>
      <c r="DO47" s="2">
        <v>0</v>
      </c>
      <c r="DP47" s="2">
        <v>0</v>
      </c>
      <c r="DQ47" s="2">
        <v>2</v>
      </c>
      <c r="DR47" s="2">
        <v>0</v>
      </c>
      <c r="DS47" s="2">
        <v>1</v>
      </c>
      <c r="DT47" s="2">
        <v>0</v>
      </c>
      <c r="DU47" s="2">
        <v>0</v>
      </c>
      <c r="DV47" s="2">
        <v>0</v>
      </c>
      <c r="DW47" s="2">
        <v>0</v>
      </c>
      <c r="DX47" s="2">
        <v>2</v>
      </c>
      <c r="DY47" s="2">
        <v>2</v>
      </c>
      <c r="DZ47" s="2">
        <v>0</v>
      </c>
      <c r="EA47" s="2">
        <v>0</v>
      </c>
      <c r="EB47" s="2">
        <v>4</v>
      </c>
      <c r="EC47" s="2">
        <v>4</v>
      </c>
      <c r="ED47" s="2">
        <v>0</v>
      </c>
      <c r="EE47" s="2">
        <v>2</v>
      </c>
      <c r="EF47" s="2">
        <v>0</v>
      </c>
      <c r="EG47" s="2">
        <v>1</v>
      </c>
      <c r="EH47" s="2">
        <v>0</v>
      </c>
      <c r="EI47" s="2">
        <v>1</v>
      </c>
      <c r="EJ47" s="2">
        <v>1</v>
      </c>
      <c r="EK47" s="2">
        <v>1</v>
      </c>
      <c r="EL47" s="2">
        <v>0</v>
      </c>
      <c r="EM47" s="2">
        <v>0</v>
      </c>
      <c r="EN47" s="2">
        <v>0</v>
      </c>
      <c r="EO47" s="2">
        <v>0</v>
      </c>
      <c r="EP47" s="2">
        <v>0</v>
      </c>
      <c r="EQ47" s="2">
        <v>2</v>
      </c>
      <c r="ER47" s="2">
        <v>0</v>
      </c>
      <c r="ES47" s="2">
        <v>0</v>
      </c>
      <c r="ET47" s="2">
        <v>0</v>
      </c>
      <c r="EU47" s="2">
        <v>2</v>
      </c>
      <c r="EV47" s="2">
        <v>0</v>
      </c>
      <c r="EW47" s="2">
        <v>0</v>
      </c>
      <c r="EX47" s="2">
        <v>2</v>
      </c>
      <c r="EY47" s="2">
        <v>0</v>
      </c>
      <c r="EZ47" s="2">
        <v>0</v>
      </c>
      <c r="FA47" s="2">
        <v>0</v>
      </c>
      <c r="FB47" s="2">
        <v>2</v>
      </c>
      <c r="FC47" s="2">
        <v>2</v>
      </c>
      <c r="FD47" s="2">
        <v>2</v>
      </c>
      <c r="FE47" s="2">
        <v>0</v>
      </c>
      <c r="FF47" s="2">
        <v>0</v>
      </c>
      <c r="FG47" s="2">
        <v>2</v>
      </c>
      <c r="FH47" s="2">
        <v>0</v>
      </c>
      <c r="FI47" s="2">
        <v>0</v>
      </c>
      <c r="FJ47" s="2">
        <v>0</v>
      </c>
      <c r="FK47" s="2">
        <v>4</v>
      </c>
      <c r="FL47" s="2">
        <v>4</v>
      </c>
      <c r="FM47" s="2">
        <v>0</v>
      </c>
      <c r="FN47" s="2">
        <v>0</v>
      </c>
      <c r="FO47" s="2">
        <v>0</v>
      </c>
      <c r="FP47" s="2">
        <v>0</v>
      </c>
      <c r="FQ47" s="2">
        <v>2</v>
      </c>
      <c r="FR47" s="2">
        <v>4</v>
      </c>
      <c r="FS47" s="2">
        <v>0</v>
      </c>
      <c r="FT47" s="2">
        <v>0</v>
      </c>
      <c r="FU47" s="2">
        <v>2</v>
      </c>
      <c r="FV47" s="2">
        <v>2</v>
      </c>
      <c r="FW47" s="2">
        <v>2</v>
      </c>
      <c r="FX47" s="2">
        <v>2</v>
      </c>
      <c r="FY47" s="2">
        <v>0</v>
      </c>
      <c r="FZ47" s="2">
        <v>0</v>
      </c>
      <c r="GA47" s="2">
        <v>0</v>
      </c>
      <c r="GB47" s="2">
        <v>2</v>
      </c>
      <c r="GC47" s="2" t="s">
        <v>510</v>
      </c>
      <c r="GD47" s="2">
        <v>3</v>
      </c>
      <c r="GE47" s="2">
        <v>3</v>
      </c>
      <c r="GF47" s="2">
        <v>3</v>
      </c>
      <c r="GG47" s="2">
        <v>3</v>
      </c>
      <c r="GH47" s="2">
        <v>3</v>
      </c>
      <c r="GI47" s="2">
        <v>3</v>
      </c>
      <c r="GJ47" s="2">
        <v>3</v>
      </c>
      <c r="GK47" s="2">
        <v>3</v>
      </c>
      <c r="GL47" s="2">
        <v>3</v>
      </c>
      <c r="GM47" s="2">
        <v>1</v>
      </c>
      <c r="GN47" s="3">
        <v>2</v>
      </c>
      <c r="GO47" s="3">
        <v>2</v>
      </c>
      <c r="GP47" s="3">
        <v>2</v>
      </c>
      <c r="GQ47" s="3">
        <v>2</v>
      </c>
      <c r="GR47" s="3">
        <v>2</v>
      </c>
      <c r="GS47" s="3">
        <v>0</v>
      </c>
      <c r="GT47" s="3">
        <v>0</v>
      </c>
      <c r="GU47" s="3">
        <v>4</v>
      </c>
      <c r="GV47" s="3">
        <v>2</v>
      </c>
      <c r="GW47" s="3">
        <v>0</v>
      </c>
      <c r="GX47" s="3">
        <v>0</v>
      </c>
      <c r="GY47" s="3">
        <v>4</v>
      </c>
      <c r="GZ47" s="3">
        <v>0</v>
      </c>
      <c r="HA47" s="3">
        <v>0</v>
      </c>
      <c r="HB47" s="3">
        <v>0</v>
      </c>
      <c r="HC47" s="3">
        <v>2</v>
      </c>
      <c r="HD47" s="3">
        <v>0</v>
      </c>
      <c r="HE47" s="3">
        <v>0</v>
      </c>
      <c r="HF47" s="3">
        <v>0</v>
      </c>
      <c r="HG47" s="3">
        <v>0</v>
      </c>
      <c r="HH47" s="3">
        <v>4</v>
      </c>
      <c r="HI47" s="3">
        <v>4</v>
      </c>
      <c r="HJ47" s="3">
        <v>2</v>
      </c>
      <c r="HK47" s="3">
        <v>2</v>
      </c>
      <c r="HL47" s="3">
        <v>0</v>
      </c>
      <c r="HM47" s="3">
        <v>0</v>
      </c>
      <c r="HN47" s="3">
        <v>0</v>
      </c>
      <c r="HO47" s="3">
        <v>4</v>
      </c>
      <c r="HP47" s="3">
        <v>4</v>
      </c>
      <c r="HQ47" s="3">
        <v>2</v>
      </c>
      <c r="HR47" s="3">
        <v>0</v>
      </c>
      <c r="HS47" s="3">
        <v>0</v>
      </c>
      <c r="HT47" s="3">
        <v>0</v>
      </c>
      <c r="HU47" s="3">
        <v>0</v>
      </c>
      <c r="HV47" s="3">
        <v>0</v>
      </c>
      <c r="HW47" s="3">
        <v>4</v>
      </c>
      <c r="HX47" s="3">
        <v>0</v>
      </c>
      <c r="HY47" s="3">
        <v>2</v>
      </c>
      <c r="HZ47" s="3">
        <v>4</v>
      </c>
      <c r="IA47" s="3">
        <v>4</v>
      </c>
      <c r="IB47" s="3">
        <v>4</v>
      </c>
      <c r="IC47" s="3">
        <v>0</v>
      </c>
      <c r="ID47" s="3">
        <v>0</v>
      </c>
      <c r="IE47" s="3">
        <v>2</v>
      </c>
      <c r="IF47" s="3">
        <v>0</v>
      </c>
      <c r="IG47" s="3">
        <v>0</v>
      </c>
      <c r="IH47" s="3">
        <v>0</v>
      </c>
      <c r="II47" s="3">
        <v>4</v>
      </c>
      <c r="IJ47" s="3">
        <v>0</v>
      </c>
      <c r="IK47" s="3">
        <v>0</v>
      </c>
      <c r="IL47" s="3">
        <v>0</v>
      </c>
      <c r="IM47" s="3">
        <v>2</v>
      </c>
      <c r="IN47" s="3">
        <v>4</v>
      </c>
      <c r="IO47" s="3">
        <v>2</v>
      </c>
      <c r="IP47" s="3">
        <v>0</v>
      </c>
      <c r="IQ47" s="3">
        <v>0</v>
      </c>
      <c r="IR47" s="3" t="s">
        <v>511</v>
      </c>
      <c r="IS47" s="3">
        <v>1</v>
      </c>
      <c r="IT47" s="3">
        <v>4</v>
      </c>
      <c r="IU47" s="3">
        <v>4</v>
      </c>
      <c r="IV47" s="3">
        <v>0</v>
      </c>
      <c r="IW47" s="3">
        <v>0</v>
      </c>
      <c r="IX47" s="3">
        <v>0</v>
      </c>
      <c r="IY47" s="3">
        <v>2</v>
      </c>
      <c r="IZ47" s="2" t="s">
        <v>268</v>
      </c>
      <c r="JA47" s="2"/>
    </row>
    <row r="48" spans="1:261" ht="13.2" x14ac:dyDescent="0.25">
      <c r="A48" s="10" t="s">
        <v>274</v>
      </c>
      <c r="B48" s="2" t="s">
        <v>512</v>
      </c>
      <c r="C48" s="2" t="s">
        <v>261</v>
      </c>
      <c r="D48" s="2" t="s">
        <v>325</v>
      </c>
      <c r="E48" s="2">
        <v>53</v>
      </c>
      <c r="F48" s="11" t="s">
        <v>513</v>
      </c>
      <c r="G48" s="11" t="s">
        <v>507</v>
      </c>
      <c r="H48" s="2" t="s">
        <v>514</v>
      </c>
      <c r="I48" s="3">
        <v>1</v>
      </c>
      <c r="J48" s="3">
        <v>0</v>
      </c>
      <c r="K48" s="3">
        <v>3</v>
      </c>
      <c r="L48" s="3">
        <v>1</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1</v>
      </c>
      <c r="AJ48" s="3">
        <v>1</v>
      </c>
      <c r="AK48" s="3">
        <v>1</v>
      </c>
      <c r="AL48" s="3">
        <v>0</v>
      </c>
      <c r="AM48" s="3">
        <v>0</v>
      </c>
      <c r="AN48" s="3">
        <v>0</v>
      </c>
      <c r="AO48" s="3">
        <v>0</v>
      </c>
      <c r="AP48" s="3">
        <v>0</v>
      </c>
      <c r="AQ48" s="3">
        <v>0</v>
      </c>
      <c r="AR48" s="3">
        <v>0</v>
      </c>
      <c r="AS48" s="3">
        <v>0</v>
      </c>
      <c r="AT48" s="3">
        <v>0</v>
      </c>
      <c r="AU48" s="3">
        <v>0</v>
      </c>
      <c r="AV48" s="3">
        <v>0</v>
      </c>
      <c r="AW48" s="3">
        <v>0</v>
      </c>
      <c r="AX48" s="3">
        <v>0</v>
      </c>
      <c r="AY48" s="3">
        <v>0</v>
      </c>
      <c r="AZ48" s="3">
        <v>1</v>
      </c>
      <c r="BA48" s="3">
        <v>0</v>
      </c>
      <c r="BB48" s="3">
        <v>0</v>
      </c>
      <c r="BC48" s="3">
        <v>0</v>
      </c>
      <c r="BD48" s="3">
        <v>0</v>
      </c>
      <c r="BE48" s="3">
        <v>0</v>
      </c>
      <c r="BF48" s="3">
        <v>0</v>
      </c>
      <c r="BG48" s="3">
        <v>0</v>
      </c>
      <c r="BH48" s="3">
        <v>0</v>
      </c>
      <c r="BI48" s="3">
        <v>0</v>
      </c>
      <c r="BJ48" s="3">
        <v>0</v>
      </c>
      <c r="BK48" s="3">
        <v>0</v>
      </c>
      <c r="BL48" s="3">
        <v>0</v>
      </c>
      <c r="BM48" s="3" t="s">
        <v>274</v>
      </c>
      <c r="BN48" s="3">
        <v>0</v>
      </c>
      <c r="BO48" s="3">
        <v>0</v>
      </c>
      <c r="BP48" s="3">
        <v>0</v>
      </c>
      <c r="BQ48" s="3">
        <v>0</v>
      </c>
      <c r="BR48" s="3">
        <v>0</v>
      </c>
      <c r="BS48" s="3">
        <v>0</v>
      </c>
      <c r="BT48" s="3">
        <v>0</v>
      </c>
      <c r="BU48" s="2">
        <v>0</v>
      </c>
      <c r="BV48" s="2">
        <v>0</v>
      </c>
      <c r="BW48" s="2">
        <v>0</v>
      </c>
      <c r="BX48" s="2">
        <v>0</v>
      </c>
      <c r="BY48" s="2">
        <v>0</v>
      </c>
      <c r="BZ48" s="2">
        <v>0</v>
      </c>
      <c r="CA48" s="2">
        <v>0</v>
      </c>
      <c r="CB48" s="2">
        <v>0</v>
      </c>
      <c r="CC48" s="2">
        <v>2</v>
      </c>
      <c r="CD48" s="2">
        <v>2</v>
      </c>
      <c r="CE48" s="2">
        <v>0</v>
      </c>
      <c r="CF48" s="2">
        <v>2</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2</v>
      </c>
      <c r="DA48" s="2">
        <v>2</v>
      </c>
      <c r="DB48" s="2">
        <v>1</v>
      </c>
      <c r="DC48" s="2">
        <v>0</v>
      </c>
      <c r="DD48" s="2">
        <v>0</v>
      </c>
      <c r="DE48" s="2">
        <v>0</v>
      </c>
      <c r="DF48" s="2">
        <v>0</v>
      </c>
      <c r="DG48" s="2">
        <v>0</v>
      </c>
      <c r="DH48" s="2">
        <v>2</v>
      </c>
      <c r="DI48" s="2">
        <v>2</v>
      </c>
      <c r="DJ48" s="2">
        <v>0</v>
      </c>
      <c r="DK48" s="2">
        <v>0</v>
      </c>
      <c r="DL48" s="2">
        <v>1</v>
      </c>
      <c r="DM48" s="2">
        <v>0</v>
      </c>
      <c r="DN48" s="2">
        <v>0</v>
      </c>
      <c r="DO48" s="2">
        <v>0</v>
      </c>
      <c r="DP48" s="2">
        <v>0</v>
      </c>
      <c r="DQ48" s="2">
        <v>0</v>
      </c>
      <c r="DR48" s="2">
        <v>0</v>
      </c>
      <c r="DS48" s="2">
        <v>0</v>
      </c>
      <c r="DT48" s="2">
        <v>0</v>
      </c>
      <c r="DU48" s="2">
        <v>0</v>
      </c>
      <c r="DV48" s="2">
        <v>0</v>
      </c>
      <c r="DW48" s="2">
        <v>0</v>
      </c>
      <c r="DX48" s="2">
        <v>1</v>
      </c>
      <c r="DY48" s="2">
        <v>0</v>
      </c>
      <c r="DZ48" s="2">
        <v>0</v>
      </c>
      <c r="EA48" s="2">
        <v>0</v>
      </c>
      <c r="EB48" s="2">
        <v>0</v>
      </c>
      <c r="EC48" s="2">
        <v>0</v>
      </c>
      <c r="ED48" s="2">
        <v>0</v>
      </c>
      <c r="EE48" s="2">
        <v>0</v>
      </c>
      <c r="EF48" s="2">
        <v>0</v>
      </c>
      <c r="EG48" s="2">
        <v>0</v>
      </c>
      <c r="EH48" s="2">
        <v>0</v>
      </c>
      <c r="EI48" s="2">
        <v>2</v>
      </c>
      <c r="EJ48" s="2">
        <v>1</v>
      </c>
      <c r="EK48" s="2">
        <v>0</v>
      </c>
      <c r="EL48" s="2">
        <v>0</v>
      </c>
      <c r="EM48" s="2">
        <v>0</v>
      </c>
      <c r="EN48" s="2">
        <v>0</v>
      </c>
      <c r="EO48" s="2">
        <v>0</v>
      </c>
      <c r="EP48" s="2">
        <v>0</v>
      </c>
      <c r="EQ48" s="2">
        <v>0</v>
      </c>
      <c r="ER48" s="2">
        <v>0</v>
      </c>
      <c r="ES48" s="2">
        <v>0</v>
      </c>
      <c r="ET48" s="2">
        <v>0</v>
      </c>
      <c r="EU48" s="2">
        <v>0</v>
      </c>
      <c r="EV48" s="2">
        <v>0</v>
      </c>
      <c r="EW48" s="2">
        <v>0</v>
      </c>
      <c r="EX48" s="2">
        <v>0</v>
      </c>
      <c r="EY48" s="2">
        <v>0</v>
      </c>
      <c r="EZ48" s="2">
        <v>0</v>
      </c>
      <c r="FA48" s="2">
        <v>0</v>
      </c>
      <c r="FB48" s="2">
        <v>0</v>
      </c>
      <c r="FC48" s="2">
        <v>0</v>
      </c>
      <c r="FD48" s="2">
        <v>0</v>
      </c>
      <c r="FE48" s="2">
        <v>0</v>
      </c>
      <c r="FF48" s="2">
        <v>0</v>
      </c>
      <c r="FG48" s="2">
        <v>0</v>
      </c>
      <c r="FH48" s="2">
        <v>0</v>
      </c>
      <c r="FI48" s="2">
        <v>0</v>
      </c>
      <c r="FJ48" s="2">
        <v>0</v>
      </c>
      <c r="FK48" s="2">
        <v>0</v>
      </c>
      <c r="FL48" s="2">
        <v>0</v>
      </c>
      <c r="FM48" s="2">
        <v>0</v>
      </c>
      <c r="FN48" s="2">
        <v>0</v>
      </c>
      <c r="FO48" s="2">
        <v>0</v>
      </c>
      <c r="FP48" s="2">
        <v>0</v>
      </c>
      <c r="FQ48" s="2">
        <v>1</v>
      </c>
      <c r="FR48" s="2">
        <v>0</v>
      </c>
      <c r="FS48" s="2">
        <v>0</v>
      </c>
      <c r="FT48" s="2">
        <v>0</v>
      </c>
      <c r="FU48" s="2">
        <v>0</v>
      </c>
      <c r="FV48" s="2">
        <v>0</v>
      </c>
      <c r="FW48" s="2">
        <v>0</v>
      </c>
      <c r="FX48" s="2">
        <v>0</v>
      </c>
      <c r="FY48" s="2">
        <v>0</v>
      </c>
      <c r="FZ48" s="2">
        <v>0</v>
      </c>
      <c r="GA48" s="2">
        <v>0</v>
      </c>
      <c r="GB48" s="2">
        <v>0</v>
      </c>
      <c r="GC48" s="2" t="s">
        <v>274</v>
      </c>
      <c r="GD48" s="2">
        <v>0</v>
      </c>
      <c r="GE48" s="2">
        <v>0</v>
      </c>
      <c r="GF48" s="2">
        <v>0</v>
      </c>
      <c r="GG48" s="2">
        <v>0</v>
      </c>
      <c r="GH48" s="2">
        <v>0</v>
      </c>
      <c r="GI48" s="2">
        <v>0</v>
      </c>
      <c r="GJ48" s="2">
        <v>0</v>
      </c>
      <c r="GK48" s="2">
        <v>0</v>
      </c>
      <c r="GL48" s="2">
        <v>0</v>
      </c>
      <c r="GM48" s="2">
        <v>0</v>
      </c>
      <c r="GN48" s="3">
        <v>0</v>
      </c>
      <c r="GO48" s="3">
        <v>0</v>
      </c>
      <c r="GP48" s="3">
        <v>0</v>
      </c>
      <c r="GQ48" s="3">
        <v>0</v>
      </c>
      <c r="GR48" s="3">
        <v>0</v>
      </c>
      <c r="GS48" s="3">
        <v>0</v>
      </c>
      <c r="GT48" s="3">
        <v>0</v>
      </c>
      <c r="GU48" s="3">
        <v>0</v>
      </c>
      <c r="GV48" s="3">
        <v>0</v>
      </c>
      <c r="GW48" s="3">
        <v>0</v>
      </c>
      <c r="GX48" s="3">
        <v>0</v>
      </c>
      <c r="GY48" s="3">
        <v>0</v>
      </c>
      <c r="GZ48" s="3">
        <v>0</v>
      </c>
      <c r="HA48" s="3">
        <v>0</v>
      </c>
      <c r="HB48" s="3">
        <v>0</v>
      </c>
      <c r="HC48" s="3">
        <v>0</v>
      </c>
      <c r="HD48" s="3">
        <v>0</v>
      </c>
      <c r="HE48" s="3">
        <v>0</v>
      </c>
      <c r="HF48" s="3">
        <v>0</v>
      </c>
      <c r="HG48" s="3">
        <v>0</v>
      </c>
      <c r="HH48" s="3">
        <v>0</v>
      </c>
      <c r="HI48" s="3">
        <v>0</v>
      </c>
      <c r="HJ48" s="3">
        <v>0</v>
      </c>
      <c r="HK48" s="3">
        <v>0</v>
      </c>
      <c r="HL48" s="3">
        <v>0</v>
      </c>
      <c r="HM48" s="3">
        <v>0</v>
      </c>
      <c r="HN48" s="3">
        <v>0</v>
      </c>
      <c r="HO48" s="3">
        <v>0</v>
      </c>
      <c r="HP48" s="3">
        <v>0</v>
      </c>
      <c r="HQ48" s="3">
        <v>0</v>
      </c>
      <c r="HR48" s="3">
        <v>0</v>
      </c>
      <c r="HS48" s="3">
        <v>0</v>
      </c>
      <c r="HT48" s="3">
        <v>0</v>
      </c>
      <c r="HU48" s="3">
        <v>0</v>
      </c>
      <c r="HV48" s="3">
        <v>0</v>
      </c>
      <c r="HW48" s="3">
        <v>0</v>
      </c>
      <c r="HX48" s="3">
        <v>0</v>
      </c>
      <c r="HY48" s="3">
        <v>0</v>
      </c>
      <c r="HZ48" s="3">
        <v>0</v>
      </c>
      <c r="IA48" s="3">
        <v>0</v>
      </c>
      <c r="IB48" s="3">
        <v>0</v>
      </c>
      <c r="IC48" s="3">
        <v>0</v>
      </c>
      <c r="ID48" s="3">
        <v>0</v>
      </c>
      <c r="IE48" s="3">
        <v>0</v>
      </c>
      <c r="IF48" s="3">
        <v>0</v>
      </c>
      <c r="IG48" s="3">
        <v>0</v>
      </c>
      <c r="IH48" s="3">
        <v>0</v>
      </c>
      <c r="II48" s="3">
        <v>0</v>
      </c>
      <c r="IJ48" s="3">
        <v>0</v>
      </c>
      <c r="IK48" s="3">
        <v>0</v>
      </c>
      <c r="IL48" s="3">
        <v>0</v>
      </c>
      <c r="IM48" s="3">
        <v>0</v>
      </c>
      <c r="IN48" s="3">
        <v>0</v>
      </c>
      <c r="IO48" s="3">
        <v>0</v>
      </c>
      <c r="IP48" s="3">
        <v>0</v>
      </c>
      <c r="IQ48" s="3">
        <v>0</v>
      </c>
      <c r="IR48" s="3" t="s">
        <v>274</v>
      </c>
      <c r="IS48" s="3">
        <v>2</v>
      </c>
      <c r="IT48" s="3">
        <v>0</v>
      </c>
      <c r="IU48" s="3">
        <v>0</v>
      </c>
      <c r="IV48" s="3">
        <v>0</v>
      </c>
      <c r="IW48" s="3">
        <v>0</v>
      </c>
      <c r="IX48" s="3">
        <v>0</v>
      </c>
      <c r="IY48" s="3">
        <v>0</v>
      </c>
      <c r="IZ48" s="2" t="s">
        <v>268</v>
      </c>
      <c r="JA48" s="2"/>
    </row>
    <row r="49" spans="1:261" ht="13.2" x14ac:dyDescent="0.25">
      <c r="A49" s="10" t="s">
        <v>274</v>
      </c>
      <c r="B49" s="2" t="s">
        <v>515</v>
      </c>
      <c r="C49" s="2" t="s">
        <v>276</v>
      </c>
      <c r="D49" s="2" t="s">
        <v>270</v>
      </c>
      <c r="E49" s="2">
        <v>20</v>
      </c>
      <c r="F49" s="11" t="s">
        <v>516</v>
      </c>
      <c r="G49" s="11" t="s">
        <v>517</v>
      </c>
      <c r="H49" s="2" t="s">
        <v>518</v>
      </c>
      <c r="I49" s="3">
        <v>3</v>
      </c>
      <c r="J49" s="3">
        <v>4</v>
      </c>
      <c r="K49" s="3">
        <v>3</v>
      </c>
      <c r="L49" s="3">
        <v>2</v>
      </c>
      <c r="M49" s="3">
        <v>3</v>
      </c>
      <c r="N49" s="3">
        <v>1</v>
      </c>
      <c r="O49" s="3">
        <v>3</v>
      </c>
      <c r="P49" s="3">
        <v>2</v>
      </c>
      <c r="Q49" s="3">
        <v>0</v>
      </c>
      <c r="R49" s="3">
        <v>1</v>
      </c>
      <c r="S49" s="3">
        <v>0</v>
      </c>
      <c r="T49" s="3">
        <v>0</v>
      </c>
      <c r="U49" s="3">
        <v>0</v>
      </c>
      <c r="V49" s="3">
        <v>0</v>
      </c>
      <c r="W49" s="3">
        <v>0</v>
      </c>
      <c r="X49" s="3">
        <v>0</v>
      </c>
      <c r="Y49" s="3">
        <v>0</v>
      </c>
      <c r="Z49" s="3">
        <v>0</v>
      </c>
      <c r="AA49" s="3">
        <v>3</v>
      </c>
      <c r="AB49" s="3">
        <v>3</v>
      </c>
      <c r="AC49" s="3">
        <v>3</v>
      </c>
      <c r="AD49" s="3">
        <v>2</v>
      </c>
      <c r="AE49" s="3">
        <v>1</v>
      </c>
      <c r="AF49" s="3">
        <v>1</v>
      </c>
      <c r="AG49" s="3">
        <v>3</v>
      </c>
      <c r="AH49" s="3">
        <v>1</v>
      </c>
      <c r="AI49" s="3">
        <v>2</v>
      </c>
      <c r="AJ49" s="3">
        <v>2</v>
      </c>
      <c r="AK49" s="3">
        <v>2</v>
      </c>
      <c r="AL49" s="3">
        <v>2</v>
      </c>
      <c r="AM49" s="3">
        <v>3</v>
      </c>
      <c r="AN49" s="3">
        <v>0</v>
      </c>
      <c r="AO49" s="3">
        <v>1</v>
      </c>
      <c r="AP49" s="3">
        <v>2</v>
      </c>
      <c r="AQ49" s="3">
        <v>2</v>
      </c>
      <c r="AR49" s="3">
        <v>2</v>
      </c>
      <c r="AS49" s="3">
        <v>2</v>
      </c>
      <c r="AT49" s="3">
        <v>2</v>
      </c>
      <c r="AU49" s="3">
        <v>3</v>
      </c>
      <c r="AV49" s="3">
        <v>2</v>
      </c>
      <c r="AW49" s="3">
        <v>1</v>
      </c>
      <c r="AX49" s="3">
        <v>1</v>
      </c>
      <c r="AY49" s="3">
        <v>2</v>
      </c>
      <c r="AZ49" s="3">
        <v>3</v>
      </c>
      <c r="BA49" s="3">
        <v>1</v>
      </c>
      <c r="BB49" s="3">
        <v>3</v>
      </c>
      <c r="BC49" s="3">
        <v>0</v>
      </c>
      <c r="BD49" s="3">
        <v>3</v>
      </c>
      <c r="BE49" s="3">
        <v>3</v>
      </c>
      <c r="BF49" s="3">
        <v>2</v>
      </c>
      <c r="BG49" s="3">
        <v>3</v>
      </c>
      <c r="BH49" s="3">
        <v>2</v>
      </c>
      <c r="BI49" s="3">
        <v>2</v>
      </c>
      <c r="BJ49" s="3">
        <v>3</v>
      </c>
      <c r="BK49" s="3">
        <v>1</v>
      </c>
      <c r="BL49" s="3">
        <v>0</v>
      </c>
      <c r="BM49" s="3" t="s">
        <v>519</v>
      </c>
      <c r="BN49" s="3">
        <v>3</v>
      </c>
      <c r="BO49" s="3">
        <v>1</v>
      </c>
      <c r="BP49" s="3">
        <v>1</v>
      </c>
      <c r="BQ49" s="3">
        <v>1</v>
      </c>
      <c r="BR49" s="3">
        <v>2</v>
      </c>
      <c r="BS49" s="3">
        <v>4</v>
      </c>
      <c r="BT49" s="3">
        <v>0</v>
      </c>
      <c r="BU49" s="2">
        <v>4</v>
      </c>
      <c r="BV49" s="2">
        <v>2</v>
      </c>
      <c r="BW49" s="2">
        <v>3</v>
      </c>
      <c r="BX49" s="2">
        <v>0</v>
      </c>
      <c r="BY49" s="2">
        <v>0</v>
      </c>
      <c r="BZ49" s="2">
        <v>1</v>
      </c>
      <c r="CA49" s="2">
        <v>0</v>
      </c>
      <c r="CB49" s="2">
        <v>0</v>
      </c>
      <c r="CC49" s="2">
        <v>0</v>
      </c>
      <c r="CD49" s="2">
        <v>2</v>
      </c>
      <c r="CE49" s="2">
        <v>2</v>
      </c>
      <c r="CF49" s="2">
        <v>2</v>
      </c>
      <c r="CG49" s="2">
        <v>0</v>
      </c>
      <c r="CH49" s="2">
        <v>2</v>
      </c>
      <c r="CI49" s="2">
        <v>0</v>
      </c>
      <c r="CJ49" s="2">
        <v>0</v>
      </c>
      <c r="CK49" s="2">
        <v>0</v>
      </c>
      <c r="CL49" s="2">
        <v>2</v>
      </c>
      <c r="CM49" s="2">
        <v>0</v>
      </c>
      <c r="CN49" s="2">
        <v>0</v>
      </c>
      <c r="CO49" s="2">
        <v>0</v>
      </c>
      <c r="CP49" s="2">
        <v>0</v>
      </c>
      <c r="CQ49" s="2">
        <v>3</v>
      </c>
      <c r="CR49" s="2">
        <v>2</v>
      </c>
      <c r="CS49" s="2">
        <v>3</v>
      </c>
      <c r="CT49" s="2">
        <v>0</v>
      </c>
      <c r="CU49" s="2">
        <v>2</v>
      </c>
      <c r="CV49" s="2">
        <v>0</v>
      </c>
      <c r="CW49" s="2">
        <v>0</v>
      </c>
      <c r="CX49" s="2">
        <v>0</v>
      </c>
      <c r="CY49" s="2">
        <v>0</v>
      </c>
      <c r="CZ49" s="2">
        <v>0</v>
      </c>
      <c r="DA49" s="2">
        <v>0</v>
      </c>
      <c r="DB49" s="2">
        <v>0</v>
      </c>
      <c r="DC49" s="2">
        <v>0</v>
      </c>
      <c r="DD49" s="2">
        <v>0</v>
      </c>
      <c r="DE49" s="2">
        <v>0</v>
      </c>
      <c r="DF49" s="2">
        <v>0</v>
      </c>
      <c r="DG49" s="2">
        <v>2</v>
      </c>
      <c r="DH49" s="2">
        <v>0</v>
      </c>
      <c r="DI49" s="2">
        <v>0</v>
      </c>
      <c r="DJ49" s="2">
        <v>0</v>
      </c>
      <c r="DK49" s="2">
        <v>0</v>
      </c>
      <c r="DL49" s="2">
        <v>2</v>
      </c>
      <c r="DM49" s="2">
        <v>0</v>
      </c>
      <c r="DN49" s="2">
        <v>0</v>
      </c>
      <c r="DO49" s="2">
        <v>0</v>
      </c>
      <c r="DP49" s="2">
        <v>2</v>
      </c>
      <c r="DQ49" s="2">
        <v>2</v>
      </c>
      <c r="DR49" s="2">
        <v>1</v>
      </c>
      <c r="DS49" s="2">
        <v>1</v>
      </c>
      <c r="DT49" s="2">
        <v>2</v>
      </c>
      <c r="DU49" s="2">
        <v>0</v>
      </c>
      <c r="DV49" s="2">
        <v>0</v>
      </c>
      <c r="DW49" s="2">
        <v>0</v>
      </c>
      <c r="DX49" s="2">
        <v>1</v>
      </c>
      <c r="DY49" s="2">
        <v>0</v>
      </c>
      <c r="DZ49" s="2">
        <v>0</v>
      </c>
      <c r="EA49" s="2">
        <v>0</v>
      </c>
      <c r="EB49" s="2">
        <v>0</v>
      </c>
      <c r="EC49" s="2">
        <v>1</v>
      </c>
      <c r="ED49" s="2">
        <v>1</v>
      </c>
      <c r="EE49" s="2">
        <v>1</v>
      </c>
      <c r="EF49" s="2">
        <v>1</v>
      </c>
      <c r="EG49" s="2">
        <v>0</v>
      </c>
      <c r="EH49" s="2">
        <v>0</v>
      </c>
      <c r="EI49" s="2">
        <v>0</v>
      </c>
      <c r="EJ49" s="2">
        <v>3</v>
      </c>
      <c r="EK49" s="2">
        <v>3</v>
      </c>
      <c r="EL49" s="2">
        <v>1</v>
      </c>
      <c r="EM49" s="2">
        <v>0</v>
      </c>
      <c r="EN49" s="2">
        <v>2</v>
      </c>
      <c r="EO49" s="2">
        <v>0</v>
      </c>
      <c r="EP49" s="2">
        <v>1</v>
      </c>
      <c r="EQ49" s="2">
        <v>0</v>
      </c>
      <c r="ER49" s="2">
        <v>0</v>
      </c>
      <c r="ES49" s="2">
        <v>0</v>
      </c>
      <c r="ET49" s="2">
        <v>0</v>
      </c>
      <c r="EU49" s="2">
        <v>0</v>
      </c>
      <c r="EV49" s="2">
        <v>1</v>
      </c>
      <c r="EW49" s="2">
        <v>2</v>
      </c>
      <c r="EX49" s="2">
        <v>2</v>
      </c>
      <c r="EY49" s="2">
        <v>0</v>
      </c>
      <c r="EZ49" s="2">
        <v>0</v>
      </c>
      <c r="FA49" s="2">
        <v>0</v>
      </c>
      <c r="FB49" s="2">
        <v>1</v>
      </c>
      <c r="FC49" s="2">
        <v>2</v>
      </c>
      <c r="FD49" s="2">
        <v>2</v>
      </c>
      <c r="FE49" s="2">
        <v>0</v>
      </c>
      <c r="FF49" s="2">
        <v>1</v>
      </c>
      <c r="FG49" s="2">
        <v>2</v>
      </c>
      <c r="FH49" s="2">
        <v>2</v>
      </c>
      <c r="FI49" s="2">
        <v>0</v>
      </c>
      <c r="FJ49" s="2">
        <v>0</v>
      </c>
      <c r="FK49" s="2">
        <v>2</v>
      </c>
      <c r="FL49" s="2">
        <v>2</v>
      </c>
      <c r="FM49" s="2">
        <v>1</v>
      </c>
      <c r="FN49" s="2">
        <v>1</v>
      </c>
      <c r="FO49" s="2">
        <v>1</v>
      </c>
      <c r="FP49" s="2">
        <v>1</v>
      </c>
      <c r="FQ49" s="2">
        <v>1</v>
      </c>
      <c r="FR49" s="2">
        <v>1</v>
      </c>
      <c r="FS49" s="2">
        <v>0</v>
      </c>
      <c r="FT49" s="2">
        <v>0</v>
      </c>
      <c r="FU49" s="2">
        <v>0</v>
      </c>
      <c r="FV49" s="2">
        <v>2</v>
      </c>
      <c r="FW49" s="2">
        <v>2</v>
      </c>
      <c r="FX49" s="2">
        <v>0</v>
      </c>
      <c r="FY49" s="2">
        <v>0</v>
      </c>
      <c r="FZ49" s="2">
        <v>0</v>
      </c>
      <c r="GA49" s="2">
        <v>0</v>
      </c>
      <c r="GB49" s="2">
        <v>2</v>
      </c>
      <c r="GC49" s="2" t="s">
        <v>520</v>
      </c>
      <c r="GD49" s="2">
        <v>1</v>
      </c>
      <c r="GE49" s="2">
        <v>0</v>
      </c>
      <c r="GF49" s="2">
        <v>0</v>
      </c>
      <c r="GG49" s="2">
        <v>2</v>
      </c>
      <c r="GH49" s="2">
        <v>2</v>
      </c>
      <c r="GI49" s="2">
        <v>0</v>
      </c>
      <c r="GJ49" s="2">
        <v>0</v>
      </c>
      <c r="GK49" s="2">
        <v>0</v>
      </c>
      <c r="GL49" s="2">
        <v>1</v>
      </c>
      <c r="GM49" s="2">
        <v>0</v>
      </c>
      <c r="GN49" s="3">
        <v>2</v>
      </c>
      <c r="GO49" s="3">
        <v>2</v>
      </c>
      <c r="GP49" s="3">
        <v>2</v>
      </c>
      <c r="GQ49" s="3">
        <v>3</v>
      </c>
      <c r="GR49" s="3">
        <v>2</v>
      </c>
      <c r="GS49" s="3">
        <v>2</v>
      </c>
      <c r="GT49" s="3">
        <v>3</v>
      </c>
      <c r="GU49" s="3">
        <v>1</v>
      </c>
      <c r="GV49" s="3">
        <v>2</v>
      </c>
      <c r="GW49" s="3">
        <v>0</v>
      </c>
      <c r="GX49" s="3">
        <v>1</v>
      </c>
      <c r="GY49" s="3">
        <v>0</v>
      </c>
      <c r="GZ49" s="3">
        <v>3</v>
      </c>
      <c r="HA49" s="3">
        <v>4</v>
      </c>
      <c r="HB49" s="3">
        <v>2</v>
      </c>
      <c r="HC49" s="3">
        <v>0</v>
      </c>
      <c r="HD49" s="3">
        <v>0</v>
      </c>
      <c r="HE49" s="3">
        <v>0</v>
      </c>
      <c r="HF49" s="3">
        <v>0</v>
      </c>
      <c r="HG49" s="3">
        <v>0</v>
      </c>
      <c r="HH49" s="3">
        <v>0</v>
      </c>
      <c r="HI49" s="3">
        <v>0</v>
      </c>
      <c r="HJ49" s="3">
        <v>0</v>
      </c>
      <c r="HK49" s="3">
        <v>1</v>
      </c>
      <c r="HL49" s="3">
        <v>0</v>
      </c>
      <c r="HM49" s="3">
        <v>0</v>
      </c>
      <c r="HN49" s="3">
        <v>0</v>
      </c>
      <c r="HO49" s="3">
        <v>2</v>
      </c>
      <c r="HP49" s="3">
        <v>0</v>
      </c>
      <c r="HQ49" s="3">
        <v>2</v>
      </c>
      <c r="HR49" s="3">
        <v>2</v>
      </c>
      <c r="HS49" s="3">
        <v>1</v>
      </c>
      <c r="HT49" s="3">
        <v>0</v>
      </c>
      <c r="HU49" s="3">
        <v>0</v>
      </c>
      <c r="HV49" s="3">
        <v>2</v>
      </c>
      <c r="HW49" s="3">
        <v>0</v>
      </c>
      <c r="HX49" s="3">
        <v>0</v>
      </c>
      <c r="HY49" s="3">
        <v>3</v>
      </c>
      <c r="HZ49" s="3">
        <v>0</v>
      </c>
      <c r="IA49" s="3">
        <v>2</v>
      </c>
      <c r="IB49" s="3">
        <v>0</v>
      </c>
      <c r="IC49" s="3">
        <v>0</v>
      </c>
      <c r="ID49" s="3">
        <v>2</v>
      </c>
      <c r="IE49" s="3">
        <v>0</v>
      </c>
      <c r="IF49" s="3">
        <v>0</v>
      </c>
      <c r="IG49" s="3">
        <v>1</v>
      </c>
      <c r="IH49" s="3">
        <v>0</v>
      </c>
      <c r="II49" s="3">
        <v>0</v>
      </c>
      <c r="IJ49" s="3">
        <v>1</v>
      </c>
      <c r="IK49" s="3">
        <v>1</v>
      </c>
      <c r="IL49" s="3">
        <v>3</v>
      </c>
      <c r="IM49" s="3">
        <v>1</v>
      </c>
      <c r="IN49" s="3">
        <v>0</v>
      </c>
      <c r="IO49" s="3">
        <v>0</v>
      </c>
      <c r="IP49" s="3">
        <v>3</v>
      </c>
      <c r="IQ49" s="3">
        <v>3</v>
      </c>
      <c r="IR49" s="3" t="s">
        <v>274</v>
      </c>
      <c r="IS49" s="3">
        <v>1</v>
      </c>
      <c r="IT49" s="3">
        <v>3</v>
      </c>
      <c r="IU49" s="3">
        <v>0</v>
      </c>
      <c r="IV49" s="3">
        <v>2</v>
      </c>
      <c r="IW49" s="3">
        <v>1</v>
      </c>
      <c r="IX49" s="3">
        <v>0</v>
      </c>
      <c r="IY49" s="3">
        <v>3</v>
      </c>
      <c r="IZ49" s="2" t="s">
        <v>268</v>
      </c>
      <c r="JA49" s="2"/>
    </row>
    <row r="50" spans="1:261" ht="13.2" x14ac:dyDescent="0.25">
      <c r="A50" s="10" t="s">
        <v>274</v>
      </c>
      <c r="B50" s="2" t="s">
        <v>521</v>
      </c>
      <c r="C50" s="2" t="s">
        <v>276</v>
      </c>
      <c r="D50" s="2" t="s">
        <v>270</v>
      </c>
      <c r="E50" s="2">
        <v>16</v>
      </c>
      <c r="F50" s="11" t="s">
        <v>522</v>
      </c>
      <c r="G50" s="11" t="s">
        <v>523</v>
      </c>
      <c r="H50" s="2" t="s">
        <v>524</v>
      </c>
      <c r="I50" s="3">
        <v>2</v>
      </c>
      <c r="J50" s="3">
        <v>3</v>
      </c>
      <c r="K50" s="3">
        <v>2</v>
      </c>
      <c r="L50" s="3">
        <v>3</v>
      </c>
      <c r="M50" s="3">
        <v>4</v>
      </c>
      <c r="N50" s="3">
        <v>3</v>
      </c>
      <c r="O50" s="3">
        <v>3</v>
      </c>
      <c r="P50" s="3">
        <v>4</v>
      </c>
      <c r="Q50" s="3">
        <v>4</v>
      </c>
      <c r="R50" s="3">
        <v>4</v>
      </c>
      <c r="S50" s="3">
        <v>3</v>
      </c>
      <c r="T50" s="3">
        <v>3</v>
      </c>
      <c r="U50" s="3">
        <v>4</v>
      </c>
      <c r="V50" s="3">
        <v>1</v>
      </c>
      <c r="W50" s="3">
        <v>3</v>
      </c>
      <c r="X50" s="3">
        <v>4</v>
      </c>
      <c r="Y50" s="3">
        <v>4</v>
      </c>
      <c r="Z50" s="3">
        <v>3</v>
      </c>
      <c r="AA50" s="3">
        <v>4</v>
      </c>
      <c r="AB50" s="3">
        <v>4</v>
      </c>
      <c r="AC50" s="3">
        <v>4</v>
      </c>
      <c r="AD50" s="3">
        <v>3</v>
      </c>
      <c r="AE50" s="3">
        <v>4</v>
      </c>
      <c r="AF50" s="3">
        <v>0</v>
      </c>
      <c r="AG50" s="3">
        <v>0</v>
      </c>
      <c r="AH50" s="3">
        <v>0</v>
      </c>
      <c r="AI50" s="3">
        <v>4</v>
      </c>
      <c r="AJ50" s="3">
        <v>4</v>
      </c>
      <c r="AK50" s="3">
        <v>3</v>
      </c>
      <c r="AL50" s="3">
        <v>3</v>
      </c>
      <c r="AM50" s="3">
        <v>3</v>
      </c>
      <c r="AN50" s="3">
        <v>1</v>
      </c>
      <c r="AO50" s="3">
        <v>3</v>
      </c>
      <c r="AP50" s="3">
        <v>3</v>
      </c>
      <c r="AQ50" s="3">
        <v>2</v>
      </c>
      <c r="AR50" s="3">
        <v>3</v>
      </c>
      <c r="AS50" s="3">
        <v>2</v>
      </c>
      <c r="AT50" s="3">
        <v>2</v>
      </c>
      <c r="AU50" s="3">
        <v>2</v>
      </c>
      <c r="AV50" s="3">
        <v>2</v>
      </c>
      <c r="AW50" s="3">
        <v>2</v>
      </c>
      <c r="AX50" s="3">
        <v>4</v>
      </c>
      <c r="AY50" s="3">
        <v>4</v>
      </c>
      <c r="AZ50" s="3">
        <v>4</v>
      </c>
      <c r="BA50" s="3">
        <v>4</v>
      </c>
      <c r="BB50" s="3">
        <v>3</v>
      </c>
      <c r="BC50" s="3">
        <v>3</v>
      </c>
      <c r="BD50" s="3">
        <v>3</v>
      </c>
      <c r="BE50" s="3">
        <v>3</v>
      </c>
      <c r="BF50" s="3">
        <v>2</v>
      </c>
      <c r="BG50" s="3">
        <v>3</v>
      </c>
      <c r="BH50" s="3">
        <v>3</v>
      </c>
      <c r="BI50" s="3">
        <v>3</v>
      </c>
      <c r="BJ50" s="3">
        <v>4</v>
      </c>
      <c r="BK50" s="3">
        <v>3</v>
      </c>
      <c r="BL50" s="3">
        <v>3</v>
      </c>
      <c r="BM50" s="3" t="s">
        <v>274</v>
      </c>
      <c r="BN50" s="3">
        <v>4</v>
      </c>
      <c r="BO50" s="3">
        <v>4</v>
      </c>
      <c r="BP50" s="3">
        <v>3</v>
      </c>
      <c r="BQ50" s="3">
        <v>3</v>
      </c>
      <c r="BR50" s="3">
        <v>3</v>
      </c>
      <c r="BS50" s="3">
        <v>3</v>
      </c>
      <c r="BT50" s="3">
        <v>3</v>
      </c>
      <c r="BU50" s="2">
        <v>3</v>
      </c>
      <c r="BV50" s="2">
        <v>3</v>
      </c>
      <c r="BW50" s="2">
        <v>3</v>
      </c>
      <c r="BX50" s="2">
        <v>3</v>
      </c>
      <c r="BY50" s="2">
        <v>3</v>
      </c>
      <c r="BZ50" s="2">
        <v>4</v>
      </c>
      <c r="CA50" s="2">
        <v>4</v>
      </c>
      <c r="CB50" s="2">
        <v>4</v>
      </c>
      <c r="CC50" s="2">
        <v>4</v>
      </c>
      <c r="CD50" s="2">
        <v>4</v>
      </c>
      <c r="CE50" s="2">
        <v>2</v>
      </c>
      <c r="CF50" s="2">
        <v>4</v>
      </c>
      <c r="CG50" s="2">
        <v>4</v>
      </c>
      <c r="CH50" s="2">
        <v>4</v>
      </c>
      <c r="CI50" s="2">
        <v>2</v>
      </c>
      <c r="CJ50" s="2">
        <v>2</v>
      </c>
      <c r="CK50" s="2">
        <v>4</v>
      </c>
      <c r="CL50" s="2">
        <v>4</v>
      </c>
      <c r="CM50" s="2">
        <v>2</v>
      </c>
      <c r="CN50" s="2">
        <v>2</v>
      </c>
      <c r="CO50" s="2">
        <v>2</v>
      </c>
      <c r="CP50" s="2">
        <v>2</v>
      </c>
      <c r="CQ50" s="2">
        <v>2</v>
      </c>
      <c r="CR50" s="2">
        <v>3</v>
      </c>
      <c r="CS50" s="2">
        <v>2</v>
      </c>
      <c r="CT50" s="2">
        <v>2</v>
      </c>
      <c r="CU50" s="2">
        <v>3</v>
      </c>
      <c r="CV50" s="2">
        <v>2</v>
      </c>
      <c r="CW50" s="2">
        <v>3</v>
      </c>
      <c r="CX50" s="2">
        <v>3</v>
      </c>
      <c r="CY50" s="2">
        <v>4</v>
      </c>
      <c r="CZ50" s="2">
        <v>4</v>
      </c>
      <c r="DA50" s="2">
        <v>4</v>
      </c>
      <c r="DB50" s="2">
        <v>2</v>
      </c>
      <c r="DC50" s="2">
        <v>4</v>
      </c>
      <c r="DD50" s="2">
        <v>4</v>
      </c>
      <c r="DE50" s="2">
        <v>2</v>
      </c>
      <c r="DF50" s="2">
        <v>4</v>
      </c>
      <c r="DG50" s="2">
        <v>2</v>
      </c>
      <c r="DH50" s="2">
        <v>4</v>
      </c>
      <c r="DI50" s="2">
        <v>2</v>
      </c>
      <c r="DJ50" s="2">
        <v>4</v>
      </c>
      <c r="DK50" s="2">
        <v>4</v>
      </c>
      <c r="DL50" s="2">
        <v>4</v>
      </c>
      <c r="DM50" s="2">
        <v>3</v>
      </c>
      <c r="DN50" s="2">
        <v>4</v>
      </c>
      <c r="DO50" s="2">
        <v>3</v>
      </c>
      <c r="DP50" s="2">
        <v>3</v>
      </c>
      <c r="DQ50" s="2">
        <v>3</v>
      </c>
      <c r="DR50" s="2">
        <v>3</v>
      </c>
      <c r="DS50" s="2">
        <v>4</v>
      </c>
      <c r="DT50" s="2">
        <v>4</v>
      </c>
      <c r="DU50" s="2">
        <v>3</v>
      </c>
      <c r="DV50" s="2">
        <v>2</v>
      </c>
      <c r="DW50" s="2">
        <v>2</v>
      </c>
      <c r="DX50" s="2">
        <v>2</v>
      </c>
      <c r="DY50" s="2">
        <v>3</v>
      </c>
      <c r="DZ50" s="2">
        <v>2</v>
      </c>
      <c r="EA50" s="2">
        <v>3</v>
      </c>
      <c r="EB50" s="2">
        <v>4</v>
      </c>
      <c r="EC50" s="2">
        <v>4</v>
      </c>
      <c r="ED50" s="2">
        <v>4</v>
      </c>
      <c r="EE50" s="2">
        <v>4</v>
      </c>
      <c r="EF50" s="2">
        <v>4</v>
      </c>
      <c r="EG50" s="2">
        <v>3</v>
      </c>
      <c r="EH50" s="2">
        <v>2</v>
      </c>
      <c r="EI50" s="2">
        <v>3</v>
      </c>
      <c r="EJ50" s="2">
        <v>2</v>
      </c>
      <c r="EK50" s="2">
        <v>3</v>
      </c>
      <c r="EL50" s="2">
        <v>4</v>
      </c>
      <c r="EM50" s="2">
        <v>4</v>
      </c>
      <c r="EN50" s="2">
        <v>4</v>
      </c>
      <c r="EO50" s="2">
        <v>3</v>
      </c>
      <c r="EP50" s="2">
        <v>4</v>
      </c>
      <c r="EQ50" s="2">
        <v>3</v>
      </c>
      <c r="ER50" s="2">
        <v>4</v>
      </c>
      <c r="ES50" s="2">
        <v>4</v>
      </c>
      <c r="ET50" s="2">
        <v>4</v>
      </c>
      <c r="EU50" s="2">
        <v>4</v>
      </c>
      <c r="EV50" s="2">
        <v>4</v>
      </c>
      <c r="EW50" s="2">
        <v>4</v>
      </c>
      <c r="EX50" s="2">
        <v>4</v>
      </c>
      <c r="EY50" s="2">
        <v>4</v>
      </c>
      <c r="EZ50" s="2">
        <v>4</v>
      </c>
      <c r="FA50" s="2">
        <v>2</v>
      </c>
      <c r="FB50" s="2">
        <v>4</v>
      </c>
      <c r="FC50" s="2">
        <v>3</v>
      </c>
      <c r="FD50" s="2">
        <v>3</v>
      </c>
      <c r="FE50" s="2">
        <v>3</v>
      </c>
      <c r="FF50" s="2">
        <v>3</v>
      </c>
      <c r="FG50" s="2">
        <v>4</v>
      </c>
      <c r="FH50" s="2">
        <v>3</v>
      </c>
      <c r="FI50" s="2">
        <v>4</v>
      </c>
      <c r="FJ50" s="2">
        <v>4</v>
      </c>
      <c r="FK50" s="2">
        <v>3</v>
      </c>
      <c r="FL50" s="2">
        <v>3</v>
      </c>
      <c r="FM50" s="2">
        <v>3</v>
      </c>
      <c r="FN50" s="2">
        <v>4</v>
      </c>
      <c r="FO50" s="2">
        <v>4</v>
      </c>
      <c r="FP50" s="2">
        <v>4</v>
      </c>
      <c r="FQ50" s="2">
        <v>4</v>
      </c>
      <c r="FR50" s="2">
        <v>4</v>
      </c>
      <c r="FS50" s="2">
        <v>2</v>
      </c>
      <c r="FT50" s="2">
        <v>2</v>
      </c>
      <c r="FU50" s="2">
        <v>2</v>
      </c>
      <c r="FV50" s="2">
        <v>4</v>
      </c>
      <c r="FW50" s="2">
        <v>2</v>
      </c>
      <c r="FX50" s="2">
        <v>4</v>
      </c>
      <c r="FY50" s="2">
        <v>4</v>
      </c>
      <c r="FZ50" s="2">
        <v>4</v>
      </c>
      <c r="GA50" s="2">
        <v>4</v>
      </c>
      <c r="GB50" s="2">
        <v>4</v>
      </c>
      <c r="GC50" s="2" t="s">
        <v>274</v>
      </c>
      <c r="GD50" s="2">
        <v>3</v>
      </c>
      <c r="GE50" s="2">
        <v>3</v>
      </c>
      <c r="GF50" s="2">
        <v>3</v>
      </c>
      <c r="GG50" s="2">
        <v>4</v>
      </c>
      <c r="GH50" s="2">
        <v>4</v>
      </c>
      <c r="GI50" s="2">
        <v>4</v>
      </c>
      <c r="GJ50" s="2">
        <v>3</v>
      </c>
      <c r="GK50" s="2">
        <v>3</v>
      </c>
      <c r="GL50" s="2">
        <v>3</v>
      </c>
      <c r="GM50" s="2">
        <v>3</v>
      </c>
      <c r="GN50" s="3">
        <v>4</v>
      </c>
      <c r="GO50" s="3">
        <v>4</v>
      </c>
      <c r="GP50" s="3">
        <v>4</v>
      </c>
      <c r="GQ50" s="3">
        <v>4</v>
      </c>
      <c r="GR50" s="3">
        <v>3</v>
      </c>
      <c r="GS50" s="3">
        <v>3</v>
      </c>
      <c r="GT50" s="3">
        <v>3</v>
      </c>
      <c r="GU50" s="3">
        <v>3</v>
      </c>
      <c r="GV50" s="3">
        <v>4</v>
      </c>
      <c r="GW50" s="3">
        <v>3</v>
      </c>
      <c r="GX50" s="3">
        <v>3</v>
      </c>
      <c r="GY50" s="3">
        <v>3</v>
      </c>
      <c r="GZ50" s="3">
        <v>3</v>
      </c>
      <c r="HA50" s="3">
        <v>3</v>
      </c>
      <c r="HB50" s="3">
        <v>3</v>
      </c>
      <c r="HC50" s="3">
        <v>3</v>
      </c>
      <c r="HD50" s="3">
        <v>4</v>
      </c>
      <c r="HE50" s="3">
        <v>4</v>
      </c>
      <c r="HF50" s="3">
        <v>4</v>
      </c>
      <c r="HG50" s="3">
        <v>4</v>
      </c>
      <c r="HH50" s="3">
        <v>4</v>
      </c>
      <c r="HI50" s="3">
        <v>4</v>
      </c>
      <c r="HJ50" s="3">
        <v>4</v>
      </c>
      <c r="HK50" s="3">
        <v>4</v>
      </c>
      <c r="HL50" s="3">
        <v>4</v>
      </c>
      <c r="HM50" s="3">
        <v>3</v>
      </c>
      <c r="HN50" s="3">
        <v>3</v>
      </c>
      <c r="HO50" s="3">
        <v>3</v>
      </c>
      <c r="HP50" s="3">
        <v>3</v>
      </c>
      <c r="HQ50" s="3">
        <v>3</v>
      </c>
      <c r="HR50" s="3">
        <v>3</v>
      </c>
      <c r="HS50" s="3">
        <v>3</v>
      </c>
      <c r="HT50" s="3">
        <v>3</v>
      </c>
      <c r="HU50" s="3">
        <v>2</v>
      </c>
      <c r="HV50" s="3">
        <v>3</v>
      </c>
      <c r="HW50" s="3">
        <v>3</v>
      </c>
      <c r="HX50" s="3">
        <v>2</v>
      </c>
      <c r="HY50" s="3">
        <v>3</v>
      </c>
      <c r="HZ50" s="3">
        <v>2</v>
      </c>
      <c r="IA50" s="3">
        <v>2</v>
      </c>
      <c r="IB50" s="3">
        <v>3</v>
      </c>
      <c r="IC50" s="3">
        <v>4</v>
      </c>
      <c r="ID50" s="3">
        <v>4</v>
      </c>
      <c r="IE50" s="3">
        <v>4</v>
      </c>
      <c r="IF50" s="3">
        <v>4</v>
      </c>
      <c r="IG50" s="3">
        <v>3</v>
      </c>
      <c r="IH50" s="3">
        <v>3</v>
      </c>
      <c r="II50" s="3">
        <v>3</v>
      </c>
      <c r="IJ50" s="3">
        <v>3</v>
      </c>
      <c r="IK50" s="3">
        <v>3</v>
      </c>
      <c r="IL50" s="3">
        <v>3</v>
      </c>
      <c r="IM50" s="3">
        <v>3</v>
      </c>
      <c r="IN50" s="3">
        <v>3</v>
      </c>
      <c r="IO50" s="3">
        <v>3</v>
      </c>
      <c r="IP50" s="3">
        <v>3</v>
      </c>
      <c r="IQ50" s="3">
        <v>3</v>
      </c>
      <c r="IR50" s="3" t="s">
        <v>274</v>
      </c>
      <c r="IS50" s="3">
        <v>4</v>
      </c>
      <c r="IT50" s="3">
        <v>3</v>
      </c>
      <c r="IU50" s="3">
        <v>0</v>
      </c>
      <c r="IV50" s="3">
        <v>3</v>
      </c>
      <c r="IW50" s="3">
        <v>3</v>
      </c>
      <c r="IX50" s="3">
        <v>4</v>
      </c>
      <c r="IY50" s="3">
        <v>4</v>
      </c>
      <c r="IZ50" s="2" t="s">
        <v>268</v>
      </c>
      <c r="JA50" s="2"/>
    </row>
    <row r="51" spans="1:261" ht="13.2" x14ac:dyDescent="0.25">
      <c r="A51" s="10" t="s">
        <v>274</v>
      </c>
      <c r="B51" s="2" t="s">
        <v>525</v>
      </c>
      <c r="C51" s="2" t="s">
        <v>276</v>
      </c>
      <c r="D51" s="2" t="s">
        <v>325</v>
      </c>
      <c r="E51" s="2">
        <v>47</v>
      </c>
      <c r="F51" s="11" t="s">
        <v>526</v>
      </c>
      <c r="G51" s="11" t="s">
        <v>527</v>
      </c>
      <c r="H51" s="2" t="s">
        <v>528</v>
      </c>
      <c r="I51" s="3">
        <v>2</v>
      </c>
      <c r="J51" s="3">
        <v>1</v>
      </c>
      <c r="K51" s="3">
        <v>2</v>
      </c>
      <c r="L51" s="3">
        <v>2</v>
      </c>
      <c r="M51" s="3">
        <v>2</v>
      </c>
      <c r="N51" s="3">
        <v>3</v>
      </c>
      <c r="O51" s="3">
        <v>2</v>
      </c>
      <c r="P51" s="3">
        <v>1</v>
      </c>
      <c r="Q51" s="3">
        <v>0</v>
      </c>
      <c r="R51" s="3">
        <v>0</v>
      </c>
      <c r="S51" s="3">
        <v>0</v>
      </c>
      <c r="T51" s="3">
        <v>0</v>
      </c>
      <c r="U51" s="3">
        <v>0</v>
      </c>
      <c r="V51" s="3">
        <v>0</v>
      </c>
      <c r="W51" s="3">
        <v>0</v>
      </c>
      <c r="X51" s="3">
        <v>0</v>
      </c>
      <c r="Y51" s="3">
        <v>1</v>
      </c>
      <c r="Z51" s="3">
        <v>0</v>
      </c>
      <c r="AA51" s="3">
        <v>0</v>
      </c>
      <c r="AB51" s="3">
        <v>0</v>
      </c>
      <c r="AC51" s="3">
        <v>0</v>
      </c>
      <c r="AD51" s="3">
        <v>0</v>
      </c>
      <c r="AE51" s="3">
        <v>0</v>
      </c>
      <c r="AF51" s="3">
        <v>0</v>
      </c>
      <c r="AG51" s="3">
        <v>0</v>
      </c>
      <c r="AH51" s="3">
        <v>0</v>
      </c>
      <c r="AI51" s="3">
        <v>2</v>
      </c>
      <c r="AJ51" s="3">
        <v>1</v>
      </c>
      <c r="AK51" s="3">
        <v>0</v>
      </c>
      <c r="AL51" s="3">
        <v>0</v>
      </c>
      <c r="AM51" s="3">
        <v>0</v>
      </c>
      <c r="AN51" s="3">
        <v>0</v>
      </c>
      <c r="AO51" s="3">
        <v>1</v>
      </c>
      <c r="AP51" s="3">
        <v>0</v>
      </c>
      <c r="AQ51" s="3">
        <v>0</v>
      </c>
      <c r="AR51" s="3">
        <v>0</v>
      </c>
      <c r="AS51" s="3">
        <v>0</v>
      </c>
      <c r="AT51" s="3">
        <v>0</v>
      </c>
      <c r="AU51" s="3">
        <v>1</v>
      </c>
      <c r="AV51" s="3">
        <v>0</v>
      </c>
      <c r="AW51" s="3">
        <v>1</v>
      </c>
      <c r="AX51" s="3">
        <v>0</v>
      </c>
      <c r="AY51" s="3">
        <v>0</v>
      </c>
      <c r="AZ51" s="3">
        <v>1</v>
      </c>
      <c r="BA51" s="3">
        <v>0</v>
      </c>
      <c r="BB51" s="3">
        <v>2</v>
      </c>
      <c r="BC51" s="3">
        <v>0</v>
      </c>
      <c r="BD51" s="3">
        <v>2</v>
      </c>
      <c r="BE51" s="3">
        <v>2</v>
      </c>
      <c r="BF51" s="3">
        <v>0</v>
      </c>
      <c r="BG51" s="3">
        <v>1</v>
      </c>
      <c r="BH51" s="3">
        <v>0</v>
      </c>
      <c r="BI51" s="3">
        <v>0</v>
      </c>
      <c r="BJ51" s="3">
        <v>2</v>
      </c>
      <c r="BK51" s="3">
        <v>0</v>
      </c>
      <c r="BL51" s="3">
        <v>0</v>
      </c>
      <c r="BM51" s="3" t="s">
        <v>529</v>
      </c>
      <c r="BN51" s="3">
        <v>3</v>
      </c>
      <c r="BO51" s="3">
        <v>0</v>
      </c>
      <c r="BP51" s="3">
        <v>0</v>
      </c>
      <c r="BQ51" s="3">
        <v>0</v>
      </c>
      <c r="BR51" s="3">
        <v>1</v>
      </c>
      <c r="BS51" s="3">
        <v>0</v>
      </c>
      <c r="BT51" s="3">
        <v>0</v>
      </c>
      <c r="BU51" s="2">
        <v>1</v>
      </c>
      <c r="BV51" s="2">
        <v>0</v>
      </c>
      <c r="BW51" s="2">
        <v>2</v>
      </c>
      <c r="BX51" s="2">
        <v>2</v>
      </c>
      <c r="BY51" s="2">
        <v>0</v>
      </c>
      <c r="BZ51" s="2">
        <v>0</v>
      </c>
      <c r="CA51" s="2">
        <v>0</v>
      </c>
      <c r="CB51" s="2">
        <v>1</v>
      </c>
      <c r="CC51" s="2">
        <v>1</v>
      </c>
      <c r="CD51" s="2">
        <v>1</v>
      </c>
      <c r="CE51" s="2">
        <v>0</v>
      </c>
      <c r="CF51" s="2">
        <v>1</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1</v>
      </c>
      <c r="DG51" s="2">
        <v>0</v>
      </c>
      <c r="DH51" s="2">
        <v>0</v>
      </c>
      <c r="DI51" s="2">
        <v>0</v>
      </c>
      <c r="DJ51" s="2">
        <v>0</v>
      </c>
      <c r="DK51" s="2">
        <v>0</v>
      </c>
      <c r="DL51" s="2">
        <v>1</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c r="EQ51" s="2">
        <v>0</v>
      </c>
      <c r="ER51" s="2">
        <v>0</v>
      </c>
      <c r="ES51" s="2">
        <v>0</v>
      </c>
      <c r="ET51" s="2">
        <v>0</v>
      </c>
      <c r="EU51" s="2">
        <v>0</v>
      </c>
      <c r="EV51" s="2">
        <v>0</v>
      </c>
      <c r="EW51" s="2">
        <v>0</v>
      </c>
      <c r="EX51" s="2">
        <v>1</v>
      </c>
      <c r="EY51" s="2">
        <v>0</v>
      </c>
      <c r="EZ51" s="2">
        <v>0</v>
      </c>
      <c r="FA51" s="2">
        <v>0</v>
      </c>
      <c r="FB51" s="2">
        <v>0</v>
      </c>
      <c r="FC51" s="2">
        <v>0</v>
      </c>
      <c r="FD51" s="2">
        <v>0</v>
      </c>
      <c r="FE51" s="2">
        <v>0</v>
      </c>
      <c r="FF51" s="2">
        <v>0</v>
      </c>
      <c r="FG51" s="2">
        <v>1</v>
      </c>
      <c r="FH51" s="2">
        <v>0</v>
      </c>
      <c r="FI51" s="2">
        <v>0</v>
      </c>
      <c r="FJ51" s="2">
        <v>0</v>
      </c>
      <c r="FK51" s="2">
        <v>0</v>
      </c>
      <c r="FL51" s="2">
        <v>0</v>
      </c>
      <c r="FM51" s="2">
        <v>0</v>
      </c>
      <c r="FN51" s="2">
        <v>0</v>
      </c>
      <c r="FO51" s="2">
        <v>0</v>
      </c>
      <c r="FP51" s="2">
        <v>0</v>
      </c>
      <c r="FQ51" s="2">
        <v>0</v>
      </c>
      <c r="FR51" s="2">
        <v>1</v>
      </c>
      <c r="FS51" s="2">
        <v>0</v>
      </c>
      <c r="FT51" s="2">
        <v>0</v>
      </c>
      <c r="FU51" s="2">
        <v>0</v>
      </c>
      <c r="FV51" s="2">
        <v>0</v>
      </c>
      <c r="FW51" s="2">
        <v>0</v>
      </c>
      <c r="FX51" s="2">
        <v>1</v>
      </c>
      <c r="FY51" s="2">
        <v>0</v>
      </c>
      <c r="FZ51" s="2">
        <v>0</v>
      </c>
      <c r="GA51" s="2">
        <v>0</v>
      </c>
      <c r="GB51" s="2">
        <v>0</v>
      </c>
      <c r="GC51" s="2" t="s">
        <v>530</v>
      </c>
      <c r="GD51" s="2">
        <v>0</v>
      </c>
      <c r="GE51" s="2">
        <v>0</v>
      </c>
      <c r="GF51" s="2">
        <v>0</v>
      </c>
      <c r="GG51" s="2">
        <v>0</v>
      </c>
      <c r="GH51" s="2">
        <v>1</v>
      </c>
      <c r="GI51" s="2">
        <v>1</v>
      </c>
      <c r="GJ51" s="2">
        <v>0</v>
      </c>
      <c r="GK51" s="2">
        <v>0</v>
      </c>
      <c r="GL51" s="2">
        <v>0</v>
      </c>
      <c r="GM51" s="2" t="s">
        <v>274</v>
      </c>
      <c r="GN51" s="3">
        <v>1</v>
      </c>
      <c r="GO51" s="3">
        <v>0</v>
      </c>
      <c r="GP51" s="3">
        <v>0</v>
      </c>
      <c r="GQ51" s="3">
        <v>0</v>
      </c>
      <c r="GR51" s="3">
        <v>1</v>
      </c>
      <c r="GS51" s="3">
        <v>0</v>
      </c>
      <c r="GT51" s="3">
        <v>0</v>
      </c>
      <c r="GU51" s="3">
        <v>0</v>
      </c>
      <c r="GV51" s="3">
        <v>0</v>
      </c>
      <c r="GW51" s="3">
        <v>0</v>
      </c>
      <c r="GX51" s="3">
        <v>0</v>
      </c>
      <c r="GY51" s="3">
        <v>0</v>
      </c>
      <c r="GZ51" s="3">
        <v>0</v>
      </c>
      <c r="HA51" s="3">
        <v>0</v>
      </c>
      <c r="HB51" s="3">
        <v>0</v>
      </c>
      <c r="HC51" s="3">
        <v>0</v>
      </c>
      <c r="HD51" s="3">
        <v>0</v>
      </c>
      <c r="HE51" s="3">
        <v>0</v>
      </c>
      <c r="HF51" s="3">
        <v>0</v>
      </c>
      <c r="HG51" s="3">
        <v>0</v>
      </c>
      <c r="HH51" s="3">
        <v>0</v>
      </c>
      <c r="HI51" s="3">
        <v>0</v>
      </c>
      <c r="HJ51" s="3">
        <v>0</v>
      </c>
      <c r="HK51" s="3">
        <v>0</v>
      </c>
      <c r="HL51" s="3">
        <v>0</v>
      </c>
      <c r="HM51" s="3">
        <v>0</v>
      </c>
      <c r="HN51" s="3">
        <v>0</v>
      </c>
      <c r="HO51" s="3">
        <v>0</v>
      </c>
      <c r="HP51" s="3">
        <v>0</v>
      </c>
      <c r="HQ51" s="3">
        <v>0</v>
      </c>
      <c r="HR51" s="3">
        <v>0</v>
      </c>
      <c r="HS51" s="3">
        <v>0</v>
      </c>
      <c r="HT51" s="3">
        <v>0</v>
      </c>
      <c r="HU51" s="3">
        <v>0</v>
      </c>
      <c r="HV51" s="3">
        <v>0</v>
      </c>
      <c r="HW51" s="3">
        <v>0</v>
      </c>
      <c r="HX51" s="3">
        <v>0</v>
      </c>
      <c r="HY51" s="3">
        <v>0</v>
      </c>
      <c r="HZ51" s="3">
        <v>0</v>
      </c>
      <c r="IA51" s="3">
        <v>0</v>
      </c>
      <c r="IB51" s="3">
        <v>0</v>
      </c>
      <c r="IC51" s="3">
        <v>0</v>
      </c>
      <c r="ID51" s="3">
        <v>0</v>
      </c>
      <c r="IE51" s="3">
        <v>0</v>
      </c>
      <c r="IF51" s="3">
        <v>0</v>
      </c>
      <c r="IG51" s="3">
        <v>0</v>
      </c>
      <c r="IH51" s="3">
        <v>0</v>
      </c>
      <c r="II51" s="3">
        <v>0</v>
      </c>
      <c r="IJ51" s="3">
        <v>0</v>
      </c>
      <c r="IK51" s="3">
        <v>0</v>
      </c>
      <c r="IL51" s="3">
        <v>0</v>
      </c>
      <c r="IM51" s="3">
        <v>0</v>
      </c>
      <c r="IN51" s="3">
        <v>0</v>
      </c>
      <c r="IO51" s="3">
        <v>0</v>
      </c>
      <c r="IP51" s="3">
        <v>0</v>
      </c>
      <c r="IQ51" s="3">
        <v>0</v>
      </c>
      <c r="IR51" s="3" t="s">
        <v>531</v>
      </c>
      <c r="IS51" s="3">
        <v>1</v>
      </c>
      <c r="IT51" s="3">
        <v>0</v>
      </c>
      <c r="IU51" s="3">
        <v>0</v>
      </c>
      <c r="IV51" s="3">
        <v>1</v>
      </c>
      <c r="IW51" s="3">
        <v>0</v>
      </c>
      <c r="IX51" s="3">
        <v>0</v>
      </c>
      <c r="IY51" s="3">
        <v>0</v>
      </c>
      <c r="IZ51" s="2" t="s">
        <v>268</v>
      </c>
      <c r="JA51" s="2"/>
    </row>
    <row r="52" spans="1:261" ht="13.2" x14ac:dyDescent="0.25">
      <c r="A52" s="10" t="s">
        <v>274</v>
      </c>
      <c r="B52" s="2" t="s">
        <v>532</v>
      </c>
      <c r="C52" s="2" t="s">
        <v>261</v>
      </c>
      <c r="D52" s="2" t="s">
        <v>270</v>
      </c>
      <c r="E52" s="2">
        <v>17</v>
      </c>
      <c r="F52" s="11" t="s">
        <v>533</v>
      </c>
      <c r="G52" s="11" t="s">
        <v>534</v>
      </c>
      <c r="H52" s="2" t="s">
        <v>535</v>
      </c>
      <c r="I52" s="3">
        <v>4</v>
      </c>
      <c r="J52" s="3">
        <v>1</v>
      </c>
      <c r="K52" s="3">
        <v>1</v>
      </c>
      <c r="L52" s="3">
        <v>2</v>
      </c>
      <c r="M52" s="3">
        <v>3</v>
      </c>
      <c r="N52" s="3">
        <v>2</v>
      </c>
      <c r="O52" s="3">
        <v>3</v>
      </c>
      <c r="P52" s="3">
        <v>2</v>
      </c>
      <c r="Q52" s="3">
        <v>1</v>
      </c>
      <c r="R52" s="3">
        <v>0</v>
      </c>
      <c r="S52" s="3">
        <v>0</v>
      </c>
      <c r="T52" s="3">
        <v>1</v>
      </c>
      <c r="U52" s="3">
        <v>0</v>
      </c>
      <c r="V52" s="3">
        <v>0</v>
      </c>
      <c r="W52" s="3">
        <v>2</v>
      </c>
      <c r="X52" s="3">
        <v>0</v>
      </c>
      <c r="Y52" s="3">
        <v>3</v>
      </c>
      <c r="Z52" s="3">
        <v>0</v>
      </c>
      <c r="AA52" s="3">
        <v>1</v>
      </c>
      <c r="AB52" s="3">
        <v>0</v>
      </c>
      <c r="AC52" s="3">
        <v>0</v>
      </c>
      <c r="AD52" s="3">
        <v>1</v>
      </c>
      <c r="AE52" s="3">
        <v>2</v>
      </c>
      <c r="AF52" s="3">
        <v>1</v>
      </c>
      <c r="AG52" s="3">
        <v>0</v>
      </c>
      <c r="AH52" s="3">
        <v>0</v>
      </c>
      <c r="AI52" s="3">
        <v>2</v>
      </c>
      <c r="AJ52" s="3">
        <v>4</v>
      </c>
      <c r="AK52" s="3">
        <v>1</v>
      </c>
      <c r="AL52" s="3">
        <v>2</v>
      </c>
      <c r="AM52" s="3">
        <v>0</v>
      </c>
      <c r="AN52" s="3">
        <v>0</v>
      </c>
      <c r="AO52" s="3">
        <v>3</v>
      </c>
      <c r="AP52" s="3">
        <v>0</v>
      </c>
      <c r="AQ52" s="3">
        <v>0</v>
      </c>
      <c r="AR52" s="3">
        <v>1</v>
      </c>
      <c r="AS52" s="3">
        <v>2</v>
      </c>
      <c r="AT52" s="3">
        <v>0</v>
      </c>
      <c r="AU52" s="3">
        <v>2</v>
      </c>
      <c r="AV52" s="3">
        <v>0</v>
      </c>
      <c r="AW52" s="3">
        <v>0</v>
      </c>
      <c r="AX52" s="3">
        <v>1</v>
      </c>
      <c r="AY52" s="3">
        <v>0</v>
      </c>
      <c r="AZ52" s="3">
        <v>2</v>
      </c>
      <c r="BA52" s="3">
        <v>0</v>
      </c>
      <c r="BB52" s="3">
        <v>2</v>
      </c>
      <c r="BC52" s="3">
        <v>0</v>
      </c>
      <c r="BD52" s="3">
        <v>2</v>
      </c>
      <c r="BE52" s="3">
        <v>0</v>
      </c>
      <c r="BF52" s="3">
        <v>0</v>
      </c>
      <c r="BG52" s="3">
        <v>1</v>
      </c>
      <c r="BH52" s="3">
        <v>0</v>
      </c>
      <c r="BI52" s="3">
        <v>2</v>
      </c>
      <c r="BJ52" s="3">
        <v>0</v>
      </c>
      <c r="BK52" s="3">
        <v>0</v>
      </c>
      <c r="BL52" s="3">
        <v>1</v>
      </c>
      <c r="BM52" s="3" t="s">
        <v>536</v>
      </c>
      <c r="BN52" s="3">
        <v>0</v>
      </c>
      <c r="BO52" s="3">
        <v>2</v>
      </c>
      <c r="BP52" s="3">
        <v>2</v>
      </c>
      <c r="BQ52" s="3">
        <v>1</v>
      </c>
      <c r="BR52" s="3">
        <v>2</v>
      </c>
      <c r="BS52" s="3">
        <v>3</v>
      </c>
      <c r="BT52" s="3">
        <v>0</v>
      </c>
      <c r="BU52" s="2">
        <v>0</v>
      </c>
      <c r="BV52" s="2">
        <v>2</v>
      </c>
      <c r="BW52" s="2">
        <v>0</v>
      </c>
      <c r="BX52" s="2">
        <v>1</v>
      </c>
      <c r="BY52" s="2">
        <v>1</v>
      </c>
      <c r="BZ52" s="2">
        <v>0</v>
      </c>
      <c r="CA52" s="2">
        <v>2</v>
      </c>
      <c r="CB52" s="2">
        <v>1</v>
      </c>
      <c r="CC52" s="2">
        <v>0</v>
      </c>
      <c r="CD52" s="2">
        <v>0</v>
      </c>
      <c r="CE52" s="2">
        <v>2</v>
      </c>
      <c r="CF52" s="2">
        <v>0</v>
      </c>
      <c r="CG52" s="2">
        <v>0</v>
      </c>
      <c r="CH52" s="2">
        <v>1</v>
      </c>
      <c r="CI52" s="2">
        <v>0</v>
      </c>
      <c r="CJ52" s="2">
        <v>2</v>
      </c>
      <c r="CK52" s="2">
        <v>1</v>
      </c>
      <c r="CL52" s="2">
        <v>2</v>
      </c>
      <c r="CM52" s="2">
        <v>0</v>
      </c>
      <c r="CN52" s="2">
        <v>3</v>
      </c>
      <c r="CO52" s="2">
        <v>0</v>
      </c>
      <c r="CP52" s="2">
        <v>2</v>
      </c>
      <c r="CQ52" s="2">
        <v>1</v>
      </c>
      <c r="CR52" s="2">
        <v>0</v>
      </c>
      <c r="CS52" s="2">
        <v>0</v>
      </c>
      <c r="CT52" s="2">
        <v>1</v>
      </c>
      <c r="CU52" s="2">
        <v>2</v>
      </c>
      <c r="CV52" s="2">
        <v>0</v>
      </c>
      <c r="CW52" s="2">
        <v>1</v>
      </c>
      <c r="CX52" s="2">
        <v>0</v>
      </c>
      <c r="CY52" s="2">
        <v>0</v>
      </c>
      <c r="CZ52" s="2">
        <v>1</v>
      </c>
      <c r="DA52" s="2">
        <v>0</v>
      </c>
      <c r="DB52" s="2">
        <v>0</v>
      </c>
      <c r="DC52" s="2">
        <v>1</v>
      </c>
      <c r="DD52" s="2">
        <v>0</v>
      </c>
      <c r="DE52" s="2">
        <v>1</v>
      </c>
      <c r="DF52" s="2">
        <v>0</v>
      </c>
      <c r="DG52" s="2">
        <v>2</v>
      </c>
      <c r="DH52" s="2">
        <v>2</v>
      </c>
      <c r="DI52" s="2">
        <v>2</v>
      </c>
      <c r="DJ52" s="2">
        <v>1</v>
      </c>
      <c r="DK52" s="2">
        <v>1</v>
      </c>
      <c r="DL52" s="2">
        <v>0</v>
      </c>
      <c r="DM52" s="2">
        <v>1</v>
      </c>
      <c r="DN52" s="2">
        <v>0</v>
      </c>
      <c r="DO52" s="2">
        <v>1</v>
      </c>
      <c r="DP52" s="2">
        <v>0</v>
      </c>
      <c r="DQ52" s="2">
        <v>1</v>
      </c>
      <c r="DR52" s="2">
        <v>2</v>
      </c>
      <c r="DS52" s="2">
        <v>2</v>
      </c>
      <c r="DT52" s="2">
        <v>1</v>
      </c>
      <c r="DU52" s="2">
        <v>0</v>
      </c>
      <c r="DV52" s="2">
        <v>2</v>
      </c>
      <c r="DW52" s="2">
        <v>2</v>
      </c>
      <c r="DX52" s="2">
        <v>0</v>
      </c>
      <c r="DY52" s="2">
        <v>2</v>
      </c>
      <c r="DZ52" s="2">
        <v>0</v>
      </c>
      <c r="EA52" s="2">
        <v>0</v>
      </c>
      <c r="EB52" s="2">
        <v>0</v>
      </c>
      <c r="EC52" s="2">
        <v>1</v>
      </c>
      <c r="ED52" s="2">
        <v>1</v>
      </c>
      <c r="EE52" s="2">
        <v>2</v>
      </c>
      <c r="EF52" s="2">
        <v>1</v>
      </c>
      <c r="EG52" s="2">
        <v>1</v>
      </c>
      <c r="EH52" s="2">
        <v>0</v>
      </c>
      <c r="EI52" s="2">
        <v>2</v>
      </c>
      <c r="EJ52" s="2">
        <v>1</v>
      </c>
      <c r="EK52" s="2">
        <v>0</v>
      </c>
      <c r="EL52" s="2">
        <v>3</v>
      </c>
      <c r="EM52" s="2">
        <v>0</v>
      </c>
      <c r="EN52" s="2">
        <v>0</v>
      </c>
      <c r="EO52" s="2">
        <v>1</v>
      </c>
      <c r="EP52" s="2">
        <v>2</v>
      </c>
      <c r="EQ52" s="2">
        <v>0</v>
      </c>
      <c r="ER52" s="2">
        <v>1</v>
      </c>
      <c r="ES52" s="2">
        <v>2</v>
      </c>
      <c r="ET52" s="2">
        <v>1</v>
      </c>
      <c r="EU52" s="2">
        <v>2</v>
      </c>
      <c r="EV52" s="2">
        <v>2</v>
      </c>
      <c r="EW52" s="2">
        <v>0</v>
      </c>
      <c r="EX52" s="2">
        <v>1</v>
      </c>
      <c r="EY52" s="2">
        <v>2</v>
      </c>
      <c r="EZ52" s="2">
        <v>2</v>
      </c>
      <c r="FA52" s="2">
        <v>1</v>
      </c>
      <c r="FB52" s="2">
        <v>2</v>
      </c>
      <c r="FC52" s="2">
        <v>0</v>
      </c>
      <c r="FD52" s="2">
        <v>0</v>
      </c>
      <c r="FE52" s="2">
        <v>1</v>
      </c>
      <c r="FF52" s="2">
        <v>1</v>
      </c>
      <c r="FG52" s="2">
        <v>0</v>
      </c>
      <c r="FH52" s="2">
        <v>2</v>
      </c>
      <c r="FI52" s="2">
        <v>0</v>
      </c>
      <c r="FJ52" s="2">
        <v>0</v>
      </c>
      <c r="FK52" s="2">
        <v>2</v>
      </c>
      <c r="FL52" s="2">
        <v>0</v>
      </c>
      <c r="FM52" s="2">
        <v>0</v>
      </c>
      <c r="FN52" s="2">
        <v>2</v>
      </c>
      <c r="FO52" s="2">
        <v>1</v>
      </c>
      <c r="FP52" s="2">
        <v>0</v>
      </c>
      <c r="FQ52" s="2">
        <v>0</v>
      </c>
      <c r="FR52" s="2">
        <v>4</v>
      </c>
      <c r="FS52" s="2">
        <v>0</v>
      </c>
      <c r="FT52" s="2">
        <v>1</v>
      </c>
      <c r="FU52" s="2">
        <v>0</v>
      </c>
      <c r="FV52" s="2">
        <v>0</v>
      </c>
      <c r="FW52" s="2">
        <v>1</v>
      </c>
      <c r="FX52" s="2">
        <v>2</v>
      </c>
      <c r="FY52" s="2">
        <v>0</v>
      </c>
      <c r="FZ52" s="2">
        <v>1</v>
      </c>
      <c r="GA52" s="2">
        <v>2</v>
      </c>
      <c r="GB52" s="2">
        <v>1</v>
      </c>
      <c r="GC52" s="2" t="s">
        <v>537</v>
      </c>
      <c r="GD52" s="2">
        <v>0</v>
      </c>
      <c r="GE52" s="2">
        <v>1</v>
      </c>
      <c r="GF52" s="2">
        <v>0</v>
      </c>
      <c r="GG52" s="2">
        <v>2</v>
      </c>
      <c r="GH52" s="2">
        <v>4</v>
      </c>
      <c r="GI52" s="2">
        <v>1</v>
      </c>
      <c r="GJ52" s="2">
        <v>1</v>
      </c>
      <c r="GK52" s="2">
        <v>0</v>
      </c>
      <c r="GL52" s="2">
        <v>0</v>
      </c>
      <c r="GM52" s="2">
        <v>0</v>
      </c>
      <c r="GN52" s="3">
        <v>4</v>
      </c>
      <c r="GO52" s="3">
        <v>1</v>
      </c>
      <c r="GP52" s="3">
        <v>0</v>
      </c>
      <c r="GQ52" s="3">
        <v>0</v>
      </c>
      <c r="GR52" s="3">
        <v>1</v>
      </c>
      <c r="GS52" s="3">
        <v>0</v>
      </c>
      <c r="GT52" s="3">
        <v>2</v>
      </c>
      <c r="GU52" s="3">
        <v>1</v>
      </c>
      <c r="GV52" s="3">
        <v>2</v>
      </c>
      <c r="GW52" s="3">
        <v>1</v>
      </c>
      <c r="GX52" s="3">
        <v>0</v>
      </c>
      <c r="GY52" s="3">
        <v>1</v>
      </c>
      <c r="GZ52" s="3">
        <v>2</v>
      </c>
      <c r="HA52" s="3">
        <v>1</v>
      </c>
      <c r="HB52" s="3">
        <v>2</v>
      </c>
      <c r="HC52" s="3">
        <v>0</v>
      </c>
      <c r="HD52" s="3">
        <v>1</v>
      </c>
      <c r="HE52" s="3">
        <v>0</v>
      </c>
      <c r="HF52" s="3">
        <v>1</v>
      </c>
      <c r="HG52" s="3">
        <v>0</v>
      </c>
      <c r="HH52" s="3">
        <v>1</v>
      </c>
      <c r="HI52" s="3">
        <v>2</v>
      </c>
      <c r="HJ52" s="3">
        <v>1</v>
      </c>
      <c r="HK52" s="3">
        <v>2</v>
      </c>
      <c r="HL52" s="3">
        <v>2</v>
      </c>
      <c r="HM52" s="3">
        <v>2</v>
      </c>
      <c r="HN52" s="3">
        <v>1</v>
      </c>
      <c r="HO52" s="3">
        <v>2</v>
      </c>
      <c r="HP52" s="3">
        <v>1</v>
      </c>
      <c r="HQ52" s="3">
        <v>0</v>
      </c>
      <c r="HR52" s="3">
        <v>1</v>
      </c>
      <c r="HS52" s="3">
        <v>2</v>
      </c>
      <c r="HT52" s="3">
        <v>0</v>
      </c>
      <c r="HU52" s="3">
        <v>0</v>
      </c>
      <c r="HV52" s="3">
        <v>0</v>
      </c>
      <c r="HW52" s="3">
        <v>0</v>
      </c>
      <c r="HX52" s="3">
        <v>0</v>
      </c>
      <c r="HY52" s="3">
        <v>1</v>
      </c>
      <c r="HZ52" s="3">
        <v>2</v>
      </c>
      <c r="IA52" s="3">
        <v>0</v>
      </c>
      <c r="IB52" s="3">
        <v>0</v>
      </c>
      <c r="IC52" s="3">
        <v>0</v>
      </c>
      <c r="ID52" s="3">
        <v>1</v>
      </c>
      <c r="IE52" s="3">
        <v>2</v>
      </c>
      <c r="IF52" s="3">
        <v>1</v>
      </c>
      <c r="IG52" s="3">
        <v>1</v>
      </c>
      <c r="IH52" s="3">
        <v>2</v>
      </c>
      <c r="II52" s="3">
        <v>1</v>
      </c>
      <c r="IJ52" s="3">
        <v>2</v>
      </c>
      <c r="IK52" s="3">
        <v>0</v>
      </c>
      <c r="IL52" s="3">
        <v>1</v>
      </c>
      <c r="IM52" s="3">
        <v>0</v>
      </c>
      <c r="IN52" s="3">
        <v>1</v>
      </c>
      <c r="IO52" s="3">
        <v>0</v>
      </c>
      <c r="IP52" s="3">
        <v>1</v>
      </c>
      <c r="IQ52" s="3">
        <v>1</v>
      </c>
      <c r="IR52" s="3" t="s">
        <v>538</v>
      </c>
      <c r="IS52" s="3">
        <v>1</v>
      </c>
      <c r="IT52" s="3">
        <v>0</v>
      </c>
      <c r="IU52" s="3">
        <v>1</v>
      </c>
      <c r="IV52" s="3">
        <v>1</v>
      </c>
      <c r="IW52" s="3">
        <v>0</v>
      </c>
      <c r="IX52" s="3">
        <v>0</v>
      </c>
      <c r="IY52" s="3">
        <v>0</v>
      </c>
      <c r="IZ52" s="2" t="s">
        <v>268</v>
      </c>
      <c r="JA52" s="2"/>
    </row>
    <row r="53" spans="1:261" ht="13.2" x14ac:dyDescent="0.25">
      <c r="A53" s="10" t="s">
        <v>274</v>
      </c>
      <c r="B53" s="2" t="s">
        <v>539</v>
      </c>
      <c r="C53" s="2" t="s">
        <v>276</v>
      </c>
      <c r="D53" s="2" t="s">
        <v>325</v>
      </c>
      <c r="E53" s="2">
        <v>23</v>
      </c>
      <c r="F53" s="11" t="s">
        <v>540</v>
      </c>
      <c r="G53" s="11" t="s">
        <v>541</v>
      </c>
      <c r="H53" s="2" t="s">
        <v>542</v>
      </c>
      <c r="I53" s="3">
        <v>1</v>
      </c>
      <c r="J53" s="3">
        <v>2</v>
      </c>
      <c r="K53" s="3">
        <v>2</v>
      </c>
      <c r="L53" s="3">
        <v>4</v>
      </c>
      <c r="M53" s="3">
        <v>4</v>
      </c>
      <c r="N53" s="3">
        <v>3</v>
      </c>
      <c r="O53" s="3">
        <v>3</v>
      </c>
      <c r="P53" s="3">
        <v>2</v>
      </c>
      <c r="Q53" s="3">
        <v>2</v>
      </c>
      <c r="R53" s="3">
        <v>1</v>
      </c>
      <c r="S53" s="3">
        <v>0</v>
      </c>
      <c r="T53" s="3">
        <v>1</v>
      </c>
      <c r="U53" s="3">
        <v>2</v>
      </c>
      <c r="V53" s="3">
        <v>1</v>
      </c>
      <c r="W53" s="3">
        <v>2</v>
      </c>
      <c r="X53" s="3">
        <v>1</v>
      </c>
      <c r="Y53" s="3">
        <v>2</v>
      </c>
      <c r="Z53" s="3">
        <v>1</v>
      </c>
      <c r="AA53" s="3">
        <v>3</v>
      </c>
      <c r="AB53" s="3">
        <v>3</v>
      </c>
      <c r="AC53" s="3">
        <v>3</v>
      </c>
      <c r="AD53" s="3">
        <v>3</v>
      </c>
      <c r="AE53" s="3">
        <v>2</v>
      </c>
      <c r="AF53" s="3">
        <v>4</v>
      </c>
      <c r="AG53" s="3">
        <v>0</v>
      </c>
      <c r="AH53" s="3">
        <v>0</v>
      </c>
      <c r="AI53" s="3">
        <v>3</v>
      </c>
      <c r="AJ53" s="3">
        <v>3</v>
      </c>
      <c r="AK53" s="3">
        <v>3</v>
      </c>
      <c r="AL53" s="3">
        <v>3</v>
      </c>
      <c r="AM53" s="3">
        <v>0</v>
      </c>
      <c r="AN53" s="3">
        <v>0</v>
      </c>
      <c r="AO53" s="3">
        <v>3</v>
      </c>
      <c r="AP53" s="3">
        <v>3</v>
      </c>
      <c r="AQ53" s="3">
        <v>2</v>
      </c>
      <c r="AR53" s="3">
        <v>0</v>
      </c>
      <c r="AS53" s="3">
        <v>2</v>
      </c>
      <c r="AT53" s="3">
        <v>1</v>
      </c>
      <c r="AU53" s="3">
        <v>2</v>
      </c>
      <c r="AV53" s="3">
        <v>2</v>
      </c>
      <c r="AW53" s="3">
        <v>2</v>
      </c>
      <c r="AX53" s="3">
        <v>0</v>
      </c>
      <c r="AY53" s="3">
        <v>0</v>
      </c>
      <c r="AZ53" s="3">
        <v>1</v>
      </c>
      <c r="BA53" s="3">
        <v>0</v>
      </c>
      <c r="BB53" s="3">
        <v>1</v>
      </c>
      <c r="BC53" s="3">
        <v>1</v>
      </c>
      <c r="BD53" s="3">
        <v>1</v>
      </c>
      <c r="BE53" s="3">
        <v>1</v>
      </c>
      <c r="BF53" s="3">
        <v>2</v>
      </c>
      <c r="BG53" s="3">
        <v>2</v>
      </c>
      <c r="BH53" s="3">
        <v>2</v>
      </c>
      <c r="BI53" s="3">
        <v>1</v>
      </c>
      <c r="BJ53" s="3">
        <v>2</v>
      </c>
      <c r="BK53" s="3">
        <v>1</v>
      </c>
      <c r="BL53" s="3">
        <v>0</v>
      </c>
      <c r="BM53" s="3" t="s">
        <v>274</v>
      </c>
      <c r="BN53" s="3">
        <v>2</v>
      </c>
      <c r="BO53" s="3">
        <v>2</v>
      </c>
      <c r="BP53" s="3">
        <v>3</v>
      </c>
      <c r="BQ53" s="3">
        <v>2</v>
      </c>
      <c r="BR53" s="3">
        <v>0</v>
      </c>
      <c r="BS53" s="3">
        <v>4</v>
      </c>
      <c r="BT53" s="3">
        <v>2</v>
      </c>
      <c r="BU53" s="2">
        <v>1</v>
      </c>
      <c r="BV53" s="2">
        <v>1</v>
      </c>
      <c r="BW53" s="2">
        <v>1</v>
      </c>
      <c r="BX53" s="2">
        <v>0</v>
      </c>
      <c r="BY53" s="2">
        <v>0</v>
      </c>
      <c r="BZ53" s="2">
        <v>0</v>
      </c>
      <c r="CA53" s="2">
        <v>0</v>
      </c>
      <c r="CB53" s="2">
        <v>0</v>
      </c>
      <c r="CC53" s="2">
        <v>0</v>
      </c>
      <c r="CD53" s="2">
        <v>0</v>
      </c>
      <c r="CE53" s="2">
        <v>0</v>
      </c>
      <c r="CF53" s="2">
        <v>0</v>
      </c>
      <c r="CG53" s="2">
        <v>0</v>
      </c>
      <c r="CH53" s="2">
        <v>0</v>
      </c>
      <c r="CI53" s="2">
        <v>3</v>
      </c>
      <c r="CJ53" s="2">
        <v>0</v>
      </c>
      <c r="CK53" s="2">
        <v>0</v>
      </c>
      <c r="CL53" s="2">
        <v>3</v>
      </c>
      <c r="CM53" s="2">
        <v>2</v>
      </c>
      <c r="CN53" s="2">
        <v>1</v>
      </c>
      <c r="CO53" s="2">
        <v>0</v>
      </c>
      <c r="CP53" s="2">
        <v>0</v>
      </c>
      <c r="CQ53" s="2">
        <v>2</v>
      </c>
      <c r="CR53" s="2">
        <v>2</v>
      </c>
      <c r="CS53" s="2">
        <v>3</v>
      </c>
      <c r="CT53" s="2">
        <v>2</v>
      </c>
      <c r="CU53" s="2">
        <v>0</v>
      </c>
      <c r="CV53" s="2">
        <v>2</v>
      </c>
      <c r="CW53" s="2">
        <v>1</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2</v>
      </c>
      <c r="DR53" s="2">
        <v>2</v>
      </c>
      <c r="DS53" s="2">
        <v>1</v>
      </c>
      <c r="DT53" s="2">
        <v>0</v>
      </c>
      <c r="DU53" s="2">
        <v>0</v>
      </c>
      <c r="DV53" s="2">
        <v>0</v>
      </c>
      <c r="DW53" s="2">
        <v>0</v>
      </c>
      <c r="DX53" s="2">
        <v>1</v>
      </c>
      <c r="DY53" s="2">
        <v>1</v>
      </c>
      <c r="DZ53" s="2">
        <v>1</v>
      </c>
      <c r="EA53" s="2">
        <v>0</v>
      </c>
      <c r="EB53" s="2">
        <v>0</v>
      </c>
      <c r="EC53" s="2">
        <v>0</v>
      </c>
      <c r="ED53" s="2">
        <v>2</v>
      </c>
      <c r="EE53" s="2">
        <v>1</v>
      </c>
      <c r="EF53" s="2">
        <v>1</v>
      </c>
      <c r="EG53" s="2">
        <v>0</v>
      </c>
      <c r="EH53" s="2">
        <v>0</v>
      </c>
      <c r="EI53" s="2">
        <v>0</v>
      </c>
      <c r="EJ53" s="2">
        <v>0</v>
      </c>
      <c r="EK53" s="2">
        <v>1</v>
      </c>
      <c r="EL53" s="2">
        <v>0</v>
      </c>
      <c r="EM53" s="2">
        <v>0</v>
      </c>
      <c r="EN53" s="2">
        <v>0</v>
      </c>
      <c r="EO53" s="2">
        <v>0</v>
      </c>
      <c r="EP53" s="2">
        <v>0</v>
      </c>
      <c r="EQ53" s="2">
        <v>0</v>
      </c>
      <c r="ER53" s="2">
        <v>0</v>
      </c>
      <c r="ES53" s="2">
        <v>0</v>
      </c>
      <c r="ET53" s="2">
        <v>0</v>
      </c>
      <c r="EU53" s="2">
        <v>0</v>
      </c>
      <c r="EV53" s="2">
        <v>0</v>
      </c>
      <c r="EW53" s="2">
        <v>0</v>
      </c>
      <c r="EX53" s="2">
        <v>2</v>
      </c>
      <c r="EY53" s="2">
        <v>1</v>
      </c>
      <c r="EZ53" s="2">
        <v>0</v>
      </c>
      <c r="FA53" s="2">
        <v>0</v>
      </c>
      <c r="FB53" s="2">
        <v>0</v>
      </c>
      <c r="FC53" s="2">
        <v>0</v>
      </c>
      <c r="FD53" s="2">
        <v>1</v>
      </c>
      <c r="FE53" s="2">
        <v>0</v>
      </c>
      <c r="FF53" s="2">
        <v>0</v>
      </c>
      <c r="FG53" s="2">
        <v>0</v>
      </c>
      <c r="FH53" s="2">
        <v>1</v>
      </c>
      <c r="FI53" s="2">
        <v>0</v>
      </c>
      <c r="FJ53" s="2">
        <v>0</v>
      </c>
      <c r="FK53" s="2">
        <v>0</v>
      </c>
      <c r="FL53" s="2">
        <v>0</v>
      </c>
      <c r="FM53" s="2">
        <v>0</v>
      </c>
      <c r="FN53" s="2">
        <v>0</v>
      </c>
      <c r="FO53" s="2">
        <v>0</v>
      </c>
      <c r="FP53" s="2">
        <v>0</v>
      </c>
      <c r="FQ53" s="2">
        <v>1</v>
      </c>
      <c r="FR53" s="2">
        <v>0</v>
      </c>
      <c r="FS53" s="2">
        <v>0</v>
      </c>
      <c r="FT53" s="2">
        <v>0</v>
      </c>
      <c r="FU53" s="2">
        <v>0</v>
      </c>
      <c r="FV53" s="2">
        <v>0</v>
      </c>
      <c r="FW53" s="2">
        <v>2</v>
      </c>
      <c r="FX53" s="2">
        <v>1</v>
      </c>
      <c r="FY53" s="2">
        <v>1</v>
      </c>
      <c r="FZ53" s="2">
        <v>0</v>
      </c>
      <c r="GA53" s="2">
        <v>0</v>
      </c>
      <c r="GB53" s="2">
        <v>1</v>
      </c>
      <c r="GC53" s="2" t="s">
        <v>543</v>
      </c>
      <c r="GD53" s="2">
        <v>1</v>
      </c>
      <c r="GE53" s="2">
        <v>0</v>
      </c>
      <c r="GF53" s="2">
        <v>0</v>
      </c>
      <c r="GG53" s="2">
        <v>2</v>
      </c>
      <c r="GH53" s="2">
        <v>3</v>
      </c>
      <c r="GI53" s="2">
        <v>2</v>
      </c>
      <c r="GJ53" s="2">
        <v>0</v>
      </c>
      <c r="GK53" s="2">
        <v>0</v>
      </c>
      <c r="GL53" s="2">
        <v>0</v>
      </c>
      <c r="GM53" s="2">
        <v>0</v>
      </c>
      <c r="GN53" s="3">
        <v>2</v>
      </c>
      <c r="GO53" s="3">
        <v>2</v>
      </c>
      <c r="GP53" s="3">
        <v>1</v>
      </c>
      <c r="GQ53" s="3">
        <v>1</v>
      </c>
      <c r="GR53" s="3">
        <v>1</v>
      </c>
      <c r="GS53" s="3">
        <v>3</v>
      </c>
      <c r="GT53" s="3">
        <v>2</v>
      </c>
      <c r="GU53" s="3">
        <v>1</v>
      </c>
      <c r="GV53" s="3">
        <v>2</v>
      </c>
      <c r="GW53" s="3">
        <v>1</v>
      </c>
      <c r="GX53" s="3">
        <v>2</v>
      </c>
      <c r="GY53" s="3">
        <v>2</v>
      </c>
      <c r="GZ53" s="3">
        <v>2</v>
      </c>
      <c r="HA53" s="3">
        <v>2</v>
      </c>
      <c r="HB53" s="3">
        <v>1</v>
      </c>
      <c r="HC53" s="3">
        <v>0</v>
      </c>
      <c r="HD53" s="3">
        <v>1</v>
      </c>
      <c r="HE53" s="3">
        <v>1</v>
      </c>
      <c r="HF53" s="3">
        <v>1</v>
      </c>
      <c r="HG53" s="3">
        <v>0</v>
      </c>
      <c r="HH53" s="3">
        <v>1</v>
      </c>
      <c r="HI53" s="3">
        <v>3</v>
      </c>
      <c r="HJ53" s="3">
        <v>1</v>
      </c>
      <c r="HK53" s="3">
        <v>1</v>
      </c>
      <c r="HL53" s="3">
        <v>1</v>
      </c>
      <c r="HM53" s="3">
        <v>1</v>
      </c>
      <c r="HN53" s="3">
        <v>0</v>
      </c>
      <c r="HO53" s="3">
        <v>0</v>
      </c>
      <c r="HP53" s="3">
        <v>2</v>
      </c>
      <c r="HQ53" s="3">
        <v>0</v>
      </c>
      <c r="HR53" s="3">
        <v>0</v>
      </c>
      <c r="HS53" s="3">
        <v>0</v>
      </c>
      <c r="HT53" s="3">
        <v>0</v>
      </c>
      <c r="HU53" s="3">
        <v>0</v>
      </c>
      <c r="HV53" s="3">
        <v>0</v>
      </c>
      <c r="HW53" s="3">
        <v>2</v>
      </c>
      <c r="HX53" s="3">
        <v>2</v>
      </c>
      <c r="HY53" s="3">
        <v>1</v>
      </c>
      <c r="HZ53" s="3">
        <v>1</v>
      </c>
      <c r="IA53" s="3">
        <v>1</v>
      </c>
      <c r="IB53" s="3">
        <v>0</v>
      </c>
      <c r="IC53" s="3">
        <v>0</v>
      </c>
      <c r="ID53" s="3">
        <v>1</v>
      </c>
      <c r="IE53" s="3">
        <v>1</v>
      </c>
      <c r="IF53" s="3">
        <v>1</v>
      </c>
      <c r="IG53" s="3">
        <v>0</v>
      </c>
      <c r="IH53" s="3">
        <v>0</v>
      </c>
      <c r="II53" s="3">
        <v>0</v>
      </c>
      <c r="IJ53" s="3">
        <v>0</v>
      </c>
      <c r="IK53" s="3">
        <v>0</v>
      </c>
      <c r="IL53" s="3">
        <v>1</v>
      </c>
      <c r="IM53" s="3">
        <v>1</v>
      </c>
      <c r="IN53" s="3">
        <v>0</v>
      </c>
      <c r="IO53" s="3">
        <v>0</v>
      </c>
      <c r="IP53" s="3">
        <v>1</v>
      </c>
      <c r="IQ53" s="3">
        <v>1</v>
      </c>
      <c r="IR53" s="3" t="s">
        <v>274</v>
      </c>
      <c r="IS53" s="3">
        <v>2</v>
      </c>
      <c r="IT53" s="3">
        <v>1</v>
      </c>
      <c r="IU53" s="3">
        <v>4</v>
      </c>
      <c r="IV53" s="3">
        <v>3</v>
      </c>
      <c r="IW53" s="3">
        <v>2</v>
      </c>
      <c r="IX53" s="3">
        <v>0</v>
      </c>
      <c r="IY53" s="3">
        <v>1</v>
      </c>
      <c r="IZ53" s="2" t="s">
        <v>268</v>
      </c>
      <c r="JA53" s="2"/>
    </row>
    <row r="54" spans="1:261" ht="13.2" x14ac:dyDescent="0.25">
      <c r="A54" s="10" t="s">
        <v>274</v>
      </c>
      <c r="B54" s="2" t="s">
        <v>544</v>
      </c>
      <c r="C54" s="2" t="s">
        <v>276</v>
      </c>
      <c r="D54" s="2" t="s">
        <v>270</v>
      </c>
      <c r="E54" s="2">
        <v>24</v>
      </c>
      <c r="F54" s="11" t="s">
        <v>545</v>
      </c>
      <c r="G54" s="11" t="s">
        <v>546</v>
      </c>
      <c r="H54" s="2" t="s">
        <v>547</v>
      </c>
      <c r="I54" s="3">
        <v>4</v>
      </c>
      <c r="J54" s="3">
        <v>0</v>
      </c>
      <c r="K54" s="3">
        <v>0</v>
      </c>
      <c r="L54" s="3">
        <v>3</v>
      </c>
      <c r="M54" s="3">
        <v>3</v>
      </c>
      <c r="N54" s="3">
        <v>3</v>
      </c>
      <c r="O54" s="3">
        <v>3</v>
      </c>
      <c r="P54" s="3">
        <v>4</v>
      </c>
      <c r="Q54" s="3">
        <v>4</v>
      </c>
      <c r="R54" s="3">
        <v>3</v>
      </c>
      <c r="S54" s="3">
        <v>4</v>
      </c>
      <c r="T54" s="3">
        <v>3</v>
      </c>
      <c r="U54" s="3">
        <v>4</v>
      </c>
      <c r="V54" s="3">
        <v>1</v>
      </c>
      <c r="W54" s="3">
        <v>4</v>
      </c>
      <c r="X54" s="3">
        <v>4</v>
      </c>
      <c r="Y54" s="3">
        <v>4</v>
      </c>
      <c r="Z54" s="3">
        <v>4</v>
      </c>
      <c r="AA54" s="3">
        <v>0</v>
      </c>
      <c r="AB54" s="3">
        <v>0</v>
      </c>
      <c r="AC54" s="3">
        <v>0</v>
      </c>
      <c r="AD54" s="3">
        <v>0</v>
      </c>
      <c r="AE54" s="3">
        <v>4</v>
      </c>
      <c r="AF54" s="3">
        <v>0</v>
      </c>
      <c r="AG54" s="3">
        <v>0</v>
      </c>
      <c r="AH54" s="3">
        <v>0</v>
      </c>
      <c r="AI54" s="3">
        <v>4</v>
      </c>
      <c r="AJ54" s="3">
        <v>4</v>
      </c>
      <c r="AK54" s="3">
        <v>4</v>
      </c>
      <c r="AL54" s="3">
        <v>4</v>
      </c>
      <c r="AM54" s="3">
        <v>0</v>
      </c>
      <c r="AN54" s="3">
        <v>2</v>
      </c>
      <c r="AO54" s="3">
        <v>3</v>
      </c>
      <c r="AP54" s="3">
        <v>3</v>
      </c>
      <c r="AQ54" s="3">
        <v>3</v>
      </c>
      <c r="AR54" s="3">
        <v>3</v>
      </c>
      <c r="AS54" s="3">
        <v>3</v>
      </c>
      <c r="AT54" s="3">
        <v>3</v>
      </c>
      <c r="AU54" s="3">
        <v>0</v>
      </c>
      <c r="AV54" s="3">
        <v>0</v>
      </c>
      <c r="AW54" s="3">
        <v>4</v>
      </c>
      <c r="AX54" s="3">
        <v>4</v>
      </c>
      <c r="AY54" s="3">
        <v>4</v>
      </c>
      <c r="AZ54" s="3">
        <v>4</v>
      </c>
      <c r="BA54" s="3">
        <v>4</v>
      </c>
      <c r="BB54" s="3">
        <v>3</v>
      </c>
      <c r="BC54" s="3">
        <v>3</v>
      </c>
      <c r="BD54" s="3">
        <v>3</v>
      </c>
      <c r="BE54" s="3">
        <v>3</v>
      </c>
      <c r="BF54" s="3">
        <v>4</v>
      </c>
      <c r="BG54" s="3">
        <v>4</v>
      </c>
      <c r="BH54" s="3">
        <v>4</v>
      </c>
      <c r="BI54" s="3">
        <v>4</v>
      </c>
      <c r="BJ54" s="3">
        <v>1</v>
      </c>
      <c r="BK54" s="3">
        <v>1</v>
      </c>
      <c r="BL54" s="3">
        <v>1</v>
      </c>
      <c r="BM54" s="3" t="s">
        <v>548</v>
      </c>
      <c r="BN54" s="3">
        <v>3</v>
      </c>
      <c r="BO54" s="3">
        <v>4</v>
      </c>
      <c r="BP54" s="3">
        <v>4</v>
      </c>
      <c r="BQ54" s="3">
        <v>4</v>
      </c>
      <c r="BR54" s="3">
        <v>3</v>
      </c>
      <c r="BS54" s="3">
        <v>2</v>
      </c>
      <c r="BT54" s="3">
        <v>4</v>
      </c>
      <c r="BU54" s="2">
        <v>3</v>
      </c>
      <c r="BV54" s="2">
        <v>0</v>
      </c>
      <c r="BW54" s="2">
        <v>4</v>
      </c>
      <c r="BX54" s="2">
        <v>2</v>
      </c>
      <c r="BY54" s="2">
        <v>1</v>
      </c>
      <c r="BZ54" s="2">
        <v>3</v>
      </c>
      <c r="CA54" s="2">
        <v>2</v>
      </c>
      <c r="CB54" s="2">
        <v>0</v>
      </c>
      <c r="CC54" s="2">
        <v>0</v>
      </c>
      <c r="CD54" s="2">
        <v>0</v>
      </c>
      <c r="CE54" s="2">
        <v>0</v>
      </c>
      <c r="CF54" s="2">
        <v>0</v>
      </c>
      <c r="CG54" s="2">
        <v>0</v>
      </c>
      <c r="CH54" s="2">
        <v>0</v>
      </c>
      <c r="CI54" s="2">
        <v>2</v>
      </c>
      <c r="CJ54" s="2">
        <v>2</v>
      </c>
      <c r="CK54" s="2">
        <v>3</v>
      </c>
      <c r="CL54" s="2">
        <v>1</v>
      </c>
      <c r="CM54" s="2">
        <v>3</v>
      </c>
      <c r="CN54" s="2">
        <v>3</v>
      </c>
      <c r="CO54" s="2">
        <v>3</v>
      </c>
      <c r="CP54" s="2">
        <v>3</v>
      </c>
      <c r="CQ54" s="2">
        <v>0</v>
      </c>
      <c r="CR54" s="2">
        <v>4</v>
      </c>
      <c r="CS54" s="2">
        <v>4</v>
      </c>
      <c r="CT54" s="2">
        <v>4</v>
      </c>
      <c r="CU54" s="2">
        <v>4</v>
      </c>
      <c r="CV54" s="2">
        <v>3</v>
      </c>
      <c r="CW54" s="2">
        <v>3</v>
      </c>
      <c r="CX54" s="2">
        <v>3</v>
      </c>
      <c r="CY54" s="2">
        <v>2</v>
      </c>
      <c r="CZ54" s="2">
        <v>3</v>
      </c>
      <c r="DA54" s="2">
        <v>1</v>
      </c>
      <c r="DB54" s="2">
        <v>1</v>
      </c>
      <c r="DC54" s="2">
        <v>1</v>
      </c>
      <c r="DD54" s="2">
        <v>1</v>
      </c>
      <c r="DE54" s="2">
        <v>4</v>
      </c>
      <c r="DF54" s="2">
        <v>4</v>
      </c>
      <c r="DG54" s="2">
        <v>4</v>
      </c>
      <c r="DH54" s="2">
        <v>4</v>
      </c>
      <c r="DI54" s="2">
        <v>4</v>
      </c>
      <c r="DJ54" s="2">
        <v>4</v>
      </c>
      <c r="DK54" s="2">
        <v>4</v>
      </c>
      <c r="DL54" s="2">
        <v>4</v>
      </c>
      <c r="DM54" s="2">
        <v>4</v>
      </c>
      <c r="DN54" s="2">
        <v>4</v>
      </c>
      <c r="DO54" s="2">
        <v>4</v>
      </c>
      <c r="DP54" s="2">
        <v>0</v>
      </c>
      <c r="DQ54" s="2">
        <v>3</v>
      </c>
      <c r="DR54" s="2">
        <v>0</v>
      </c>
      <c r="DS54" s="2">
        <v>0</v>
      </c>
      <c r="DT54" s="2">
        <v>2</v>
      </c>
      <c r="DU54" s="2">
        <v>0</v>
      </c>
      <c r="DV54" s="2">
        <v>2</v>
      </c>
      <c r="DW54" s="2">
        <v>2</v>
      </c>
      <c r="DX54" s="2">
        <v>4</v>
      </c>
      <c r="DY54" s="2">
        <v>4</v>
      </c>
      <c r="DZ54" s="2">
        <v>4</v>
      </c>
      <c r="EA54" s="2">
        <v>4</v>
      </c>
      <c r="EB54" s="2">
        <v>4</v>
      </c>
      <c r="EC54" s="2">
        <v>0</v>
      </c>
      <c r="ED54" s="2">
        <v>0</v>
      </c>
      <c r="EE54" s="2">
        <v>0</v>
      </c>
      <c r="EF54" s="2">
        <v>0</v>
      </c>
      <c r="EG54" s="2">
        <v>0</v>
      </c>
      <c r="EH54" s="2">
        <v>0</v>
      </c>
      <c r="EI54" s="2">
        <v>4</v>
      </c>
      <c r="EJ54" s="2">
        <v>4</v>
      </c>
      <c r="EK54" s="2">
        <v>4</v>
      </c>
      <c r="EL54" s="2">
        <v>4</v>
      </c>
      <c r="EM54" s="2">
        <v>4</v>
      </c>
      <c r="EN54" s="2">
        <v>0</v>
      </c>
      <c r="EO54" s="2">
        <v>0</v>
      </c>
      <c r="EP54" s="2">
        <v>0</v>
      </c>
      <c r="EQ54" s="2">
        <v>3</v>
      </c>
      <c r="ER54" s="2">
        <v>1</v>
      </c>
      <c r="ES54" s="2">
        <v>1</v>
      </c>
      <c r="ET54" s="2">
        <v>0</v>
      </c>
      <c r="EU54" s="2">
        <v>3</v>
      </c>
      <c r="EV54" s="2">
        <v>3</v>
      </c>
      <c r="EW54" s="2">
        <v>1</v>
      </c>
      <c r="EX54" s="2">
        <v>4</v>
      </c>
      <c r="EY54" s="2">
        <v>4</v>
      </c>
      <c r="EZ54" s="2">
        <v>3</v>
      </c>
      <c r="FA54" s="2">
        <v>2</v>
      </c>
      <c r="FB54" s="2">
        <v>1</v>
      </c>
      <c r="FC54" s="2">
        <v>0</v>
      </c>
      <c r="FD54" s="2">
        <v>0</v>
      </c>
      <c r="FE54" s="2">
        <v>0</v>
      </c>
      <c r="FF54" s="2">
        <v>0</v>
      </c>
      <c r="FG54" s="2">
        <v>0</v>
      </c>
      <c r="FH54" s="2">
        <v>0</v>
      </c>
      <c r="FI54" s="2">
        <v>0</v>
      </c>
      <c r="FJ54" s="2">
        <v>0</v>
      </c>
      <c r="FK54" s="2">
        <v>4</v>
      </c>
      <c r="FL54" s="2">
        <v>4</v>
      </c>
      <c r="FM54" s="2">
        <v>4</v>
      </c>
      <c r="FN54" s="2">
        <v>4</v>
      </c>
      <c r="FO54" s="2">
        <v>4</v>
      </c>
      <c r="FP54" s="2">
        <v>4</v>
      </c>
      <c r="FQ54" s="2">
        <v>3</v>
      </c>
      <c r="FR54" s="2">
        <v>2</v>
      </c>
      <c r="FS54" s="2">
        <v>3</v>
      </c>
      <c r="FT54" s="2">
        <v>3</v>
      </c>
      <c r="FU54" s="2">
        <v>4</v>
      </c>
      <c r="FV54" s="2">
        <v>4</v>
      </c>
      <c r="FW54" s="2">
        <v>1</v>
      </c>
      <c r="FX54" s="2">
        <v>4</v>
      </c>
      <c r="FY54" s="2">
        <v>2</v>
      </c>
      <c r="FZ54" s="2">
        <v>4</v>
      </c>
      <c r="GA54" s="2">
        <v>1</v>
      </c>
      <c r="GB54" s="2">
        <v>0</v>
      </c>
      <c r="GC54" s="2" t="s">
        <v>548</v>
      </c>
      <c r="GD54" s="2">
        <v>4</v>
      </c>
      <c r="GE54" s="2">
        <v>0</v>
      </c>
      <c r="GF54" s="2">
        <v>4</v>
      </c>
      <c r="GG54" s="2">
        <v>0</v>
      </c>
      <c r="GH54" s="2">
        <v>4</v>
      </c>
      <c r="GI54" s="2">
        <v>3</v>
      </c>
      <c r="GJ54" s="2">
        <v>1</v>
      </c>
      <c r="GK54" s="2">
        <v>1</v>
      </c>
      <c r="GL54" s="2">
        <v>3</v>
      </c>
      <c r="GM54" s="2">
        <v>2</v>
      </c>
      <c r="GN54" s="3">
        <v>4</v>
      </c>
      <c r="GO54" s="3">
        <v>4</v>
      </c>
      <c r="GP54" s="3">
        <v>4</v>
      </c>
      <c r="GQ54" s="3">
        <v>0</v>
      </c>
      <c r="GR54" s="3">
        <v>0</v>
      </c>
      <c r="GS54" s="3">
        <v>0</v>
      </c>
      <c r="GT54" s="3">
        <v>4</v>
      </c>
      <c r="GU54" s="3">
        <v>0</v>
      </c>
      <c r="GV54" s="3">
        <v>4</v>
      </c>
      <c r="GW54" s="3">
        <v>4</v>
      </c>
      <c r="GX54" s="3">
        <v>0</v>
      </c>
      <c r="GY54" s="3">
        <v>0</v>
      </c>
      <c r="GZ54" s="3">
        <v>4</v>
      </c>
      <c r="HA54" s="3">
        <v>0</v>
      </c>
      <c r="HB54" s="3">
        <v>0</v>
      </c>
      <c r="HC54" s="3">
        <v>0</v>
      </c>
      <c r="HD54" s="3">
        <v>4</v>
      </c>
      <c r="HE54" s="3">
        <v>0</v>
      </c>
      <c r="HF54" s="3">
        <v>0</v>
      </c>
      <c r="HG54" s="3">
        <v>0</v>
      </c>
      <c r="HH54" s="3">
        <v>1</v>
      </c>
      <c r="HI54" s="3">
        <v>0</v>
      </c>
      <c r="HJ54" s="3">
        <v>4</v>
      </c>
      <c r="HK54" s="3">
        <v>4</v>
      </c>
      <c r="HL54" s="3">
        <v>0</v>
      </c>
      <c r="HM54" s="3">
        <v>4</v>
      </c>
      <c r="HN54" s="3">
        <v>0</v>
      </c>
      <c r="HO54" s="3">
        <v>4</v>
      </c>
      <c r="HP54" s="3">
        <v>0</v>
      </c>
      <c r="HQ54" s="3">
        <v>4</v>
      </c>
      <c r="HR54" s="3">
        <v>0</v>
      </c>
      <c r="HS54" s="3">
        <v>0</v>
      </c>
      <c r="HT54" s="3">
        <v>0</v>
      </c>
      <c r="HU54" s="3">
        <v>0</v>
      </c>
      <c r="HV54" s="3">
        <v>0</v>
      </c>
      <c r="HW54" s="3">
        <v>0</v>
      </c>
      <c r="HX54" s="3">
        <v>0</v>
      </c>
      <c r="HY54" s="3">
        <v>0</v>
      </c>
      <c r="HZ54" s="3">
        <v>2</v>
      </c>
      <c r="IA54" s="3">
        <v>4</v>
      </c>
      <c r="IB54" s="3">
        <v>0</v>
      </c>
      <c r="IC54" s="3">
        <v>0</v>
      </c>
      <c r="ID54" s="3">
        <v>1</v>
      </c>
      <c r="IE54" s="3">
        <v>0</v>
      </c>
      <c r="IF54" s="3">
        <v>3</v>
      </c>
      <c r="IG54" s="3">
        <v>4</v>
      </c>
      <c r="IH54" s="3">
        <v>0</v>
      </c>
      <c r="II54" s="3">
        <v>0</v>
      </c>
      <c r="IJ54" s="3">
        <v>0</v>
      </c>
      <c r="IK54" s="3">
        <v>0</v>
      </c>
      <c r="IL54" s="3">
        <v>0</v>
      </c>
      <c r="IM54" s="3">
        <v>4</v>
      </c>
      <c r="IN54" s="3">
        <v>0</v>
      </c>
      <c r="IO54" s="3">
        <v>3</v>
      </c>
      <c r="IP54" s="3">
        <v>0</v>
      </c>
      <c r="IQ54" s="3">
        <v>4</v>
      </c>
      <c r="IR54" s="3" t="s">
        <v>549</v>
      </c>
      <c r="IS54" s="3">
        <v>0</v>
      </c>
      <c r="IT54" s="3">
        <v>4</v>
      </c>
      <c r="IU54" s="3">
        <v>0</v>
      </c>
      <c r="IV54" s="3">
        <v>3</v>
      </c>
      <c r="IW54" s="3">
        <v>4</v>
      </c>
      <c r="IX54" s="3">
        <v>3</v>
      </c>
      <c r="IY54" s="3">
        <v>0</v>
      </c>
      <c r="IZ54" s="2" t="s">
        <v>268</v>
      </c>
      <c r="JA54" s="2"/>
    </row>
    <row r="55" spans="1:261" ht="13.2" x14ac:dyDescent="0.25">
      <c r="A55" s="10" t="s">
        <v>274</v>
      </c>
      <c r="B55" s="2" t="s">
        <v>550</v>
      </c>
      <c r="C55" s="2" t="s">
        <v>276</v>
      </c>
      <c r="D55" s="2" t="s">
        <v>270</v>
      </c>
      <c r="E55" s="2">
        <v>18</v>
      </c>
      <c r="F55" s="11" t="s">
        <v>551</v>
      </c>
      <c r="G55" s="11" t="s">
        <v>552</v>
      </c>
      <c r="H55" s="2" t="s">
        <v>553</v>
      </c>
      <c r="I55" s="3">
        <v>1</v>
      </c>
      <c r="J55" s="3">
        <v>0</v>
      </c>
      <c r="K55" s="3">
        <v>1</v>
      </c>
      <c r="L55" s="3">
        <v>2</v>
      </c>
      <c r="M55" s="3">
        <v>2</v>
      </c>
      <c r="N55" s="3">
        <v>2</v>
      </c>
      <c r="O55" s="3">
        <v>2</v>
      </c>
      <c r="P55" s="3">
        <v>1</v>
      </c>
      <c r="Q55" s="3">
        <v>1</v>
      </c>
      <c r="R55" s="3">
        <v>1</v>
      </c>
      <c r="S55" s="3">
        <v>0</v>
      </c>
      <c r="T55" s="3">
        <v>0</v>
      </c>
      <c r="U55" s="3">
        <v>0</v>
      </c>
      <c r="V55" s="3">
        <v>1</v>
      </c>
      <c r="W55" s="3">
        <v>0</v>
      </c>
      <c r="X55" s="3">
        <v>0</v>
      </c>
      <c r="Y55" s="3">
        <v>1</v>
      </c>
      <c r="Z55" s="3">
        <v>1</v>
      </c>
      <c r="AA55" s="3">
        <v>1</v>
      </c>
      <c r="AB55" s="3">
        <v>1</v>
      </c>
      <c r="AC55" s="3">
        <v>1</v>
      </c>
      <c r="AD55" s="3">
        <v>1</v>
      </c>
      <c r="AE55" s="3">
        <v>1</v>
      </c>
      <c r="AF55" s="3">
        <v>0</v>
      </c>
      <c r="AG55" s="3">
        <v>2</v>
      </c>
      <c r="AH55" s="3">
        <v>1</v>
      </c>
      <c r="AI55" s="3">
        <v>2</v>
      </c>
      <c r="AJ55" s="3">
        <v>2</v>
      </c>
      <c r="AK55" s="3">
        <v>2</v>
      </c>
      <c r="AL55" s="3">
        <v>1</v>
      </c>
      <c r="AM55" s="3">
        <v>0</v>
      </c>
      <c r="AN55" s="3">
        <v>0</v>
      </c>
      <c r="AO55" s="3">
        <v>2</v>
      </c>
      <c r="AP55" s="3">
        <v>2</v>
      </c>
      <c r="AQ55" s="3">
        <v>1</v>
      </c>
      <c r="AR55" s="3">
        <v>2</v>
      </c>
      <c r="AS55" s="3">
        <v>1</v>
      </c>
      <c r="AT55" s="3">
        <v>1</v>
      </c>
      <c r="AU55" s="3">
        <v>1</v>
      </c>
      <c r="AV55" s="3">
        <v>1</v>
      </c>
      <c r="AW55" s="3">
        <v>3</v>
      </c>
      <c r="AX55" s="3">
        <v>2</v>
      </c>
      <c r="AY55" s="3">
        <v>2</v>
      </c>
      <c r="AZ55" s="3">
        <v>3</v>
      </c>
      <c r="BA55" s="3">
        <v>1</v>
      </c>
      <c r="BB55" s="3">
        <v>2</v>
      </c>
      <c r="BC55" s="3">
        <v>1</v>
      </c>
      <c r="BD55" s="3">
        <v>3</v>
      </c>
      <c r="BE55" s="3">
        <v>1</v>
      </c>
      <c r="BF55" s="3">
        <v>1</v>
      </c>
      <c r="BG55" s="3">
        <v>1</v>
      </c>
      <c r="BH55" s="3">
        <v>1</v>
      </c>
      <c r="BI55" s="3">
        <v>1</v>
      </c>
      <c r="BJ55" s="3">
        <v>2</v>
      </c>
      <c r="BK55" s="3">
        <v>1</v>
      </c>
      <c r="BL55" s="3">
        <v>0</v>
      </c>
      <c r="BM55" s="3" t="s">
        <v>274</v>
      </c>
      <c r="BN55" s="3" t="s">
        <v>274</v>
      </c>
      <c r="BO55" s="3" t="s">
        <v>274</v>
      </c>
      <c r="BP55" s="3" t="s">
        <v>274</v>
      </c>
      <c r="BQ55" s="3" t="s">
        <v>274</v>
      </c>
      <c r="BR55" s="3" t="s">
        <v>274</v>
      </c>
      <c r="BS55" s="3" t="s">
        <v>274</v>
      </c>
      <c r="BT55" s="3" t="s">
        <v>274</v>
      </c>
      <c r="BU55" s="2">
        <v>1</v>
      </c>
      <c r="BV55" s="2">
        <v>1</v>
      </c>
      <c r="BW55" s="2">
        <v>1</v>
      </c>
      <c r="BX55" s="2">
        <v>2</v>
      </c>
      <c r="BY55" s="2">
        <v>1</v>
      </c>
      <c r="BZ55" s="2">
        <v>1</v>
      </c>
      <c r="CA55" s="2">
        <v>1</v>
      </c>
      <c r="CB55" s="2">
        <v>2</v>
      </c>
      <c r="CC55" s="2">
        <v>1</v>
      </c>
      <c r="CD55" s="2">
        <v>2</v>
      </c>
      <c r="CE55" s="2">
        <v>1</v>
      </c>
      <c r="CF55" s="2">
        <v>1</v>
      </c>
      <c r="CG55" s="2">
        <v>1</v>
      </c>
      <c r="CH55" s="2">
        <v>1</v>
      </c>
      <c r="CI55" s="2">
        <v>1</v>
      </c>
      <c r="CJ55" s="2">
        <v>1</v>
      </c>
      <c r="CK55" s="2">
        <v>1</v>
      </c>
      <c r="CL55" s="2">
        <v>1</v>
      </c>
      <c r="CM55" s="2">
        <v>1</v>
      </c>
      <c r="CN55" s="2">
        <v>1</v>
      </c>
      <c r="CO55" s="2">
        <v>1</v>
      </c>
      <c r="CP55" s="2">
        <v>1</v>
      </c>
      <c r="CQ55" s="2">
        <v>1</v>
      </c>
      <c r="CR55" s="2">
        <v>1</v>
      </c>
      <c r="CS55" s="2">
        <v>1</v>
      </c>
      <c r="CT55" s="2">
        <v>1</v>
      </c>
      <c r="CU55" s="2">
        <v>1</v>
      </c>
      <c r="CV55" s="2">
        <v>2</v>
      </c>
      <c r="CW55" s="2">
        <v>2</v>
      </c>
      <c r="CX55" s="2">
        <v>2</v>
      </c>
      <c r="CY55" s="2">
        <v>2</v>
      </c>
      <c r="CZ55" s="2">
        <v>1</v>
      </c>
      <c r="DA55" s="2">
        <v>1</v>
      </c>
      <c r="DB55" s="2">
        <v>1</v>
      </c>
      <c r="DC55" s="2">
        <v>1</v>
      </c>
      <c r="DD55" s="2">
        <v>1</v>
      </c>
      <c r="DE55" s="2">
        <v>1</v>
      </c>
      <c r="DF55" s="2">
        <v>2</v>
      </c>
      <c r="DG55" s="2">
        <v>2</v>
      </c>
      <c r="DH55" s="2">
        <v>2</v>
      </c>
      <c r="DI55" s="2">
        <v>2</v>
      </c>
      <c r="DJ55" s="2">
        <v>1</v>
      </c>
      <c r="DK55" s="2">
        <v>1</v>
      </c>
      <c r="DL55" s="2">
        <v>2</v>
      </c>
      <c r="DM55" s="2">
        <v>2</v>
      </c>
      <c r="DN55" s="2">
        <v>1</v>
      </c>
      <c r="DO55" s="2">
        <v>1</v>
      </c>
      <c r="DP55" s="2">
        <v>2</v>
      </c>
      <c r="DQ55" s="2">
        <v>2</v>
      </c>
      <c r="DR55" s="2">
        <v>1</v>
      </c>
      <c r="DS55" s="2">
        <v>1</v>
      </c>
      <c r="DT55" s="2">
        <v>1</v>
      </c>
      <c r="DU55" s="2">
        <v>1</v>
      </c>
      <c r="DV55" s="2">
        <v>1</v>
      </c>
      <c r="DW55" s="2">
        <v>1</v>
      </c>
      <c r="DX55" s="2">
        <v>1</v>
      </c>
      <c r="DY55" s="2">
        <v>1</v>
      </c>
      <c r="DZ55" s="2">
        <v>1</v>
      </c>
      <c r="EA55" s="2">
        <v>1</v>
      </c>
      <c r="EB55" s="2">
        <v>1</v>
      </c>
      <c r="EC55" s="2">
        <v>1</v>
      </c>
      <c r="ED55" s="2">
        <v>1</v>
      </c>
      <c r="EE55" s="2">
        <v>1</v>
      </c>
      <c r="EF55" s="2">
        <v>1</v>
      </c>
      <c r="EG55" s="2">
        <v>1</v>
      </c>
      <c r="EH55" s="2">
        <v>1</v>
      </c>
      <c r="EI55" s="2">
        <v>1</v>
      </c>
      <c r="EJ55" s="2">
        <v>1</v>
      </c>
      <c r="EK55" s="2">
        <v>1</v>
      </c>
      <c r="EL55" s="2">
        <v>1</v>
      </c>
      <c r="EM55" s="2">
        <v>1</v>
      </c>
      <c r="EN55" s="2">
        <v>1</v>
      </c>
      <c r="EO55" s="2">
        <v>1</v>
      </c>
      <c r="EP55" s="2">
        <v>1</v>
      </c>
      <c r="EQ55" s="2">
        <v>1</v>
      </c>
      <c r="ER55" s="2">
        <v>1</v>
      </c>
      <c r="ES55" s="2">
        <v>1</v>
      </c>
      <c r="ET55" s="2">
        <v>1</v>
      </c>
      <c r="EU55" s="2">
        <v>1</v>
      </c>
      <c r="EV55" s="2">
        <v>1</v>
      </c>
      <c r="EW55" s="2">
        <v>1</v>
      </c>
      <c r="EX55" s="2">
        <v>1</v>
      </c>
      <c r="EY55" s="2">
        <v>1</v>
      </c>
      <c r="EZ55" s="2">
        <v>1</v>
      </c>
      <c r="FA55" s="2">
        <v>1</v>
      </c>
      <c r="FB55" s="2">
        <v>1</v>
      </c>
      <c r="FC55" s="2">
        <v>1</v>
      </c>
      <c r="FD55" s="2">
        <v>1</v>
      </c>
      <c r="FE55" s="2">
        <v>1</v>
      </c>
      <c r="FF55" s="2">
        <v>1</v>
      </c>
      <c r="FG55" s="2">
        <v>1</v>
      </c>
      <c r="FH55" s="2">
        <v>1</v>
      </c>
      <c r="FI55" s="2">
        <v>1</v>
      </c>
      <c r="FJ55" s="2">
        <v>1</v>
      </c>
      <c r="FK55" s="2">
        <v>1</v>
      </c>
      <c r="FL55" s="2">
        <v>1</v>
      </c>
      <c r="FM55" s="2">
        <v>1</v>
      </c>
      <c r="FN55" s="2">
        <v>1</v>
      </c>
      <c r="FO55" s="2">
        <v>1</v>
      </c>
      <c r="FP55" s="2">
        <v>1</v>
      </c>
      <c r="FQ55" s="2">
        <v>1</v>
      </c>
      <c r="FR55" s="2">
        <v>1</v>
      </c>
      <c r="FS55" s="2">
        <v>1</v>
      </c>
      <c r="FT55" s="2">
        <v>1</v>
      </c>
      <c r="FU55" s="2">
        <v>1</v>
      </c>
      <c r="FV55" s="2">
        <v>1</v>
      </c>
      <c r="FW55" s="2">
        <v>1</v>
      </c>
      <c r="FX55" s="2">
        <v>1</v>
      </c>
      <c r="FY55" s="2">
        <v>1</v>
      </c>
      <c r="FZ55" s="2">
        <v>1</v>
      </c>
      <c r="GA55" s="2">
        <v>1</v>
      </c>
      <c r="GB55" s="2">
        <v>0</v>
      </c>
      <c r="GC55" s="2" t="s">
        <v>274</v>
      </c>
      <c r="GD55" s="2" t="s">
        <v>274</v>
      </c>
      <c r="GE55" s="2" t="s">
        <v>274</v>
      </c>
      <c r="GF55" s="2" t="s">
        <v>274</v>
      </c>
      <c r="GG55" s="2" t="s">
        <v>274</v>
      </c>
      <c r="GH55" s="2" t="s">
        <v>274</v>
      </c>
      <c r="GI55" s="2" t="s">
        <v>274</v>
      </c>
      <c r="GJ55" s="2" t="s">
        <v>274</v>
      </c>
      <c r="GK55" s="2" t="s">
        <v>274</v>
      </c>
      <c r="GL55" s="2" t="s">
        <v>274</v>
      </c>
      <c r="GM55" s="2" t="s">
        <v>274</v>
      </c>
      <c r="GN55" s="3">
        <v>1</v>
      </c>
      <c r="GO55" s="3">
        <v>1</v>
      </c>
      <c r="GP55" s="3">
        <v>1</v>
      </c>
      <c r="GQ55" s="3">
        <v>1</v>
      </c>
      <c r="GR55" s="3">
        <v>1</v>
      </c>
      <c r="GS55" s="3">
        <v>0</v>
      </c>
      <c r="GT55" s="3">
        <v>0</v>
      </c>
      <c r="GU55" s="3">
        <v>0</v>
      </c>
      <c r="GV55" s="3">
        <v>0</v>
      </c>
      <c r="GW55" s="3">
        <v>0</v>
      </c>
      <c r="GX55" s="3">
        <v>0</v>
      </c>
      <c r="GY55" s="3">
        <v>0</v>
      </c>
      <c r="GZ55" s="3">
        <v>0</v>
      </c>
      <c r="HA55" s="3">
        <v>0</v>
      </c>
      <c r="HB55" s="3">
        <v>0</v>
      </c>
      <c r="HC55" s="3">
        <v>0</v>
      </c>
      <c r="HD55" s="3">
        <v>0</v>
      </c>
      <c r="HE55" s="3">
        <v>0</v>
      </c>
      <c r="HF55" s="3">
        <v>0</v>
      </c>
      <c r="HG55" s="3">
        <v>0</v>
      </c>
      <c r="HH55" s="3">
        <v>0</v>
      </c>
      <c r="HI55" s="3">
        <v>0</v>
      </c>
      <c r="HJ55" s="3">
        <v>0</v>
      </c>
      <c r="HK55" s="3">
        <v>0</v>
      </c>
      <c r="HL55" s="3">
        <v>0</v>
      </c>
      <c r="HM55" s="3">
        <v>0</v>
      </c>
      <c r="HN55" s="3">
        <v>0</v>
      </c>
      <c r="HO55" s="3">
        <v>0</v>
      </c>
      <c r="HP55" s="3">
        <v>0</v>
      </c>
      <c r="HQ55" s="3">
        <v>0</v>
      </c>
      <c r="HR55" s="3">
        <v>0</v>
      </c>
      <c r="HS55" s="3">
        <v>0</v>
      </c>
      <c r="HT55" s="3">
        <v>0</v>
      </c>
      <c r="HU55" s="3">
        <v>0</v>
      </c>
      <c r="HV55" s="3">
        <v>0</v>
      </c>
      <c r="HW55" s="3">
        <v>0</v>
      </c>
      <c r="HX55" s="3">
        <v>0</v>
      </c>
      <c r="HY55" s="3">
        <v>0</v>
      </c>
      <c r="HZ55" s="3">
        <v>0</v>
      </c>
      <c r="IA55" s="3">
        <v>0</v>
      </c>
      <c r="IB55" s="3">
        <v>0</v>
      </c>
      <c r="IC55" s="3">
        <v>0</v>
      </c>
      <c r="ID55" s="3">
        <v>0</v>
      </c>
      <c r="IE55" s="3">
        <v>0</v>
      </c>
      <c r="IF55" s="3">
        <v>0</v>
      </c>
      <c r="IG55" s="3">
        <v>0</v>
      </c>
      <c r="IH55" s="3">
        <v>0</v>
      </c>
      <c r="II55" s="3">
        <v>0</v>
      </c>
      <c r="IJ55" s="3">
        <v>0</v>
      </c>
      <c r="IK55" s="3">
        <v>0</v>
      </c>
      <c r="IL55" s="3">
        <v>0</v>
      </c>
      <c r="IM55" s="3">
        <v>0</v>
      </c>
      <c r="IN55" s="3">
        <v>0</v>
      </c>
      <c r="IO55" s="3">
        <v>0</v>
      </c>
      <c r="IP55" s="3">
        <v>0</v>
      </c>
      <c r="IQ55" s="3">
        <v>1</v>
      </c>
      <c r="IR55" s="3" t="s">
        <v>274</v>
      </c>
      <c r="IS55" s="3">
        <v>1</v>
      </c>
      <c r="IT55" s="3">
        <v>1</v>
      </c>
      <c r="IU55" s="3">
        <v>0</v>
      </c>
      <c r="IV55" s="3">
        <v>1</v>
      </c>
      <c r="IW55" s="3">
        <v>0</v>
      </c>
      <c r="IX55" s="3">
        <v>1</v>
      </c>
      <c r="IY55" s="3">
        <v>0</v>
      </c>
      <c r="IZ55" s="2" t="s">
        <v>268</v>
      </c>
      <c r="JA55" s="2"/>
    </row>
    <row r="56" spans="1:261" ht="13.2" x14ac:dyDescent="0.25">
      <c r="A56" s="10" t="s">
        <v>274</v>
      </c>
      <c r="B56" s="2" t="s">
        <v>554</v>
      </c>
      <c r="C56" s="2" t="s">
        <v>261</v>
      </c>
      <c r="D56" s="2" t="s">
        <v>262</v>
      </c>
      <c r="E56" s="2">
        <v>40</v>
      </c>
      <c r="F56" s="11" t="s">
        <v>555</v>
      </c>
      <c r="G56" s="11" t="s">
        <v>555</v>
      </c>
      <c r="H56" s="2" t="s">
        <v>556</v>
      </c>
      <c r="I56" s="3">
        <v>1</v>
      </c>
      <c r="J56" s="3">
        <v>1</v>
      </c>
      <c r="K56" s="3">
        <v>1</v>
      </c>
      <c r="L56" s="3">
        <v>3</v>
      </c>
      <c r="M56" s="3">
        <v>3</v>
      </c>
      <c r="N56" s="3">
        <v>4</v>
      </c>
      <c r="O56" s="3">
        <v>4</v>
      </c>
      <c r="P56" s="3">
        <v>1</v>
      </c>
      <c r="Q56" s="3">
        <v>1</v>
      </c>
      <c r="R56" s="3">
        <v>0</v>
      </c>
      <c r="S56" s="3">
        <v>1</v>
      </c>
      <c r="T56" s="3">
        <v>2</v>
      </c>
      <c r="U56" s="3">
        <v>2</v>
      </c>
      <c r="V56" s="3">
        <v>2</v>
      </c>
      <c r="W56" s="3">
        <v>3</v>
      </c>
      <c r="X56" s="3">
        <v>2</v>
      </c>
      <c r="Y56" s="3">
        <v>1</v>
      </c>
      <c r="Z56" s="3">
        <v>1</v>
      </c>
      <c r="AA56" s="3">
        <v>3</v>
      </c>
      <c r="AB56" s="3">
        <v>3</v>
      </c>
      <c r="AC56" s="3">
        <v>3</v>
      </c>
      <c r="AD56" s="3">
        <v>3</v>
      </c>
      <c r="AE56" s="3">
        <v>3</v>
      </c>
      <c r="AF56" s="3">
        <v>0</v>
      </c>
      <c r="AG56" s="3">
        <v>0</v>
      </c>
      <c r="AH56" s="3">
        <v>0</v>
      </c>
      <c r="AI56" s="3">
        <v>3</v>
      </c>
      <c r="AJ56" s="3">
        <v>3</v>
      </c>
      <c r="AK56" s="3">
        <v>3</v>
      </c>
      <c r="AL56" s="3">
        <v>3</v>
      </c>
      <c r="AM56" s="3">
        <v>0</v>
      </c>
      <c r="AN56" s="3">
        <v>0</v>
      </c>
      <c r="AO56" s="3">
        <v>0</v>
      </c>
      <c r="AP56" s="3">
        <v>1</v>
      </c>
      <c r="AQ56" s="3">
        <v>1</v>
      </c>
      <c r="AR56" s="3">
        <v>0</v>
      </c>
      <c r="AS56" s="3">
        <v>1</v>
      </c>
      <c r="AT56" s="3">
        <v>2</v>
      </c>
      <c r="AU56" s="3">
        <v>2</v>
      </c>
      <c r="AV56" s="3">
        <v>2</v>
      </c>
      <c r="AW56" s="3">
        <v>2</v>
      </c>
      <c r="AX56" s="3">
        <v>2</v>
      </c>
      <c r="AY56" s="3">
        <v>2</v>
      </c>
      <c r="AZ56" s="3">
        <v>2</v>
      </c>
      <c r="BA56" s="3">
        <v>2</v>
      </c>
      <c r="BB56" s="3">
        <v>0</v>
      </c>
      <c r="BC56" s="3">
        <v>0</v>
      </c>
      <c r="BD56" s="3">
        <v>0</v>
      </c>
      <c r="BE56" s="3">
        <v>0</v>
      </c>
      <c r="BF56" s="3">
        <v>3</v>
      </c>
      <c r="BG56" s="3">
        <v>3</v>
      </c>
      <c r="BH56" s="3">
        <v>3</v>
      </c>
      <c r="BI56" s="3">
        <v>2</v>
      </c>
      <c r="BJ56" s="3">
        <v>3</v>
      </c>
      <c r="BK56" s="3">
        <v>3</v>
      </c>
      <c r="BL56" s="3">
        <v>3</v>
      </c>
      <c r="BM56" s="3" t="s">
        <v>557</v>
      </c>
      <c r="BN56" s="3">
        <v>4</v>
      </c>
      <c r="BO56" s="3">
        <v>2</v>
      </c>
      <c r="BP56" s="3">
        <v>2</v>
      </c>
      <c r="BQ56" s="3">
        <v>3</v>
      </c>
      <c r="BR56" s="3">
        <v>3</v>
      </c>
      <c r="BS56" s="3">
        <v>3</v>
      </c>
      <c r="BT56" s="3">
        <v>3</v>
      </c>
      <c r="BU56" s="2">
        <v>0</v>
      </c>
      <c r="BV56" s="2">
        <v>0</v>
      </c>
      <c r="BW56" s="2">
        <v>2</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c r="EQ56" s="2">
        <v>0</v>
      </c>
      <c r="ER56" s="2">
        <v>0</v>
      </c>
      <c r="ES56" s="2">
        <v>0</v>
      </c>
      <c r="ET56" s="2">
        <v>0</v>
      </c>
      <c r="EU56" s="2">
        <v>0</v>
      </c>
      <c r="EV56" s="2">
        <v>0</v>
      </c>
      <c r="EW56" s="2">
        <v>0</v>
      </c>
      <c r="EX56" s="2">
        <v>0</v>
      </c>
      <c r="EY56" s="2">
        <v>0</v>
      </c>
      <c r="EZ56" s="2">
        <v>0</v>
      </c>
      <c r="FA56" s="2">
        <v>0</v>
      </c>
      <c r="FB56" s="2">
        <v>0</v>
      </c>
      <c r="FC56" s="2">
        <v>0</v>
      </c>
      <c r="FD56" s="2">
        <v>0</v>
      </c>
      <c r="FE56" s="2">
        <v>0</v>
      </c>
      <c r="FF56" s="2">
        <v>0</v>
      </c>
      <c r="FG56" s="2">
        <v>0</v>
      </c>
      <c r="FH56" s="2">
        <v>0</v>
      </c>
      <c r="FI56" s="2">
        <v>0</v>
      </c>
      <c r="FJ56" s="2">
        <v>0</v>
      </c>
      <c r="FK56" s="2">
        <v>0</v>
      </c>
      <c r="FL56" s="2">
        <v>0</v>
      </c>
      <c r="FM56" s="2">
        <v>0</v>
      </c>
      <c r="FN56" s="2">
        <v>0</v>
      </c>
      <c r="FO56" s="2">
        <v>0</v>
      </c>
      <c r="FP56" s="2">
        <v>0</v>
      </c>
      <c r="FQ56" s="2">
        <v>0</v>
      </c>
      <c r="FR56" s="2">
        <v>0</v>
      </c>
      <c r="FS56" s="2">
        <v>0</v>
      </c>
      <c r="FT56" s="2">
        <v>0</v>
      </c>
      <c r="FU56" s="2">
        <v>0</v>
      </c>
      <c r="FV56" s="2">
        <v>0</v>
      </c>
      <c r="FW56" s="2">
        <v>0</v>
      </c>
      <c r="FX56" s="2">
        <v>0</v>
      </c>
      <c r="FY56" s="2">
        <v>0</v>
      </c>
      <c r="FZ56" s="2">
        <v>0</v>
      </c>
      <c r="GA56" s="2">
        <v>0</v>
      </c>
      <c r="GB56" s="2">
        <v>0</v>
      </c>
      <c r="GC56" s="2" t="s">
        <v>558</v>
      </c>
      <c r="GD56" s="2">
        <v>0</v>
      </c>
      <c r="GE56" s="2">
        <v>0</v>
      </c>
      <c r="GF56" s="2">
        <v>0</v>
      </c>
      <c r="GG56" s="2">
        <v>0</v>
      </c>
      <c r="GH56" s="2">
        <v>1</v>
      </c>
      <c r="GI56" s="2">
        <v>0</v>
      </c>
      <c r="GJ56" s="2" t="s">
        <v>274</v>
      </c>
      <c r="GK56" s="2">
        <v>0</v>
      </c>
      <c r="GL56" s="2">
        <v>0</v>
      </c>
      <c r="GM56" s="2">
        <v>0</v>
      </c>
      <c r="GN56" s="3">
        <v>2</v>
      </c>
      <c r="GO56" s="3">
        <v>1</v>
      </c>
      <c r="GP56" s="3">
        <v>0</v>
      </c>
      <c r="GQ56" s="3">
        <v>0</v>
      </c>
      <c r="GR56" s="3">
        <v>0</v>
      </c>
      <c r="GS56" s="3">
        <v>0</v>
      </c>
      <c r="GT56" s="3">
        <v>0</v>
      </c>
      <c r="GU56" s="3">
        <v>0</v>
      </c>
      <c r="GV56" s="3">
        <v>0</v>
      </c>
      <c r="GW56" s="3">
        <v>0</v>
      </c>
      <c r="GX56" s="3">
        <v>0</v>
      </c>
      <c r="GY56" s="3">
        <v>0</v>
      </c>
      <c r="GZ56" s="3">
        <v>0</v>
      </c>
      <c r="HA56" s="3">
        <v>1</v>
      </c>
      <c r="HB56" s="3">
        <v>0</v>
      </c>
      <c r="HC56" s="3">
        <v>0</v>
      </c>
      <c r="HD56" s="3">
        <v>0</v>
      </c>
      <c r="HE56" s="3">
        <v>0</v>
      </c>
      <c r="HF56" s="3">
        <v>0</v>
      </c>
      <c r="HG56" s="3">
        <v>0</v>
      </c>
      <c r="HH56" s="3">
        <v>0</v>
      </c>
      <c r="HI56" s="3">
        <v>0</v>
      </c>
      <c r="HJ56" s="3">
        <v>0</v>
      </c>
      <c r="HK56" s="3">
        <v>2</v>
      </c>
      <c r="HL56" s="3">
        <v>0</v>
      </c>
      <c r="HM56" s="3">
        <v>0</v>
      </c>
      <c r="HN56" s="3">
        <v>0</v>
      </c>
      <c r="HO56" s="3">
        <v>2</v>
      </c>
      <c r="HP56" s="3">
        <v>0</v>
      </c>
      <c r="HQ56" s="3">
        <v>2</v>
      </c>
      <c r="HR56" s="3">
        <v>0</v>
      </c>
      <c r="HS56" s="3">
        <v>0</v>
      </c>
      <c r="HT56" s="3">
        <v>0</v>
      </c>
      <c r="HU56" s="3">
        <v>0</v>
      </c>
      <c r="HV56" s="3">
        <v>0</v>
      </c>
      <c r="HW56" s="3">
        <v>0</v>
      </c>
      <c r="HX56" s="3">
        <v>0</v>
      </c>
      <c r="HY56" s="3">
        <v>0</v>
      </c>
      <c r="HZ56" s="3">
        <v>0</v>
      </c>
      <c r="IA56" s="3">
        <v>2</v>
      </c>
      <c r="IB56" s="3">
        <v>0</v>
      </c>
      <c r="IC56" s="3">
        <v>0</v>
      </c>
      <c r="ID56" s="3">
        <v>0</v>
      </c>
      <c r="IE56" s="3">
        <v>0</v>
      </c>
      <c r="IF56" s="3">
        <v>0</v>
      </c>
      <c r="IG56" s="3">
        <v>0</v>
      </c>
      <c r="IH56" s="3">
        <v>0</v>
      </c>
      <c r="II56" s="3">
        <v>0</v>
      </c>
      <c r="IJ56" s="3">
        <v>0</v>
      </c>
      <c r="IK56" s="3">
        <v>0</v>
      </c>
      <c r="IL56" s="3">
        <v>2</v>
      </c>
      <c r="IM56" s="3">
        <v>0</v>
      </c>
      <c r="IN56" s="3">
        <v>0</v>
      </c>
      <c r="IO56" s="3">
        <v>0</v>
      </c>
      <c r="IP56" s="3">
        <v>0</v>
      </c>
      <c r="IQ56" s="3">
        <v>0</v>
      </c>
      <c r="IR56" s="3" t="s">
        <v>559</v>
      </c>
      <c r="IS56" s="3">
        <v>2</v>
      </c>
      <c r="IT56" s="3">
        <v>2</v>
      </c>
      <c r="IU56" s="3">
        <v>0</v>
      </c>
      <c r="IV56" s="3">
        <v>0</v>
      </c>
      <c r="IW56" s="3">
        <v>0</v>
      </c>
      <c r="IX56" s="3">
        <v>0</v>
      </c>
      <c r="IY56" s="3">
        <v>2</v>
      </c>
      <c r="IZ56" s="2" t="s">
        <v>268</v>
      </c>
      <c r="JA56" s="2"/>
    </row>
    <row r="57" spans="1:261" ht="13.2" x14ac:dyDescent="0.25">
      <c r="A57" s="10" t="s">
        <v>274</v>
      </c>
      <c r="B57" s="2" t="s">
        <v>560</v>
      </c>
      <c r="C57" s="2" t="s">
        <v>261</v>
      </c>
      <c r="D57" s="2" t="s">
        <v>270</v>
      </c>
      <c r="E57" s="2">
        <v>23</v>
      </c>
      <c r="F57" s="11" t="s">
        <v>561</v>
      </c>
      <c r="G57" s="11" t="s">
        <v>562</v>
      </c>
      <c r="H57" s="2" t="s">
        <v>563</v>
      </c>
      <c r="I57" s="3">
        <v>1</v>
      </c>
      <c r="J57" s="3">
        <v>1</v>
      </c>
      <c r="K57" s="3">
        <v>1</v>
      </c>
      <c r="L57" s="3">
        <v>1</v>
      </c>
      <c r="M57" s="3">
        <v>1</v>
      </c>
      <c r="N57" s="3">
        <v>1</v>
      </c>
      <c r="O57" s="3">
        <v>1</v>
      </c>
      <c r="P57" s="3">
        <v>1</v>
      </c>
      <c r="Q57" s="3">
        <v>1</v>
      </c>
      <c r="R57" s="3">
        <v>1</v>
      </c>
      <c r="S57" s="3">
        <v>0</v>
      </c>
      <c r="T57" s="3">
        <v>0</v>
      </c>
      <c r="U57" s="3">
        <v>0</v>
      </c>
      <c r="V57" s="3">
        <v>1</v>
      </c>
      <c r="W57" s="3">
        <v>1</v>
      </c>
      <c r="X57" s="3">
        <v>1</v>
      </c>
      <c r="Y57" s="3">
        <v>0</v>
      </c>
      <c r="Z57" s="3">
        <v>0</v>
      </c>
      <c r="AA57" s="3">
        <v>1</v>
      </c>
      <c r="AB57" s="3">
        <v>1</v>
      </c>
      <c r="AC57" s="3">
        <v>1</v>
      </c>
      <c r="AD57" s="3">
        <v>1</v>
      </c>
      <c r="AE57" s="3">
        <v>1</v>
      </c>
      <c r="AF57" s="3">
        <v>1</v>
      </c>
      <c r="AG57" s="3">
        <v>0</v>
      </c>
      <c r="AH57" s="3">
        <v>0</v>
      </c>
      <c r="AI57" s="3">
        <v>3</v>
      </c>
      <c r="AJ57" s="3">
        <v>3</v>
      </c>
      <c r="AK57" s="3">
        <v>2</v>
      </c>
      <c r="AL57" s="3">
        <v>0</v>
      </c>
      <c r="AM57" s="3">
        <v>1</v>
      </c>
      <c r="AN57" s="3">
        <v>1</v>
      </c>
      <c r="AO57" s="3">
        <v>3</v>
      </c>
      <c r="AP57" s="3">
        <v>1</v>
      </c>
      <c r="AQ57" s="3">
        <v>0</v>
      </c>
      <c r="AR57" s="3">
        <v>0</v>
      </c>
      <c r="AS57" s="3">
        <v>0</v>
      </c>
      <c r="AT57" s="3">
        <v>0</v>
      </c>
      <c r="AU57" s="3">
        <v>2</v>
      </c>
      <c r="AV57" s="3">
        <v>1</v>
      </c>
      <c r="AW57" s="3">
        <v>1</v>
      </c>
      <c r="AX57" s="3">
        <v>0</v>
      </c>
      <c r="AY57" s="3">
        <v>0</v>
      </c>
      <c r="AZ57" s="3">
        <v>1</v>
      </c>
      <c r="BA57" s="3">
        <v>1</v>
      </c>
      <c r="BB57" s="3">
        <v>1</v>
      </c>
      <c r="BC57" s="3">
        <v>1</v>
      </c>
      <c r="BD57" s="3">
        <v>1</v>
      </c>
      <c r="BE57" s="3">
        <v>3</v>
      </c>
      <c r="BF57" s="3">
        <v>3</v>
      </c>
      <c r="BG57" s="3">
        <v>3</v>
      </c>
      <c r="BH57" s="3">
        <v>3</v>
      </c>
      <c r="BI57" s="3">
        <v>3</v>
      </c>
      <c r="BJ57" s="3">
        <v>4</v>
      </c>
      <c r="BK57" s="3">
        <v>4</v>
      </c>
      <c r="BL57" s="3">
        <v>4</v>
      </c>
      <c r="BM57" s="3" t="s">
        <v>564</v>
      </c>
      <c r="BN57" s="3">
        <v>4</v>
      </c>
      <c r="BO57" s="3">
        <v>2</v>
      </c>
      <c r="BP57" s="3">
        <v>3</v>
      </c>
      <c r="BQ57" s="3">
        <v>2</v>
      </c>
      <c r="BR57" s="3">
        <v>2</v>
      </c>
      <c r="BS57" s="3">
        <v>1</v>
      </c>
      <c r="BT57" s="3">
        <v>1</v>
      </c>
      <c r="BU57" s="2">
        <v>1</v>
      </c>
      <c r="BV57" s="2">
        <v>1</v>
      </c>
      <c r="BW57" s="2">
        <v>1</v>
      </c>
      <c r="BX57" s="2">
        <v>0</v>
      </c>
      <c r="BY57" s="2">
        <v>0</v>
      </c>
      <c r="BZ57" s="2">
        <v>0</v>
      </c>
      <c r="CA57" s="2">
        <v>0</v>
      </c>
      <c r="CB57" s="2">
        <v>0</v>
      </c>
      <c r="CC57" s="2">
        <v>0</v>
      </c>
      <c r="CD57" s="2">
        <v>1</v>
      </c>
      <c r="CE57" s="2">
        <v>0</v>
      </c>
      <c r="CF57" s="2">
        <v>3</v>
      </c>
      <c r="CG57" s="2">
        <v>2</v>
      </c>
      <c r="CH57" s="2">
        <v>1</v>
      </c>
      <c r="CI57" s="2">
        <v>1</v>
      </c>
      <c r="CJ57" s="2">
        <v>0</v>
      </c>
      <c r="CK57" s="2">
        <v>1</v>
      </c>
      <c r="CL57" s="2">
        <v>0</v>
      </c>
      <c r="CM57" s="2">
        <v>2</v>
      </c>
      <c r="CN57" s="2">
        <v>1</v>
      </c>
      <c r="CO57" s="2">
        <v>0</v>
      </c>
      <c r="CP57" s="2">
        <v>0</v>
      </c>
      <c r="CQ57" s="2">
        <v>0</v>
      </c>
      <c r="CR57" s="2">
        <v>0</v>
      </c>
      <c r="CS57" s="2">
        <v>0</v>
      </c>
      <c r="CT57" s="2">
        <v>0</v>
      </c>
      <c r="CU57" s="2">
        <v>0</v>
      </c>
      <c r="CV57" s="2">
        <v>0</v>
      </c>
      <c r="CW57" s="2">
        <v>2</v>
      </c>
      <c r="CX57" s="2">
        <v>0</v>
      </c>
      <c r="CY57" s="2">
        <v>0</v>
      </c>
      <c r="CZ57" s="2">
        <v>2</v>
      </c>
      <c r="DA57" s="2">
        <v>3</v>
      </c>
      <c r="DB57" s="2">
        <v>3</v>
      </c>
      <c r="DC57" s="2">
        <v>0</v>
      </c>
      <c r="DD57" s="2">
        <v>0</v>
      </c>
      <c r="DE57" s="2">
        <v>0</v>
      </c>
      <c r="DF57" s="2">
        <v>2</v>
      </c>
      <c r="DG57" s="2">
        <v>0</v>
      </c>
      <c r="DH57" s="2">
        <v>4</v>
      </c>
      <c r="DI57" s="2">
        <v>2</v>
      </c>
      <c r="DJ57" s="2">
        <v>0</v>
      </c>
      <c r="DK57" s="2">
        <v>0</v>
      </c>
      <c r="DL57" s="2">
        <v>0</v>
      </c>
      <c r="DM57" s="2">
        <v>0</v>
      </c>
      <c r="DN57" s="2">
        <v>0</v>
      </c>
      <c r="DO57" s="2">
        <v>0</v>
      </c>
      <c r="DP57" s="2">
        <v>0</v>
      </c>
      <c r="DQ57" s="2">
        <v>0</v>
      </c>
      <c r="DR57" s="2">
        <v>0</v>
      </c>
      <c r="DS57" s="2">
        <v>2</v>
      </c>
      <c r="DT57" s="2">
        <v>2</v>
      </c>
      <c r="DU57" s="2">
        <v>0</v>
      </c>
      <c r="DV57" s="2">
        <v>0</v>
      </c>
      <c r="DW57" s="2">
        <v>0</v>
      </c>
      <c r="DX57" s="2">
        <v>2</v>
      </c>
      <c r="DY57" s="2">
        <v>4</v>
      </c>
      <c r="DZ57" s="2">
        <v>2</v>
      </c>
      <c r="EA57" s="2">
        <v>0</v>
      </c>
      <c r="EB57" s="2">
        <v>0</v>
      </c>
      <c r="EC57" s="2">
        <v>0</v>
      </c>
      <c r="ED57" s="2">
        <v>0</v>
      </c>
      <c r="EE57" s="2">
        <v>0</v>
      </c>
      <c r="EF57" s="2">
        <v>0</v>
      </c>
      <c r="EG57" s="2">
        <v>0</v>
      </c>
      <c r="EH57" s="2">
        <v>0</v>
      </c>
      <c r="EI57" s="2">
        <v>2</v>
      </c>
      <c r="EJ57" s="2">
        <v>1</v>
      </c>
      <c r="EK57" s="2">
        <v>0</v>
      </c>
      <c r="EL57" s="2">
        <v>0</v>
      </c>
      <c r="EM57" s="2">
        <v>0</v>
      </c>
      <c r="EN57" s="2">
        <v>0</v>
      </c>
      <c r="EO57" s="2">
        <v>0</v>
      </c>
      <c r="EP57" s="2">
        <v>0</v>
      </c>
      <c r="EQ57" s="2">
        <v>2</v>
      </c>
      <c r="ER57" s="2">
        <v>0</v>
      </c>
      <c r="ES57" s="2">
        <v>2</v>
      </c>
      <c r="ET57" s="2">
        <v>0</v>
      </c>
      <c r="EU57" s="2">
        <v>1</v>
      </c>
      <c r="EV57" s="2">
        <v>4</v>
      </c>
      <c r="EW57" s="2">
        <v>2</v>
      </c>
      <c r="EX57" s="2">
        <v>4</v>
      </c>
      <c r="EY57" s="2">
        <v>4</v>
      </c>
      <c r="EZ57" s="2">
        <v>0</v>
      </c>
      <c r="FA57" s="2">
        <v>0</v>
      </c>
      <c r="FB57" s="2">
        <v>0</v>
      </c>
      <c r="FC57" s="2">
        <v>3</v>
      </c>
      <c r="FD57" s="2">
        <v>0</v>
      </c>
      <c r="FE57" s="2">
        <v>0</v>
      </c>
      <c r="FF57" s="2">
        <v>0</v>
      </c>
      <c r="FG57" s="2">
        <v>0</v>
      </c>
      <c r="FH57" s="2">
        <v>0</v>
      </c>
      <c r="FI57" s="2">
        <v>0</v>
      </c>
      <c r="FJ57" s="2">
        <v>2</v>
      </c>
      <c r="FK57" s="2">
        <v>0</v>
      </c>
      <c r="FL57" s="2">
        <v>0</v>
      </c>
      <c r="FM57" s="2">
        <v>0</v>
      </c>
      <c r="FN57" s="2">
        <v>0</v>
      </c>
      <c r="FO57" s="2">
        <v>0</v>
      </c>
      <c r="FP57" s="2">
        <v>0</v>
      </c>
      <c r="FQ57" s="2">
        <v>0</v>
      </c>
      <c r="FR57" s="2">
        <v>0</v>
      </c>
      <c r="FS57" s="2">
        <v>0</v>
      </c>
      <c r="FT57" s="2">
        <v>0</v>
      </c>
      <c r="FU57" s="2">
        <v>0</v>
      </c>
      <c r="FV57" s="2">
        <v>0</v>
      </c>
      <c r="FW57" s="2">
        <v>0</v>
      </c>
      <c r="FX57" s="2">
        <v>3</v>
      </c>
      <c r="FY57" s="2">
        <v>3</v>
      </c>
      <c r="FZ57" s="2">
        <v>0</v>
      </c>
      <c r="GA57" s="2">
        <v>0</v>
      </c>
      <c r="GB57" s="2">
        <v>1</v>
      </c>
      <c r="GC57" s="2" t="s">
        <v>565</v>
      </c>
      <c r="GD57" s="2">
        <v>0</v>
      </c>
      <c r="GE57" s="2">
        <v>0</v>
      </c>
      <c r="GF57" s="2">
        <v>2</v>
      </c>
      <c r="GG57" s="2">
        <v>0</v>
      </c>
      <c r="GH57" s="2">
        <v>2</v>
      </c>
      <c r="GI57" s="2">
        <v>4</v>
      </c>
      <c r="GJ57" s="2">
        <v>4</v>
      </c>
      <c r="GK57" s="2">
        <v>0</v>
      </c>
      <c r="GL57" s="2">
        <v>0</v>
      </c>
      <c r="GM57" s="2">
        <v>0</v>
      </c>
      <c r="GN57" s="3">
        <v>3</v>
      </c>
      <c r="GO57" s="3">
        <v>3</v>
      </c>
      <c r="GP57" s="3">
        <v>3</v>
      </c>
      <c r="GQ57" s="3">
        <v>3</v>
      </c>
      <c r="GR57" s="3">
        <v>3</v>
      </c>
      <c r="GS57" s="3">
        <v>1</v>
      </c>
      <c r="GT57" s="3">
        <v>2</v>
      </c>
      <c r="GU57" s="3">
        <v>1</v>
      </c>
      <c r="GV57" s="3">
        <v>1</v>
      </c>
      <c r="GW57" s="3">
        <v>2</v>
      </c>
      <c r="GX57" s="3">
        <v>3</v>
      </c>
      <c r="GY57" s="3">
        <v>0</v>
      </c>
      <c r="GZ57" s="3">
        <v>0</v>
      </c>
      <c r="HA57" s="3">
        <v>0</v>
      </c>
      <c r="HB57" s="3">
        <v>1</v>
      </c>
      <c r="HC57" s="3">
        <v>1</v>
      </c>
      <c r="HD57" s="3">
        <v>1</v>
      </c>
      <c r="HE57" s="3">
        <v>0</v>
      </c>
      <c r="HF57" s="3">
        <v>1</v>
      </c>
      <c r="HG57" s="3">
        <v>1</v>
      </c>
      <c r="HH57" s="3">
        <v>2</v>
      </c>
      <c r="HI57" s="3">
        <v>1</v>
      </c>
      <c r="HJ57" s="3">
        <v>2</v>
      </c>
      <c r="HK57" s="3">
        <v>2</v>
      </c>
      <c r="HL57" s="3">
        <v>1</v>
      </c>
      <c r="HM57" s="3">
        <v>2</v>
      </c>
      <c r="HN57" s="3">
        <v>0</v>
      </c>
      <c r="HO57" s="3">
        <v>4</v>
      </c>
      <c r="HP57" s="3">
        <v>3</v>
      </c>
      <c r="HQ57" s="3">
        <v>4</v>
      </c>
      <c r="HR57" s="3">
        <v>0</v>
      </c>
      <c r="HS57" s="3">
        <v>0</v>
      </c>
      <c r="HT57" s="3">
        <v>0</v>
      </c>
      <c r="HU57" s="3">
        <v>0</v>
      </c>
      <c r="HV57" s="3">
        <v>0</v>
      </c>
      <c r="HW57" s="3">
        <v>0</v>
      </c>
      <c r="HX57" s="3">
        <v>2</v>
      </c>
      <c r="HY57" s="3">
        <v>1</v>
      </c>
      <c r="HZ57" s="3">
        <v>2</v>
      </c>
      <c r="IA57" s="3">
        <v>4</v>
      </c>
      <c r="IB57" s="3">
        <v>1</v>
      </c>
      <c r="IC57" s="3">
        <v>1</v>
      </c>
      <c r="ID57" s="3">
        <v>0</v>
      </c>
      <c r="IE57" s="3">
        <v>1</v>
      </c>
      <c r="IF57" s="3">
        <v>1</v>
      </c>
      <c r="IG57" s="3">
        <v>1</v>
      </c>
      <c r="IH57" s="3">
        <v>1</v>
      </c>
      <c r="II57" s="3">
        <v>0</v>
      </c>
      <c r="IJ57" s="3">
        <v>1</v>
      </c>
      <c r="IK57" s="3">
        <v>1</v>
      </c>
      <c r="IL57" s="3">
        <v>2</v>
      </c>
      <c r="IM57" s="3">
        <v>0</v>
      </c>
      <c r="IN57" s="3">
        <v>0</v>
      </c>
      <c r="IO57" s="3">
        <v>1</v>
      </c>
      <c r="IP57" s="3">
        <v>1</v>
      </c>
      <c r="IQ57" s="3">
        <v>1</v>
      </c>
      <c r="IR57" s="3" t="s">
        <v>566</v>
      </c>
      <c r="IS57" s="3">
        <v>2</v>
      </c>
      <c r="IT57" s="3">
        <v>3</v>
      </c>
      <c r="IU57" s="3">
        <v>1</v>
      </c>
      <c r="IV57" s="3">
        <v>1</v>
      </c>
      <c r="IW57" s="3">
        <v>3</v>
      </c>
      <c r="IX57" s="3">
        <v>2</v>
      </c>
      <c r="IY57" s="3">
        <v>0</v>
      </c>
      <c r="IZ57" s="2" t="s">
        <v>268</v>
      </c>
      <c r="JA57" s="2"/>
    </row>
    <row r="58" spans="1:261" ht="13.2" x14ac:dyDescent="0.25">
      <c r="A58" s="10" t="s">
        <v>274</v>
      </c>
      <c r="B58" s="2" t="s">
        <v>567</v>
      </c>
      <c r="C58" s="2" t="s">
        <v>276</v>
      </c>
      <c r="D58" s="2" t="s">
        <v>270</v>
      </c>
      <c r="E58" s="2">
        <v>22</v>
      </c>
      <c r="F58" s="11" t="s">
        <v>568</v>
      </c>
      <c r="G58" s="11" t="s">
        <v>569</v>
      </c>
      <c r="H58" s="2" t="s">
        <v>570</v>
      </c>
      <c r="I58" s="3">
        <v>2</v>
      </c>
      <c r="J58" s="3">
        <v>2</v>
      </c>
      <c r="K58" s="3">
        <v>3</v>
      </c>
      <c r="L58" s="3">
        <v>4</v>
      </c>
      <c r="M58" s="3">
        <v>4</v>
      </c>
      <c r="N58" s="3">
        <v>1</v>
      </c>
      <c r="O58" s="3">
        <v>1</v>
      </c>
      <c r="P58" s="3">
        <v>3</v>
      </c>
      <c r="Q58" s="3">
        <v>3</v>
      </c>
      <c r="R58" s="3">
        <v>0</v>
      </c>
      <c r="S58" s="3">
        <v>1</v>
      </c>
      <c r="T58" s="3">
        <v>3</v>
      </c>
      <c r="U58" s="3">
        <v>0</v>
      </c>
      <c r="V58" s="3">
        <v>2</v>
      </c>
      <c r="W58" s="3">
        <v>1</v>
      </c>
      <c r="X58" s="3">
        <v>1</v>
      </c>
      <c r="Y58" s="3">
        <v>3</v>
      </c>
      <c r="Z58" s="3">
        <v>3</v>
      </c>
      <c r="AA58" s="3">
        <v>0</v>
      </c>
      <c r="AB58" s="3">
        <v>0</v>
      </c>
      <c r="AC58" s="3">
        <v>1</v>
      </c>
      <c r="AD58" s="3">
        <v>0</v>
      </c>
      <c r="AE58" s="3">
        <v>1</v>
      </c>
      <c r="AF58" s="3">
        <v>1</v>
      </c>
      <c r="AG58" s="3">
        <v>1</v>
      </c>
      <c r="AH58" s="3">
        <v>1</v>
      </c>
      <c r="AI58" s="3">
        <v>3</v>
      </c>
      <c r="AJ58" s="3">
        <v>3</v>
      </c>
      <c r="AK58" s="3">
        <v>3</v>
      </c>
      <c r="AL58" s="3">
        <v>2</v>
      </c>
      <c r="AM58" s="3">
        <v>0</v>
      </c>
      <c r="AN58" s="3">
        <v>2</v>
      </c>
      <c r="AO58" s="3">
        <v>3</v>
      </c>
      <c r="AP58" s="3">
        <v>0</v>
      </c>
      <c r="AQ58" s="3">
        <v>4</v>
      </c>
      <c r="AR58" s="3">
        <v>0</v>
      </c>
      <c r="AS58" s="3">
        <v>0</v>
      </c>
      <c r="AT58" s="3">
        <v>1</v>
      </c>
      <c r="AU58" s="3">
        <v>2</v>
      </c>
      <c r="AV58" s="3">
        <v>2</v>
      </c>
      <c r="AW58" s="3">
        <v>2</v>
      </c>
      <c r="AX58" s="3">
        <v>2</v>
      </c>
      <c r="AY58" s="3">
        <v>1</v>
      </c>
      <c r="AZ58" s="3">
        <v>2</v>
      </c>
      <c r="BA58" s="3">
        <v>2</v>
      </c>
      <c r="BB58" s="3">
        <v>4</v>
      </c>
      <c r="BC58" s="3">
        <v>0</v>
      </c>
      <c r="BD58" s="3">
        <v>4</v>
      </c>
      <c r="BE58" s="3">
        <v>2</v>
      </c>
      <c r="BF58" s="3">
        <v>2</v>
      </c>
      <c r="BG58" s="3">
        <v>3</v>
      </c>
      <c r="BH58" s="3">
        <v>3</v>
      </c>
      <c r="BI58" s="3">
        <v>2</v>
      </c>
      <c r="BJ58" s="3">
        <v>4</v>
      </c>
      <c r="BK58" s="3">
        <v>4</v>
      </c>
      <c r="BL58" s="3">
        <v>0</v>
      </c>
      <c r="BM58" s="3" t="s">
        <v>571</v>
      </c>
      <c r="BN58" s="3">
        <v>2</v>
      </c>
      <c r="BO58" s="3">
        <v>4</v>
      </c>
      <c r="BP58" s="3">
        <v>4</v>
      </c>
      <c r="BQ58" s="3">
        <v>3</v>
      </c>
      <c r="BR58" s="3">
        <v>2</v>
      </c>
      <c r="BS58" s="3">
        <v>2</v>
      </c>
      <c r="BT58" s="3">
        <v>2</v>
      </c>
      <c r="BU58" s="2">
        <v>2</v>
      </c>
      <c r="BV58" s="2">
        <v>1</v>
      </c>
      <c r="BW58" s="2">
        <v>1</v>
      </c>
      <c r="BX58" s="2">
        <v>0</v>
      </c>
      <c r="BY58" s="2">
        <v>1</v>
      </c>
      <c r="BZ58" s="2">
        <v>0</v>
      </c>
      <c r="CA58" s="2">
        <v>1</v>
      </c>
      <c r="CB58" s="2">
        <v>3</v>
      </c>
      <c r="CC58" s="2">
        <v>2</v>
      </c>
      <c r="CD58" s="2">
        <v>2</v>
      </c>
      <c r="CE58" s="2">
        <v>1</v>
      </c>
      <c r="CF58" s="2">
        <v>1</v>
      </c>
      <c r="CG58" s="2">
        <v>1</v>
      </c>
      <c r="CH58" s="2">
        <v>0</v>
      </c>
      <c r="CI58" s="2">
        <v>3</v>
      </c>
      <c r="CJ58" s="2">
        <v>0</v>
      </c>
      <c r="CK58" s="2">
        <v>2</v>
      </c>
      <c r="CL58" s="2">
        <v>2</v>
      </c>
      <c r="CM58" s="2">
        <v>1</v>
      </c>
      <c r="CN58" s="2">
        <v>1</v>
      </c>
      <c r="CO58" s="2">
        <v>2</v>
      </c>
      <c r="CP58" s="2">
        <v>0</v>
      </c>
      <c r="CQ58" s="2">
        <v>3</v>
      </c>
      <c r="CR58" s="2">
        <v>4</v>
      </c>
      <c r="CS58" s="2">
        <v>4</v>
      </c>
      <c r="CT58" s="2">
        <v>2</v>
      </c>
      <c r="CU58" s="2">
        <v>0</v>
      </c>
      <c r="CV58" s="2">
        <v>2</v>
      </c>
      <c r="CW58" s="2">
        <v>2</v>
      </c>
      <c r="CX58" s="2">
        <v>0</v>
      </c>
      <c r="CY58" s="2">
        <v>0</v>
      </c>
      <c r="CZ58" s="2">
        <v>0</v>
      </c>
      <c r="DA58" s="2">
        <v>1</v>
      </c>
      <c r="DB58" s="2">
        <v>1</v>
      </c>
      <c r="DC58" s="2">
        <v>0</v>
      </c>
      <c r="DD58" s="2">
        <v>0</v>
      </c>
      <c r="DE58" s="2">
        <v>4</v>
      </c>
      <c r="DF58" s="2">
        <v>3</v>
      </c>
      <c r="DG58" s="2">
        <v>2</v>
      </c>
      <c r="DH58" s="2">
        <v>3</v>
      </c>
      <c r="DI58" s="2">
        <v>0</v>
      </c>
      <c r="DJ58" s="2">
        <v>0</v>
      </c>
      <c r="DK58" s="2">
        <v>0</v>
      </c>
      <c r="DL58" s="2">
        <v>1</v>
      </c>
      <c r="DM58" s="2">
        <v>1</v>
      </c>
      <c r="DN58" s="2">
        <v>1</v>
      </c>
      <c r="DO58" s="2">
        <v>1</v>
      </c>
      <c r="DP58" s="2">
        <v>2</v>
      </c>
      <c r="DQ58" s="2">
        <v>2</v>
      </c>
      <c r="DR58" s="2">
        <v>0</v>
      </c>
      <c r="DS58" s="2">
        <v>2</v>
      </c>
      <c r="DT58" s="2">
        <v>0</v>
      </c>
      <c r="DU58" s="2">
        <v>0</v>
      </c>
      <c r="DV58" s="2">
        <v>0</v>
      </c>
      <c r="DW58" s="2">
        <v>0</v>
      </c>
      <c r="DX58" s="2">
        <v>1</v>
      </c>
      <c r="DY58" s="2">
        <v>1</v>
      </c>
      <c r="DZ58" s="2">
        <v>1</v>
      </c>
      <c r="EA58" s="2">
        <v>1</v>
      </c>
      <c r="EB58" s="2">
        <v>0</v>
      </c>
      <c r="EC58" s="2">
        <v>0</v>
      </c>
      <c r="ED58" s="2">
        <v>0</v>
      </c>
      <c r="EE58" s="2">
        <v>0</v>
      </c>
      <c r="EF58" s="2">
        <v>0</v>
      </c>
      <c r="EG58" s="2">
        <v>0</v>
      </c>
      <c r="EH58" s="2">
        <v>0</v>
      </c>
      <c r="EI58" s="2">
        <v>0</v>
      </c>
      <c r="EJ58" s="2">
        <v>0</v>
      </c>
      <c r="EK58" s="2">
        <v>2</v>
      </c>
      <c r="EL58" s="2">
        <v>0</v>
      </c>
      <c r="EM58" s="2">
        <v>0</v>
      </c>
      <c r="EN58" s="2">
        <v>0</v>
      </c>
      <c r="EO58" s="2">
        <v>0</v>
      </c>
      <c r="EP58" s="2">
        <v>0</v>
      </c>
      <c r="EQ58" s="2">
        <v>0</v>
      </c>
      <c r="ER58" s="2">
        <v>0</v>
      </c>
      <c r="ES58" s="2">
        <v>1</v>
      </c>
      <c r="ET58" s="2">
        <v>0</v>
      </c>
      <c r="EU58" s="2">
        <v>0</v>
      </c>
      <c r="EV58" s="2">
        <v>0</v>
      </c>
      <c r="EW58" s="2">
        <v>1</v>
      </c>
      <c r="EX58" s="2">
        <v>2</v>
      </c>
      <c r="EY58" s="2">
        <v>1</v>
      </c>
      <c r="EZ58" s="2">
        <v>0</v>
      </c>
      <c r="FA58" s="2">
        <v>1</v>
      </c>
      <c r="FB58" s="2">
        <v>0</v>
      </c>
      <c r="FC58" s="2">
        <v>0</v>
      </c>
      <c r="FD58" s="2">
        <v>0</v>
      </c>
      <c r="FE58" s="2">
        <v>0</v>
      </c>
      <c r="FF58" s="2">
        <v>3</v>
      </c>
      <c r="FG58" s="2">
        <v>1</v>
      </c>
      <c r="FH58" s="2">
        <v>0</v>
      </c>
      <c r="FI58" s="2">
        <v>0</v>
      </c>
      <c r="FJ58" s="2">
        <v>0</v>
      </c>
      <c r="FK58" s="2">
        <v>0</v>
      </c>
      <c r="FL58" s="2">
        <v>0</v>
      </c>
      <c r="FM58" s="2">
        <v>0</v>
      </c>
      <c r="FN58" s="2">
        <v>0</v>
      </c>
      <c r="FO58" s="2">
        <v>0</v>
      </c>
      <c r="FP58" s="2">
        <v>1</v>
      </c>
      <c r="FQ58" s="2">
        <v>3</v>
      </c>
      <c r="FR58" s="2">
        <v>4</v>
      </c>
      <c r="FS58" s="2">
        <v>0</v>
      </c>
      <c r="FT58" s="2">
        <v>0</v>
      </c>
      <c r="FU58" s="2">
        <v>3</v>
      </c>
      <c r="FV58" s="2">
        <v>0</v>
      </c>
      <c r="FW58" s="2">
        <v>3</v>
      </c>
      <c r="FX58" s="2">
        <v>0</v>
      </c>
      <c r="FY58" s="2">
        <v>0</v>
      </c>
      <c r="FZ58" s="2">
        <v>3</v>
      </c>
      <c r="GA58" s="2">
        <v>0</v>
      </c>
      <c r="GB58" s="2">
        <v>1</v>
      </c>
      <c r="GC58" s="2" t="s">
        <v>274</v>
      </c>
      <c r="GD58" s="2">
        <v>4</v>
      </c>
      <c r="GE58" s="2">
        <v>0</v>
      </c>
      <c r="GF58" s="2">
        <v>0</v>
      </c>
      <c r="GG58" s="2">
        <v>4</v>
      </c>
      <c r="GH58" s="2">
        <v>2</v>
      </c>
      <c r="GI58" s="2">
        <v>0</v>
      </c>
      <c r="GJ58" s="2">
        <v>0</v>
      </c>
      <c r="GK58" s="2">
        <v>3</v>
      </c>
      <c r="GL58" s="2">
        <v>0</v>
      </c>
      <c r="GM58" s="2">
        <v>1</v>
      </c>
      <c r="GN58" s="3">
        <v>4</v>
      </c>
      <c r="GO58" s="3">
        <v>4</v>
      </c>
      <c r="GP58" s="3">
        <v>2</v>
      </c>
      <c r="GQ58" s="3">
        <v>4</v>
      </c>
      <c r="GR58" s="3">
        <v>4</v>
      </c>
      <c r="GS58" s="3">
        <v>2</v>
      </c>
      <c r="GT58" s="3">
        <v>4</v>
      </c>
      <c r="GU58" s="3">
        <v>2</v>
      </c>
      <c r="GV58" s="3">
        <v>2</v>
      </c>
      <c r="GW58" s="3">
        <v>2</v>
      </c>
      <c r="GX58" s="3">
        <v>1</v>
      </c>
      <c r="GY58" s="3">
        <v>1</v>
      </c>
      <c r="GZ58" s="3">
        <v>2</v>
      </c>
      <c r="HA58" s="3">
        <v>1</v>
      </c>
      <c r="HB58" s="3">
        <v>0</v>
      </c>
      <c r="HC58" s="3">
        <v>0</v>
      </c>
      <c r="HD58" s="3">
        <v>1</v>
      </c>
      <c r="HE58" s="3">
        <v>0</v>
      </c>
      <c r="HF58" s="3">
        <v>1</v>
      </c>
      <c r="HG58" s="3">
        <v>3</v>
      </c>
      <c r="HH58" s="3">
        <v>4</v>
      </c>
      <c r="HI58" s="3">
        <v>2</v>
      </c>
      <c r="HJ58" s="3">
        <v>0</v>
      </c>
      <c r="HK58" s="3">
        <v>4</v>
      </c>
      <c r="HL58" s="3">
        <v>0</v>
      </c>
      <c r="HM58" s="3">
        <v>0</v>
      </c>
      <c r="HN58" s="3">
        <v>0</v>
      </c>
      <c r="HO58" s="3">
        <v>0</v>
      </c>
      <c r="HP58" s="3">
        <v>0</v>
      </c>
      <c r="HQ58" s="3">
        <v>2</v>
      </c>
      <c r="HR58" s="3">
        <v>1</v>
      </c>
      <c r="HS58" s="3">
        <v>0</v>
      </c>
      <c r="HT58" s="3">
        <v>0</v>
      </c>
      <c r="HU58" s="3">
        <v>0</v>
      </c>
      <c r="HV58" s="3">
        <v>3</v>
      </c>
      <c r="HW58" s="3">
        <v>2</v>
      </c>
      <c r="HX58" s="3">
        <v>0</v>
      </c>
      <c r="HY58" s="3">
        <v>0</v>
      </c>
      <c r="HZ58" s="3">
        <v>0</v>
      </c>
      <c r="IA58" s="3">
        <v>4</v>
      </c>
      <c r="IB58" s="3">
        <v>2</v>
      </c>
      <c r="IC58" s="3">
        <v>0</v>
      </c>
      <c r="ID58" s="3">
        <v>3</v>
      </c>
      <c r="IE58" s="3">
        <v>0</v>
      </c>
      <c r="IF58" s="3">
        <v>1</v>
      </c>
      <c r="IG58" s="3">
        <v>0</v>
      </c>
      <c r="IH58" s="3">
        <v>0</v>
      </c>
      <c r="II58" s="3">
        <v>0</v>
      </c>
      <c r="IJ58" s="3">
        <v>0</v>
      </c>
      <c r="IK58" s="3">
        <v>0</v>
      </c>
      <c r="IL58" s="3">
        <v>1</v>
      </c>
      <c r="IM58" s="3">
        <v>0</v>
      </c>
      <c r="IN58" s="3">
        <v>0</v>
      </c>
      <c r="IO58" s="3">
        <v>1</v>
      </c>
      <c r="IP58" s="3">
        <v>2</v>
      </c>
      <c r="IQ58" s="3">
        <v>2</v>
      </c>
      <c r="IR58" s="3" t="s">
        <v>274</v>
      </c>
      <c r="IS58" s="3">
        <v>1</v>
      </c>
      <c r="IT58" s="3">
        <v>4</v>
      </c>
      <c r="IU58" s="3">
        <v>3</v>
      </c>
      <c r="IV58" s="3">
        <v>4</v>
      </c>
      <c r="IW58" s="3">
        <v>1</v>
      </c>
      <c r="IX58" s="3">
        <v>0</v>
      </c>
      <c r="IY58" s="3">
        <v>2</v>
      </c>
      <c r="IZ58" s="2" t="s">
        <v>268</v>
      </c>
      <c r="JA58" s="2"/>
    </row>
    <row r="59" spans="1:261" ht="13.2" x14ac:dyDescent="0.25">
      <c r="A59" s="10" t="s">
        <v>274</v>
      </c>
      <c r="B59" s="2" t="s">
        <v>572</v>
      </c>
      <c r="C59" s="2" t="s">
        <v>261</v>
      </c>
      <c r="D59" s="2" t="s">
        <v>270</v>
      </c>
      <c r="E59" s="2">
        <v>26</v>
      </c>
      <c r="F59" s="11" t="s">
        <v>573</v>
      </c>
      <c r="G59" s="11" t="s">
        <v>574</v>
      </c>
      <c r="H59" s="2" t="s">
        <v>575</v>
      </c>
      <c r="I59" s="3">
        <v>4</v>
      </c>
      <c r="J59" s="3">
        <v>3</v>
      </c>
      <c r="K59" s="3">
        <v>2</v>
      </c>
      <c r="L59" s="3">
        <v>3</v>
      </c>
      <c r="M59" s="3">
        <v>2</v>
      </c>
      <c r="N59" s="3">
        <v>4</v>
      </c>
      <c r="O59" s="3">
        <v>4</v>
      </c>
      <c r="P59" s="3">
        <v>3</v>
      </c>
      <c r="Q59" s="3">
        <v>3</v>
      </c>
      <c r="R59" s="3">
        <v>0</v>
      </c>
      <c r="S59" s="3">
        <v>0</v>
      </c>
      <c r="T59" s="3">
        <v>0</v>
      </c>
      <c r="U59" s="3">
        <v>0</v>
      </c>
      <c r="V59" s="3">
        <v>2</v>
      </c>
      <c r="W59" s="3">
        <v>2</v>
      </c>
      <c r="X59" s="3">
        <v>0</v>
      </c>
      <c r="Y59" s="3">
        <v>4</v>
      </c>
      <c r="Z59" s="3">
        <v>4</v>
      </c>
      <c r="AA59" s="3">
        <v>4</v>
      </c>
      <c r="AB59" s="3">
        <v>4</v>
      </c>
      <c r="AC59" s="3">
        <v>4</v>
      </c>
      <c r="AD59" s="3">
        <v>4</v>
      </c>
      <c r="AE59" s="3">
        <v>0</v>
      </c>
      <c r="AF59" s="3">
        <v>0</v>
      </c>
      <c r="AG59" s="3">
        <v>0</v>
      </c>
      <c r="AH59" s="3">
        <v>0</v>
      </c>
      <c r="AI59" s="3">
        <v>2</v>
      </c>
      <c r="AJ59" s="3">
        <v>2</v>
      </c>
      <c r="AK59" s="3">
        <v>2</v>
      </c>
      <c r="AL59" s="3">
        <v>0</v>
      </c>
      <c r="AM59" s="3">
        <v>0</v>
      </c>
      <c r="AN59" s="3">
        <v>0</v>
      </c>
      <c r="AO59" s="3">
        <v>4</v>
      </c>
      <c r="AP59" s="3">
        <v>0</v>
      </c>
      <c r="AQ59" s="3">
        <v>0</v>
      </c>
      <c r="AR59" s="3">
        <v>0</v>
      </c>
      <c r="AS59" s="3">
        <v>0</v>
      </c>
      <c r="AT59" s="3">
        <v>0</v>
      </c>
      <c r="AU59" s="3">
        <v>3</v>
      </c>
      <c r="AV59" s="3">
        <v>0</v>
      </c>
      <c r="AW59" s="3">
        <v>2</v>
      </c>
      <c r="AX59" s="3">
        <v>0</v>
      </c>
      <c r="AY59" s="3">
        <v>0</v>
      </c>
      <c r="AZ59" s="3">
        <v>2</v>
      </c>
      <c r="BA59" s="3">
        <v>0</v>
      </c>
      <c r="BB59" s="3">
        <v>2</v>
      </c>
      <c r="BC59" s="3">
        <v>0</v>
      </c>
      <c r="BD59" s="3">
        <v>2</v>
      </c>
      <c r="BE59" s="3">
        <v>3</v>
      </c>
      <c r="BF59" s="3">
        <v>3</v>
      </c>
      <c r="BG59" s="3">
        <v>3</v>
      </c>
      <c r="BH59" s="3">
        <v>3</v>
      </c>
      <c r="BI59" s="3">
        <v>1</v>
      </c>
      <c r="BJ59" s="3">
        <v>3</v>
      </c>
      <c r="BK59" s="3">
        <v>3</v>
      </c>
      <c r="BL59" s="3">
        <v>0</v>
      </c>
      <c r="BM59" s="3" t="s">
        <v>274</v>
      </c>
      <c r="BN59" s="3" t="s">
        <v>274</v>
      </c>
      <c r="BO59" s="3" t="s">
        <v>274</v>
      </c>
      <c r="BP59" s="3" t="s">
        <v>274</v>
      </c>
      <c r="BQ59" s="3" t="s">
        <v>274</v>
      </c>
      <c r="BR59" s="3" t="s">
        <v>274</v>
      </c>
      <c r="BS59" s="3" t="s">
        <v>274</v>
      </c>
      <c r="BT59" s="3" t="s">
        <v>274</v>
      </c>
      <c r="BU59" s="2">
        <v>3</v>
      </c>
      <c r="BV59" s="2">
        <v>2</v>
      </c>
      <c r="BW59" s="2">
        <v>3</v>
      </c>
      <c r="BX59" s="2">
        <v>0</v>
      </c>
      <c r="BY59" s="2">
        <v>0</v>
      </c>
      <c r="BZ59" s="2">
        <v>4</v>
      </c>
      <c r="CA59" s="2">
        <v>2</v>
      </c>
      <c r="CB59" s="2">
        <v>0</v>
      </c>
      <c r="CC59" s="2">
        <v>0</v>
      </c>
      <c r="CD59" s="2">
        <v>0</v>
      </c>
      <c r="CE59" s="2">
        <v>0</v>
      </c>
      <c r="CF59" s="2">
        <v>0</v>
      </c>
      <c r="CG59" s="2">
        <v>0</v>
      </c>
      <c r="CH59" s="2">
        <v>0</v>
      </c>
      <c r="CI59" s="2">
        <v>1</v>
      </c>
      <c r="CJ59" s="2">
        <v>0</v>
      </c>
      <c r="CK59" s="2">
        <v>0</v>
      </c>
      <c r="CL59" s="2">
        <v>1</v>
      </c>
      <c r="CM59" s="2">
        <v>0</v>
      </c>
      <c r="CN59" s="2">
        <v>0</v>
      </c>
      <c r="CO59" s="2">
        <v>0</v>
      </c>
      <c r="CP59" s="2">
        <v>0</v>
      </c>
      <c r="CQ59" s="2">
        <v>3</v>
      </c>
      <c r="CR59" s="2">
        <v>3</v>
      </c>
      <c r="CS59" s="2">
        <v>3</v>
      </c>
      <c r="CT59" s="2">
        <v>0</v>
      </c>
      <c r="CU59" s="2">
        <v>0</v>
      </c>
      <c r="CV59" s="2">
        <v>0</v>
      </c>
      <c r="CW59" s="2">
        <v>0</v>
      </c>
      <c r="CX59" s="2">
        <v>0</v>
      </c>
      <c r="CY59" s="2">
        <v>0</v>
      </c>
      <c r="CZ59" s="2">
        <v>0</v>
      </c>
      <c r="DA59" s="2">
        <v>0</v>
      </c>
      <c r="DB59" s="2">
        <v>0</v>
      </c>
      <c r="DC59" s="2">
        <v>0</v>
      </c>
      <c r="DD59" s="2">
        <v>0</v>
      </c>
      <c r="DE59" s="2">
        <v>2</v>
      </c>
      <c r="DF59" s="2">
        <v>0</v>
      </c>
      <c r="DG59" s="2">
        <v>2</v>
      </c>
      <c r="DH59" s="2">
        <v>0</v>
      </c>
      <c r="DI59" s="2">
        <v>0</v>
      </c>
      <c r="DJ59" s="2">
        <v>0</v>
      </c>
      <c r="DK59" s="2">
        <v>0</v>
      </c>
      <c r="DL59" s="2">
        <v>0</v>
      </c>
      <c r="DM59" s="2">
        <v>0</v>
      </c>
      <c r="DN59" s="2">
        <v>0</v>
      </c>
      <c r="DO59" s="2">
        <v>3</v>
      </c>
      <c r="DP59" s="2">
        <v>1</v>
      </c>
      <c r="DQ59" s="2">
        <v>0</v>
      </c>
      <c r="DR59" s="2">
        <v>1</v>
      </c>
      <c r="DS59" s="2">
        <v>0</v>
      </c>
      <c r="DT59" s="2">
        <v>0</v>
      </c>
      <c r="DU59" s="2">
        <v>0</v>
      </c>
      <c r="DV59" s="2">
        <v>4</v>
      </c>
      <c r="DW59" s="2">
        <v>0</v>
      </c>
      <c r="DX59" s="2">
        <v>0</v>
      </c>
      <c r="DY59" s="2">
        <v>0</v>
      </c>
      <c r="DZ59" s="2">
        <v>0</v>
      </c>
      <c r="EA59" s="2">
        <v>0</v>
      </c>
      <c r="EB59" s="2">
        <v>0</v>
      </c>
      <c r="EC59" s="2">
        <v>0</v>
      </c>
      <c r="ED59" s="2">
        <v>0</v>
      </c>
      <c r="EE59" s="2">
        <v>0</v>
      </c>
      <c r="EF59" s="2">
        <v>0</v>
      </c>
      <c r="EG59" s="2">
        <v>0</v>
      </c>
      <c r="EH59" s="2">
        <v>0</v>
      </c>
      <c r="EI59" s="2">
        <v>0</v>
      </c>
      <c r="EJ59" s="2">
        <v>0</v>
      </c>
      <c r="EK59" s="2">
        <v>1</v>
      </c>
      <c r="EL59" s="2">
        <v>0</v>
      </c>
      <c r="EM59" s="2">
        <v>0</v>
      </c>
      <c r="EN59" s="2">
        <v>0</v>
      </c>
      <c r="EO59" s="2">
        <v>0</v>
      </c>
      <c r="EP59" s="2">
        <v>0</v>
      </c>
      <c r="EQ59" s="2">
        <v>0</v>
      </c>
      <c r="ER59" s="2">
        <v>0</v>
      </c>
      <c r="ES59" s="2">
        <v>0</v>
      </c>
      <c r="ET59" s="2">
        <v>0</v>
      </c>
      <c r="EU59" s="2">
        <v>2</v>
      </c>
      <c r="EV59" s="2">
        <v>0</v>
      </c>
      <c r="EW59" s="2">
        <v>3</v>
      </c>
      <c r="EX59" s="2">
        <v>0</v>
      </c>
      <c r="EY59" s="2">
        <v>0</v>
      </c>
      <c r="EZ59" s="2">
        <v>0</v>
      </c>
      <c r="FA59" s="2">
        <v>0</v>
      </c>
      <c r="FB59" s="2">
        <v>0</v>
      </c>
      <c r="FC59" s="2">
        <v>0</v>
      </c>
      <c r="FD59" s="2">
        <v>0</v>
      </c>
      <c r="FE59" s="2">
        <v>0</v>
      </c>
      <c r="FF59" s="2">
        <v>1</v>
      </c>
      <c r="FG59" s="2">
        <v>0</v>
      </c>
      <c r="FH59" s="2">
        <v>2</v>
      </c>
      <c r="FI59" s="2">
        <v>0</v>
      </c>
      <c r="FJ59" s="2">
        <v>3</v>
      </c>
      <c r="FK59" s="2">
        <v>0</v>
      </c>
      <c r="FL59" s="2">
        <v>0</v>
      </c>
      <c r="FM59" s="2">
        <v>2</v>
      </c>
      <c r="FN59" s="2">
        <v>0</v>
      </c>
      <c r="FO59" s="2">
        <v>0</v>
      </c>
      <c r="FP59" s="2">
        <v>0</v>
      </c>
      <c r="FQ59" s="2">
        <v>0</v>
      </c>
      <c r="FR59" s="2">
        <v>0</v>
      </c>
      <c r="FS59" s="2">
        <v>0</v>
      </c>
      <c r="FT59" s="2">
        <v>0</v>
      </c>
      <c r="FU59" s="2">
        <v>2</v>
      </c>
      <c r="FV59" s="2">
        <v>0</v>
      </c>
      <c r="FW59" s="2">
        <v>3</v>
      </c>
      <c r="FX59" s="2">
        <v>0</v>
      </c>
      <c r="FY59" s="2">
        <v>0</v>
      </c>
      <c r="FZ59" s="2">
        <v>0</v>
      </c>
      <c r="GA59" s="2">
        <v>0</v>
      </c>
      <c r="GB59" s="2">
        <v>1</v>
      </c>
      <c r="GC59" s="2" t="s">
        <v>274</v>
      </c>
      <c r="GD59" s="2" t="s">
        <v>274</v>
      </c>
      <c r="GE59" s="2" t="s">
        <v>274</v>
      </c>
      <c r="GF59" s="2" t="s">
        <v>274</v>
      </c>
      <c r="GG59" s="2" t="s">
        <v>274</v>
      </c>
      <c r="GH59" s="2" t="s">
        <v>274</v>
      </c>
      <c r="GI59" s="2" t="s">
        <v>274</v>
      </c>
      <c r="GJ59" s="2" t="s">
        <v>274</v>
      </c>
      <c r="GK59" s="2" t="s">
        <v>274</v>
      </c>
      <c r="GL59" s="2" t="s">
        <v>274</v>
      </c>
      <c r="GM59" s="2" t="s">
        <v>274</v>
      </c>
      <c r="GN59" s="3">
        <v>3</v>
      </c>
      <c r="GO59" s="3">
        <v>3</v>
      </c>
      <c r="GP59" s="3">
        <v>1</v>
      </c>
      <c r="GQ59" s="3">
        <v>0</v>
      </c>
      <c r="GR59" s="3">
        <v>0</v>
      </c>
      <c r="GS59" s="3">
        <v>0</v>
      </c>
      <c r="GT59" s="3">
        <v>0</v>
      </c>
      <c r="GU59" s="3">
        <v>1</v>
      </c>
      <c r="GV59" s="3">
        <v>0</v>
      </c>
      <c r="GW59" s="3">
        <v>0</v>
      </c>
      <c r="GX59" s="3">
        <v>0</v>
      </c>
      <c r="GY59" s="3">
        <v>2</v>
      </c>
      <c r="GZ59" s="3">
        <v>0</v>
      </c>
      <c r="HA59" s="3">
        <v>0</v>
      </c>
      <c r="HB59" s="3">
        <v>2</v>
      </c>
      <c r="HC59" s="3">
        <v>0</v>
      </c>
      <c r="HD59" s="3">
        <v>0</v>
      </c>
      <c r="HE59" s="3">
        <v>0</v>
      </c>
      <c r="HF59" s="3">
        <v>0</v>
      </c>
      <c r="HG59" s="3">
        <v>0</v>
      </c>
      <c r="HH59" s="3">
        <v>1</v>
      </c>
      <c r="HI59" s="3">
        <v>0</v>
      </c>
      <c r="HJ59" s="3">
        <v>0</v>
      </c>
      <c r="HK59" s="3">
        <v>3</v>
      </c>
      <c r="HL59" s="3">
        <v>0</v>
      </c>
      <c r="HM59" s="3">
        <v>0</v>
      </c>
      <c r="HN59" s="3">
        <v>0</v>
      </c>
      <c r="HO59" s="3">
        <v>0</v>
      </c>
      <c r="HP59" s="3">
        <v>0</v>
      </c>
      <c r="HQ59" s="3">
        <v>0</v>
      </c>
      <c r="HR59" s="3">
        <v>0</v>
      </c>
      <c r="HS59" s="3">
        <v>0</v>
      </c>
      <c r="HT59" s="3">
        <v>0</v>
      </c>
      <c r="HU59" s="3">
        <v>0</v>
      </c>
      <c r="HV59" s="3">
        <v>2</v>
      </c>
      <c r="HW59" s="3">
        <v>0</v>
      </c>
      <c r="HX59" s="3">
        <v>0</v>
      </c>
      <c r="HY59" s="3">
        <v>0</v>
      </c>
      <c r="HZ59" s="3">
        <v>0</v>
      </c>
      <c r="IA59" s="3">
        <v>0</v>
      </c>
      <c r="IB59" s="3">
        <v>0</v>
      </c>
      <c r="IC59" s="3">
        <v>0</v>
      </c>
      <c r="ID59" s="3">
        <v>0</v>
      </c>
      <c r="IE59" s="3">
        <v>0</v>
      </c>
      <c r="IF59" s="3">
        <v>0</v>
      </c>
      <c r="IG59" s="3">
        <v>0</v>
      </c>
      <c r="IH59" s="3">
        <v>0</v>
      </c>
      <c r="II59" s="3">
        <v>0</v>
      </c>
      <c r="IJ59" s="3">
        <v>2</v>
      </c>
      <c r="IK59" s="3">
        <v>0</v>
      </c>
      <c r="IL59" s="3">
        <v>0</v>
      </c>
      <c r="IM59" s="3">
        <v>0</v>
      </c>
      <c r="IN59" s="3">
        <v>0</v>
      </c>
      <c r="IO59" s="3">
        <v>0</v>
      </c>
      <c r="IP59" s="3">
        <v>0</v>
      </c>
      <c r="IQ59" s="3">
        <v>0</v>
      </c>
      <c r="IR59" s="3" t="s">
        <v>576</v>
      </c>
      <c r="IS59" s="3">
        <v>3</v>
      </c>
      <c r="IT59" s="3">
        <v>1</v>
      </c>
      <c r="IU59" s="3">
        <v>3</v>
      </c>
      <c r="IV59" s="3">
        <v>3</v>
      </c>
      <c r="IW59" s="3">
        <v>0</v>
      </c>
      <c r="IX59" s="3">
        <v>0</v>
      </c>
      <c r="IY59" s="3">
        <v>0</v>
      </c>
      <c r="IZ59" s="2" t="s">
        <v>268</v>
      </c>
      <c r="JA59" s="2"/>
    </row>
    <row r="60" spans="1:261" ht="13.2" x14ac:dyDescent="0.25">
      <c r="A60" s="10" t="s">
        <v>274</v>
      </c>
      <c r="B60" s="2" t="s">
        <v>577</v>
      </c>
      <c r="C60" s="2" t="s">
        <v>261</v>
      </c>
      <c r="D60" s="2" t="s">
        <v>325</v>
      </c>
      <c r="E60" s="2">
        <v>25</v>
      </c>
      <c r="F60" s="11" t="s">
        <v>578</v>
      </c>
      <c r="G60" s="11" t="s">
        <v>579</v>
      </c>
      <c r="H60" s="2" t="s">
        <v>580</v>
      </c>
      <c r="I60" s="3">
        <v>2</v>
      </c>
      <c r="J60" s="3">
        <v>2</v>
      </c>
      <c r="K60" s="3">
        <v>1</v>
      </c>
      <c r="L60" s="3">
        <v>2</v>
      </c>
      <c r="M60" s="3">
        <v>3</v>
      </c>
      <c r="N60" s="3">
        <v>1</v>
      </c>
      <c r="O60" s="3">
        <v>1</v>
      </c>
      <c r="P60" s="3">
        <v>2</v>
      </c>
      <c r="Q60" s="3">
        <v>3</v>
      </c>
      <c r="R60" s="3">
        <v>3</v>
      </c>
      <c r="S60" s="3">
        <v>1</v>
      </c>
      <c r="T60" s="3">
        <v>1</v>
      </c>
      <c r="U60" s="3">
        <v>3</v>
      </c>
      <c r="V60" s="3">
        <v>4</v>
      </c>
      <c r="W60" s="3">
        <v>4</v>
      </c>
      <c r="X60" s="3">
        <v>2</v>
      </c>
      <c r="Y60" s="3">
        <v>1</v>
      </c>
      <c r="Z60" s="3">
        <v>4</v>
      </c>
      <c r="AA60" s="3">
        <v>2</v>
      </c>
      <c r="AB60" s="3">
        <v>3</v>
      </c>
      <c r="AC60" s="3">
        <v>3</v>
      </c>
      <c r="AD60" s="3">
        <v>3</v>
      </c>
      <c r="AE60" s="3">
        <v>4</v>
      </c>
      <c r="AF60" s="3">
        <v>0</v>
      </c>
      <c r="AG60" s="3">
        <v>0</v>
      </c>
      <c r="AH60" s="3">
        <v>1</v>
      </c>
      <c r="AI60" s="3">
        <v>4</v>
      </c>
      <c r="AJ60" s="3">
        <v>3</v>
      </c>
      <c r="AK60" s="3">
        <v>2</v>
      </c>
      <c r="AL60" s="3">
        <v>3</v>
      </c>
      <c r="AM60" s="3">
        <v>1</v>
      </c>
      <c r="AN60" s="3">
        <v>0</v>
      </c>
      <c r="AO60" s="3">
        <v>2</v>
      </c>
      <c r="AP60" s="3">
        <v>1</v>
      </c>
      <c r="AQ60" s="3">
        <v>1</v>
      </c>
      <c r="AR60" s="3">
        <v>1</v>
      </c>
      <c r="AS60" s="3">
        <v>2</v>
      </c>
      <c r="AT60" s="3">
        <v>2</v>
      </c>
      <c r="AU60" s="3">
        <v>4</v>
      </c>
      <c r="AV60" s="3">
        <v>3</v>
      </c>
      <c r="AW60" s="3">
        <v>4</v>
      </c>
      <c r="AX60" s="3">
        <v>2</v>
      </c>
      <c r="AY60" s="3">
        <v>1</v>
      </c>
      <c r="AZ60" s="3">
        <v>4</v>
      </c>
      <c r="BA60" s="3">
        <v>2</v>
      </c>
      <c r="BB60" s="3">
        <v>3</v>
      </c>
      <c r="BC60" s="3">
        <v>2</v>
      </c>
      <c r="BD60" s="3">
        <v>3</v>
      </c>
      <c r="BE60" s="3">
        <v>2</v>
      </c>
      <c r="BF60" s="3">
        <v>1</v>
      </c>
      <c r="BG60" s="3">
        <v>2</v>
      </c>
      <c r="BH60" s="3">
        <v>3</v>
      </c>
      <c r="BI60" s="3">
        <v>1</v>
      </c>
      <c r="BJ60" s="3">
        <v>0</v>
      </c>
      <c r="BK60" s="3">
        <v>0</v>
      </c>
      <c r="BL60" s="3">
        <v>0</v>
      </c>
      <c r="BM60" s="3" t="s">
        <v>581</v>
      </c>
      <c r="BN60" s="3">
        <v>2</v>
      </c>
      <c r="BO60" s="3">
        <v>2</v>
      </c>
      <c r="BP60" s="3">
        <v>3</v>
      </c>
      <c r="BQ60" s="3">
        <v>3</v>
      </c>
      <c r="BR60" s="3">
        <v>2</v>
      </c>
      <c r="BS60" s="3">
        <v>1</v>
      </c>
      <c r="BT60" s="3">
        <v>3</v>
      </c>
      <c r="BU60" s="2">
        <v>2</v>
      </c>
      <c r="BV60" s="2">
        <v>3</v>
      </c>
      <c r="BW60" s="2">
        <v>4</v>
      </c>
      <c r="BX60" s="2">
        <v>4</v>
      </c>
      <c r="BY60" s="2">
        <v>3</v>
      </c>
      <c r="BZ60" s="2">
        <v>4</v>
      </c>
      <c r="CA60" s="2">
        <v>4</v>
      </c>
      <c r="CB60" s="2">
        <v>1</v>
      </c>
      <c r="CC60" s="2">
        <v>1</v>
      </c>
      <c r="CD60" s="2">
        <v>1</v>
      </c>
      <c r="CE60" s="2">
        <v>1</v>
      </c>
      <c r="CF60" s="2">
        <v>2</v>
      </c>
      <c r="CG60" s="2">
        <v>1</v>
      </c>
      <c r="CH60" s="2">
        <v>1</v>
      </c>
      <c r="CI60" s="2">
        <v>2</v>
      </c>
      <c r="CJ60" s="2">
        <v>2</v>
      </c>
      <c r="CK60" s="2">
        <v>1</v>
      </c>
      <c r="CL60" s="2">
        <v>4</v>
      </c>
      <c r="CM60" s="2">
        <v>3</v>
      </c>
      <c r="CN60" s="2">
        <v>3</v>
      </c>
      <c r="CO60" s="2">
        <v>1</v>
      </c>
      <c r="CP60" s="2">
        <v>2</v>
      </c>
      <c r="CQ60" s="2">
        <v>4</v>
      </c>
      <c r="CR60" s="2">
        <v>2</v>
      </c>
      <c r="CS60" s="2">
        <v>3</v>
      </c>
      <c r="CT60" s="2">
        <v>2</v>
      </c>
      <c r="CU60" s="2">
        <v>1</v>
      </c>
      <c r="CV60" s="2">
        <v>0</v>
      </c>
      <c r="CW60" s="2">
        <v>1</v>
      </c>
      <c r="CX60" s="2">
        <v>0</v>
      </c>
      <c r="CY60" s="2">
        <v>0</v>
      </c>
      <c r="CZ60" s="2">
        <v>2</v>
      </c>
      <c r="DA60" s="2">
        <v>3</v>
      </c>
      <c r="DB60" s="2">
        <v>3</v>
      </c>
      <c r="DC60" s="2">
        <v>0</v>
      </c>
      <c r="DD60" s="2">
        <v>0</v>
      </c>
      <c r="DE60" s="2">
        <v>2</v>
      </c>
      <c r="DF60" s="2">
        <v>4</v>
      </c>
      <c r="DG60" s="2">
        <v>4</v>
      </c>
      <c r="DH60" s="2">
        <v>4</v>
      </c>
      <c r="DI60" s="2">
        <v>3</v>
      </c>
      <c r="DJ60" s="2">
        <v>1</v>
      </c>
      <c r="DK60" s="2">
        <v>2</v>
      </c>
      <c r="DL60" s="2">
        <v>2</v>
      </c>
      <c r="DM60" s="2">
        <v>3</v>
      </c>
      <c r="DN60" s="2">
        <v>1</v>
      </c>
      <c r="DO60" s="2">
        <v>1</v>
      </c>
      <c r="DP60" s="2">
        <v>0</v>
      </c>
      <c r="DQ60" s="2">
        <v>4</v>
      </c>
      <c r="DR60" s="2">
        <v>4</v>
      </c>
      <c r="DS60" s="2">
        <v>4</v>
      </c>
      <c r="DT60" s="2">
        <v>4</v>
      </c>
      <c r="DU60" s="2">
        <v>2</v>
      </c>
      <c r="DV60" s="2">
        <v>2</v>
      </c>
      <c r="DW60" s="2">
        <v>2</v>
      </c>
      <c r="DX60" s="2">
        <v>4</v>
      </c>
      <c r="DY60" s="2">
        <v>3</v>
      </c>
      <c r="DZ60" s="2">
        <v>2</v>
      </c>
      <c r="EA60" s="2">
        <v>1</v>
      </c>
      <c r="EB60" s="2">
        <v>2</v>
      </c>
      <c r="EC60" s="2">
        <v>2</v>
      </c>
      <c r="ED60" s="2">
        <v>1</v>
      </c>
      <c r="EE60" s="2">
        <v>1</v>
      </c>
      <c r="EF60" s="2">
        <v>1</v>
      </c>
      <c r="EG60" s="2">
        <v>0</v>
      </c>
      <c r="EH60" s="2">
        <v>0</v>
      </c>
      <c r="EI60" s="2">
        <v>2</v>
      </c>
      <c r="EJ60" s="2">
        <v>3</v>
      </c>
      <c r="EK60" s="2">
        <v>4</v>
      </c>
      <c r="EL60" s="2">
        <v>3</v>
      </c>
      <c r="EM60" s="2">
        <v>3</v>
      </c>
      <c r="EN60" s="2">
        <v>2</v>
      </c>
      <c r="EO60" s="2">
        <v>1</v>
      </c>
      <c r="EP60" s="2">
        <v>1</v>
      </c>
      <c r="EQ60" s="2">
        <v>3</v>
      </c>
      <c r="ER60" s="2">
        <v>1</v>
      </c>
      <c r="ES60" s="2">
        <v>3</v>
      </c>
      <c r="ET60" s="2">
        <v>3</v>
      </c>
      <c r="EU60" s="2">
        <v>2</v>
      </c>
      <c r="EV60" s="2">
        <v>2</v>
      </c>
      <c r="EW60" s="2">
        <v>3</v>
      </c>
      <c r="EX60" s="2">
        <v>3</v>
      </c>
      <c r="EY60" s="2">
        <v>3</v>
      </c>
      <c r="EZ60" s="2">
        <v>2</v>
      </c>
      <c r="FA60" s="2">
        <v>1</v>
      </c>
      <c r="FB60" s="2">
        <v>3</v>
      </c>
      <c r="FC60" s="2">
        <v>3</v>
      </c>
      <c r="FD60" s="2">
        <v>3</v>
      </c>
      <c r="FE60" s="2">
        <v>2</v>
      </c>
      <c r="FF60" s="2">
        <v>1</v>
      </c>
      <c r="FG60" s="2">
        <v>4</v>
      </c>
      <c r="FH60" s="2">
        <v>4</v>
      </c>
      <c r="FI60" s="2">
        <v>4</v>
      </c>
      <c r="FJ60" s="2">
        <v>4</v>
      </c>
      <c r="FK60" s="2">
        <v>2</v>
      </c>
      <c r="FL60" s="2">
        <v>4</v>
      </c>
      <c r="FM60" s="2">
        <v>3</v>
      </c>
      <c r="FN60" s="2">
        <v>2</v>
      </c>
      <c r="FO60" s="2">
        <v>2</v>
      </c>
      <c r="FP60" s="2">
        <v>1</v>
      </c>
      <c r="FQ60" s="2">
        <v>1</v>
      </c>
      <c r="FR60" s="2">
        <v>4</v>
      </c>
      <c r="FS60" s="2">
        <v>4</v>
      </c>
      <c r="FT60" s="2">
        <v>2</v>
      </c>
      <c r="FU60" s="2">
        <v>1</v>
      </c>
      <c r="FV60" s="2">
        <v>1</v>
      </c>
      <c r="FW60" s="2">
        <v>2</v>
      </c>
      <c r="FX60" s="2">
        <v>2</v>
      </c>
      <c r="FY60" s="2">
        <v>2</v>
      </c>
      <c r="FZ60" s="2">
        <v>1</v>
      </c>
      <c r="GA60" s="2">
        <v>2</v>
      </c>
      <c r="GB60" s="2">
        <v>2</v>
      </c>
      <c r="GC60" s="2" t="s">
        <v>582</v>
      </c>
      <c r="GD60" s="2">
        <v>1</v>
      </c>
      <c r="GE60" s="2">
        <v>3</v>
      </c>
      <c r="GF60" s="2">
        <v>3</v>
      </c>
      <c r="GG60" s="2">
        <v>3</v>
      </c>
      <c r="GH60" s="2">
        <v>4</v>
      </c>
      <c r="GI60" s="2">
        <v>4</v>
      </c>
      <c r="GJ60" s="2">
        <v>3</v>
      </c>
      <c r="GK60" s="2">
        <v>1</v>
      </c>
      <c r="GL60" s="2">
        <v>2</v>
      </c>
      <c r="GM60" s="2">
        <v>2</v>
      </c>
      <c r="GN60" s="3">
        <v>4</v>
      </c>
      <c r="GO60" s="3">
        <v>3</v>
      </c>
      <c r="GP60" s="3">
        <v>4</v>
      </c>
      <c r="GQ60" s="3">
        <v>1</v>
      </c>
      <c r="GR60" s="3">
        <v>1</v>
      </c>
      <c r="GS60" s="3">
        <v>2</v>
      </c>
      <c r="GT60" s="3">
        <v>3</v>
      </c>
      <c r="GU60" s="3">
        <v>2</v>
      </c>
      <c r="GV60" s="3">
        <v>2</v>
      </c>
      <c r="GW60" s="3">
        <v>2</v>
      </c>
      <c r="GX60" s="3">
        <v>2</v>
      </c>
      <c r="GY60" s="3">
        <v>1</v>
      </c>
      <c r="GZ60" s="3">
        <v>2</v>
      </c>
      <c r="HA60" s="3">
        <v>3</v>
      </c>
      <c r="HB60" s="3">
        <v>0</v>
      </c>
      <c r="HC60" s="3">
        <v>1</v>
      </c>
      <c r="HD60" s="3">
        <v>2</v>
      </c>
      <c r="HE60" s="3">
        <v>1</v>
      </c>
      <c r="HF60" s="3">
        <v>0</v>
      </c>
      <c r="HG60" s="3">
        <v>0</v>
      </c>
      <c r="HH60" s="3">
        <v>3</v>
      </c>
      <c r="HI60" s="3">
        <v>2</v>
      </c>
      <c r="HJ60" s="3">
        <v>2</v>
      </c>
      <c r="HK60" s="3">
        <v>3</v>
      </c>
      <c r="HL60" s="3">
        <v>0</v>
      </c>
      <c r="HM60" s="3">
        <v>1</v>
      </c>
      <c r="HN60" s="3">
        <v>0</v>
      </c>
      <c r="HO60" s="3">
        <v>3</v>
      </c>
      <c r="HP60" s="3">
        <v>4</v>
      </c>
      <c r="HQ60" s="3">
        <v>2</v>
      </c>
      <c r="HR60" s="3">
        <v>2</v>
      </c>
      <c r="HS60" s="3">
        <v>0</v>
      </c>
      <c r="HT60" s="3">
        <v>2</v>
      </c>
      <c r="HU60" s="3">
        <v>2</v>
      </c>
      <c r="HV60" s="3">
        <v>1</v>
      </c>
      <c r="HW60" s="3">
        <v>0</v>
      </c>
      <c r="HX60" s="3">
        <v>1</v>
      </c>
      <c r="HY60" s="3">
        <v>1</v>
      </c>
      <c r="HZ60" s="3">
        <v>0</v>
      </c>
      <c r="IA60" s="3">
        <v>4</v>
      </c>
      <c r="IB60" s="3">
        <v>0</v>
      </c>
      <c r="IC60" s="3">
        <v>0</v>
      </c>
      <c r="ID60" s="3">
        <v>3</v>
      </c>
      <c r="IE60" s="3">
        <v>1</v>
      </c>
      <c r="IF60" s="3">
        <v>3</v>
      </c>
      <c r="IG60" s="3">
        <v>3</v>
      </c>
      <c r="IH60" s="3">
        <v>0</v>
      </c>
      <c r="II60" s="3">
        <v>2</v>
      </c>
      <c r="IJ60" s="3">
        <v>2</v>
      </c>
      <c r="IK60" s="3">
        <v>2</v>
      </c>
      <c r="IL60" s="3">
        <v>3</v>
      </c>
      <c r="IM60" s="3">
        <v>2</v>
      </c>
      <c r="IN60" s="3">
        <v>0</v>
      </c>
      <c r="IO60" s="3">
        <v>0</v>
      </c>
      <c r="IP60" s="3">
        <v>2</v>
      </c>
      <c r="IQ60" s="3">
        <v>4</v>
      </c>
      <c r="IR60" s="3" t="s">
        <v>582</v>
      </c>
      <c r="IS60" s="3">
        <v>2</v>
      </c>
      <c r="IT60" s="3">
        <v>4</v>
      </c>
      <c r="IU60" s="3">
        <v>1</v>
      </c>
      <c r="IV60" s="3">
        <v>1</v>
      </c>
      <c r="IW60" s="3">
        <v>3</v>
      </c>
      <c r="IX60" s="3">
        <v>2</v>
      </c>
      <c r="IY60" s="3">
        <v>3</v>
      </c>
      <c r="IZ60" s="2" t="s">
        <v>268</v>
      </c>
      <c r="JA60" s="2"/>
    </row>
    <row r="61" spans="1:261" ht="13.2" x14ac:dyDescent="0.25">
      <c r="A61" s="10" t="s">
        <v>274</v>
      </c>
      <c r="B61" s="2" t="s">
        <v>583</v>
      </c>
      <c r="C61" s="2" t="s">
        <v>276</v>
      </c>
      <c r="D61" s="2" t="s">
        <v>325</v>
      </c>
      <c r="E61" s="2">
        <v>18</v>
      </c>
      <c r="F61" s="11" t="s">
        <v>584</v>
      </c>
      <c r="G61" s="11" t="s">
        <v>585</v>
      </c>
      <c r="H61" s="2" t="s">
        <v>586</v>
      </c>
      <c r="I61" s="3">
        <v>4</v>
      </c>
      <c r="J61" s="3">
        <v>4</v>
      </c>
      <c r="K61" s="3">
        <v>4</v>
      </c>
      <c r="L61" s="3">
        <v>4</v>
      </c>
      <c r="M61" s="3">
        <v>4</v>
      </c>
      <c r="N61" s="3">
        <v>4</v>
      </c>
      <c r="O61" s="3">
        <v>4</v>
      </c>
      <c r="P61" s="3">
        <v>3</v>
      </c>
      <c r="Q61" s="3">
        <v>2</v>
      </c>
      <c r="R61" s="3">
        <v>3</v>
      </c>
      <c r="S61" s="3">
        <v>4</v>
      </c>
      <c r="T61" s="3">
        <v>1</v>
      </c>
      <c r="U61" s="3">
        <v>4</v>
      </c>
      <c r="V61" s="3">
        <v>0</v>
      </c>
      <c r="W61" s="3">
        <v>4</v>
      </c>
      <c r="X61" s="3">
        <v>4</v>
      </c>
      <c r="Y61" s="3">
        <v>4</v>
      </c>
      <c r="Z61" s="3">
        <v>4</v>
      </c>
      <c r="AA61" s="3">
        <v>4</v>
      </c>
      <c r="AB61" s="3">
        <v>4</v>
      </c>
      <c r="AC61" s="3">
        <v>4</v>
      </c>
      <c r="AD61" s="3">
        <v>4</v>
      </c>
      <c r="AE61" s="3">
        <v>4</v>
      </c>
      <c r="AF61" s="3">
        <v>0</v>
      </c>
      <c r="AG61" s="3">
        <v>2</v>
      </c>
      <c r="AH61" s="3">
        <v>0</v>
      </c>
      <c r="AI61" s="3">
        <v>4</v>
      </c>
      <c r="AJ61" s="3">
        <v>4</v>
      </c>
      <c r="AK61" s="3">
        <v>4</v>
      </c>
      <c r="AL61" s="3">
        <v>4</v>
      </c>
      <c r="AM61" s="3">
        <v>2</v>
      </c>
      <c r="AN61" s="3">
        <v>2</v>
      </c>
      <c r="AO61" s="3">
        <v>4</v>
      </c>
      <c r="AP61" s="3">
        <v>2</v>
      </c>
      <c r="AQ61" s="3">
        <v>4</v>
      </c>
      <c r="AR61" s="3">
        <v>2</v>
      </c>
      <c r="AS61" s="3">
        <v>2</v>
      </c>
      <c r="AT61" s="3">
        <v>4</v>
      </c>
      <c r="AU61" s="3">
        <v>4</v>
      </c>
      <c r="AV61" s="3">
        <v>4</v>
      </c>
      <c r="AW61" s="3">
        <v>3</v>
      </c>
      <c r="AX61" s="3">
        <v>0</v>
      </c>
      <c r="AY61" s="3">
        <v>0</v>
      </c>
      <c r="AZ61" s="3">
        <v>4</v>
      </c>
      <c r="BA61" s="3">
        <v>0</v>
      </c>
      <c r="BB61" s="3">
        <v>4</v>
      </c>
      <c r="BC61" s="3">
        <v>4</v>
      </c>
      <c r="BD61" s="3">
        <v>4</v>
      </c>
      <c r="BE61" s="3">
        <v>0</v>
      </c>
      <c r="BF61" s="3">
        <v>2</v>
      </c>
      <c r="BG61" s="3">
        <v>2</v>
      </c>
      <c r="BH61" s="3">
        <v>2</v>
      </c>
      <c r="BI61" s="3">
        <v>2</v>
      </c>
      <c r="BJ61" s="3">
        <v>4</v>
      </c>
      <c r="BK61" s="3">
        <v>4</v>
      </c>
      <c r="BL61" s="3">
        <v>0</v>
      </c>
      <c r="BM61" s="3" t="s">
        <v>587</v>
      </c>
      <c r="BN61" s="3">
        <v>2</v>
      </c>
      <c r="BO61" s="3">
        <v>4</v>
      </c>
      <c r="BP61" s="3">
        <v>4</v>
      </c>
      <c r="BQ61" s="3">
        <v>2</v>
      </c>
      <c r="BR61" s="3">
        <v>4</v>
      </c>
      <c r="BS61" s="3">
        <v>4</v>
      </c>
      <c r="BT61" s="3">
        <v>4</v>
      </c>
      <c r="BU61" s="2">
        <v>2</v>
      </c>
      <c r="BV61" s="2">
        <v>2</v>
      </c>
      <c r="BW61" s="2">
        <v>4</v>
      </c>
      <c r="BX61" s="2">
        <v>4</v>
      </c>
      <c r="BY61" s="2">
        <v>0</v>
      </c>
      <c r="BZ61" s="2">
        <v>4</v>
      </c>
      <c r="CA61" s="2">
        <v>2</v>
      </c>
      <c r="CB61" s="2">
        <v>4</v>
      </c>
      <c r="CC61" s="2">
        <v>4</v>
      </c>
      <c r="CD61" s="2">
        <v>4</v>
      </c>
      <c r="CE61" s="2">
        <v>2</v>
      </c>
      <c r="CF61" s="2">
        <v>4</v>
      </c>
      <c r="CG61" s="2">
        <v>4</v>
      </c>
      <c r="CH61" s="2">
        <v>4</v>
      </c>
      <c r="CI61" s="2">
        <v>4</v>
      </c>
      <c r="CJ61" s="2">
        <v>4</v>
      </c>
      <c r="CK61" s="2">
        <v>4</v>
      </c>
      <c r="CL61" s="2">
        <v>4</v>
      </c>
      <c r="CM61" s="2">
        <v>2</v>
      </c>
      <c r="CN61" s="2">
        <v>2</v>
      </c>
      <c r="CO61" s="2">
        <v>0</v>
      </c>
      <c r="CP61" s="2">
        <v>4</v>
      </c>
      <c r="CQ61" s="2">
        <v>4</v>
      </c>
      <c r="CR61" s="2">
        <v>0</v>
      </c>
      <c r="CS61" s="2">
        <v>1</v>
      </c>
      <c r="CT61" s="2">
        <v>4</v>
      </c>
      <c r="CU61" s="2">
        <v>2</v>
      </c>
      <c r="CV61" s="2">
        <v>4</v>
      </c>
      <c r="CW61" s="2">
        <v>4</v>
      </c>
      <c r="CX61" s="2">
        <v>4</v>
      </c>
      <c r="CY61" s="2">
        <v>4</v>
      </c>
      <c r="CZ61" s="2">
        <v>2</v>
      </c>
      <c r="DA61" s="2">
        <v>2</v>
      </c>
      <c r="DB61" s="2">
        <v>2</v>
      </c>
      <c r="DC61" s="2">
        <v>0</v>
      </c>
      <c r="DD61" s="2">
        <v>1</v>
      </c>
      <c r="DE61" s="2">
        <v>4</v>
      </c>
      <c r="DF61" s="2">
        <v>4</v>
      </c>
      <c r="DG61" s="2">
        <v>4</v>
      </c>
      <c r="DH61" s="2">
        <v>4</v>
      </c>
      <c r="DI61" s="2">
        <v>4</v>
      </c>
      <c r="DJ61" s="2">
        <v>4</v>
      </c>
      <c r="DK61" s="2">
        <v>4</v>
      </c>
      <c r="DL61" s="2">
        <v>4</v>
      </c>
      <c r="DM61" s="2">
        <v>4</v>
      </c>
      <c r="DN61" s="2">
        <v>0</v>
      </c>
      <c r="DO61" s="2">
        <v>2</v>
      </c>
      <c r="DP61" s="2">
        <v>4</v>
      </c>
      <c r="DQ61" s="2">
        <v>4</v>
      </c>
      <c r="DR61" s="2">
        <v>2</v>
      </c>
      <c r="DS61" s="2">
        <v>4</v>
      </c>
      <c r="DT61" s="2">
        <v>4</v>
      </c>
      <c r="DU61" s="2">
        <v>0</v>
      </c>
      <c r="DV61" s="2">
        <v>2</v>
      </c>
      <c r="DW61" s="2">
        <v>2</v>
      </c>
      <c r="DX61" s="2">
        <v>4</v>
      </c>
      <c r="DY61" s="2">
        <v>4</v>
      </c>
      <c r="DZ61" s="2">
        <v>4</v>
      </c>
      <c r="EA61" s="2">
        <v>4</v>
      </c>
      <c r="EB61" s="2">
        <v>0</v>
      </c>
      <c r="EC61" s="2">
        <v>2</v>
      </c>
      <c r="ED61" s="2">
        <v>0</v>
      </c>
      <c r="EE61" s="2">
        <v>2</v>
      </c>
      <c r="EF61" s="2">
        <v>0</v>
      </c>
      <c r="EG61" s="2">
        <v>0</v>
      </c>
      <c r="EH61" s="2">
        <v>0</v>
      </c>
      <c r="EI61" s="2">
        <v>4</v>
      </c>
      <c r="EJ61" s="2">
        <v>4</v>
      </c>
      <c r="EK61" s="2">
        <v>4</v>
      </c>
      <c r="EL61" s="2">
        <v>4</v>
      </c>
      <c r="EM61" s="2">
        <v>4</v>
      </c>
      <c r="EN61" s="2">
        <v>0</v>
      </c>
      <c r="EO61" s="2">
        <v>0</v>
      </c>
      <c r="EP61" s="2">
        <v>0</v>
      </c>
      <c r="EQ61" s="2">
        <v>2</v>
      </c>
      <c r="ER61" s="2">
        <v>0</v>
      </c>
      <c r="ES61" s="2">
        <v>2</v>
      </c>
      <c r="ET61" s="2">
        <v>2</v>
      </c>
      <c r="EU61" s="2">
        <v>4</v>
      </c>
      <c r="EV61" s="2">
        <v>4</v>
      </c>
      <c r="EW61" s="2">
        <v>4</v>
      </c>
      <c r="EX61" s="2">
        <v>4</v>
      </c>
      <c r="EY61" s="2">
        <v>4</v>
      </c>
      <c r="EZ61" s="2">
        <v>2</v>
      </c>
      <c r="FA61" s="2">
        <v>4</v>
      </c>
      <c r="FB61" s="2">
        <v>2</v>
      </c>
      <c r="FC61" s="2">
        <v>4</v>
      </c>
      <c r="FD61" s="2">
        <v>2</v>
      </c>
      <c r="FE61" s="2">
        <v>2</v>
      </c>
      <c r="FF61" s="2">
        <v>4</v>
      </c>
      <c r="FG61" s="2">
        <v>4</v>
      </c>
      <c r="FH61" s="2">
        <v>2</v>
      </c>
      <c r="FI61" s="2">
        <v>4</v>
      </c>
      <c r="FJ61" s="2">
        <v>4</v>
      </c>
      <c r="FK61" s="2">
        <v>4</v>
      </c>
      <c r="FL61" s="2">
        <v>4</v>
      </c>
      <c r="FM61" s="2">
        <v>4</v>
      </c>
      <c r="FN61" s="2">
        <v>0</v>
      </c>
      <c r="FO61" s="2">
        <v>4</v>
      </c>
      <c r="FP61" s="2">
        <v>4</v>
      </c>
      <c r="FQ61" s="2">
        <v>2</v>
      </c>
      <c r="FR61" s="2">
        <v>4</v>
      </c>
      <c r="FS61" s="2">
        <v>4</v>
      </c>
      <c r="FT61" s="2">
        <v>0</v>
      </c>
      <c r="FU61" s="2">
        <v>2</v>
      </c>
      <c r="FV61" s="2">
        <v>2</v>
      </c>
      <c r="FW61" s="2">
        <v>0</v>
      </c>
      <c r="FX61" s="2">
        <v>2</v>
      </c>
      <c r="FY61" s="2">
        <v>2</v>
      </c>
      <c r="FZ61" s="2">
        <v>0</v>
      </c>
      <c r="GA61" s="2">
        <v>2</v>
      </c>
      <c r="GB61" s="2">
        <v>4</v>
      </c>
      <c r="GC61" s="2" t="s">
        <v>274</v>
      </c>
      <c r="GD61" s="2">
        <v>2</v>
      </c>
      <c r="GE61" s="2">
        <v>0</v>
      </c>
      <c r="GF61" s="2">
        <v>4</v>
      </c>
      <c r="GG61" s="2">
        <v>4</v>
      </c>
      <c r="GH61" s="2">
        <v>4</v>
      </c>
      <c r="GI61" s="2">
        <v>4</v>
      </c>
      <c r="GJ61" s="2">
        <v>4</v>
      </c>
      <c r="GK61" s="2">
        <v>0</v>
      </c>
      <c r="GL61" s="2">
        <v>4</v>
      </c>
      <c r="GM61" s="2">
        <v>4</v>
      </c>
      <c r="GN61" s="3">
        <v>4</v>
      </c>
      <c r="GO61" s="3">
        <v>4</v>
      </c>
      <c r="GP61" s="3">
        <v>4</v>
      </c>
      <c r="GQ61" s="3">
        <v>4</v>
      </c>
      <c r="GR61" s="3">
        <v>4</v>
      </c>
      <c r="GS61" s="3">
        <v>2</v>
      </c>
      <c r="GT61" s="3">
        <v>4</v>
      </c>
      <c r="GU61" s="3">
        <v>0</v>
      </c>
      <c r="GV61" s="3">
        <v>4</v>
      </c>
      <c r="GW61" s="3">
        <v>4</v>
      </c>
      <c r="GX61" s="3">
        <v>4</v>
      </c>
      <c r="GY61" s="3">
        <v>0</v>
      </c>
      <c r="GZ61" s="3">
        <v>4</v>
      </c>
      <c r="HA61" s="3">
        <v>4</v>
      </c>
      <c r="HB61" s="3">
        <v>1</v>
      </c>
      <c r="HC61" s="3">
        <v>0</v>
      </c>
      <c r="HD61" s="3">
        <v>4</v>
      </c>
      <c r="HE61" s="3">
        <v>0</v>
      </c>
      <c r="HF61" s="3">
        <v>2</v>
      </c>
      <c r="HG61" s="3">
        <v>0</v>
      </c>
      <c r="HH61" s="3">
        <v>4</v>
      </c>
      <c r="HI61" s="3">
        <v>0</v>
      </c>
      <c r="HJ61" s="3">
        <v>2</v>
      </c>
      <c r="HK61" s="3">
        <v>4</v>
      </c>
      <c r="HL61" s="3">
        <v>0</v>
      </c>
      <c r="HM61" s="3">
        <v>4</v>
      </c>
      <c r="HN61" s="3">
        <v>0</v>
      </c>
      <c r="HO61" s="3">
        <v>4</v>
      </c>
      <c r="HP61" s="3">
        <v>0</v>
      </c>
      <c r="HQ61" s="3">
        <v>4</v>
      </c>
      <c r="HR61" s="3">
        <v>2</v>
      </c>
      <c r="HS61" s="3">
        <v>0</v>
      </c>
      <c r="HT61" s="3">
        <v>0</v>
      </c>
      <c r="HU61" s="3">
        <v>0</v>
      </c>
      <c r="HV61" s="3">
        <v>4</v>
      </c>
      <c r="HW61" s="3">
        <v>0</v>
      </c>
      <c r="HX61" s="3">
        <v>0</v>
      </c>
      <c r="HY61" s="3">
        <v>2</v>
      </c>
      <c r="HZ61" s="3">
        <v>2</v>
      </c>
      <c r="IA61" s="3">
        <v>4</v>
      </c>
      <c r="IB61" s="3">
        <v>0</v>
      </c>
      <c r="IC61" s="3">
        <v>0</v>
      </c>
      <c r="ID61" s="3">
        <v>4</v>
      </c>
      <c r="IE61" s="3">
        <v>0</v>
      </c>
      <c r="IF61" s="3">
        <v>4</v>
      </c>
      <c r="IG61" s="3">
        <v>2</v>
      </c>
      <c r="IH61" s="3">
        <v>0</v>
      </c>
      <c r="II61" s="3">
        <v>0</v>
      </c>
      <c r="IJ61" s="3">
        <v>2</v>
      </c>
      <c r="IK61" s="3">
        <v>2</v>
      </c>
      <c r="IL61" s="3">
        <v>4</v>
      </c>
      <c r="IM61" s="3">
        <v>0</v>
      </c>
      <c r="IN61" s="3">
        <v>0</v>
      </c>
      <c r="IO61" s="3">
        <v>4</v>
      </c>
      <c r="IP61" s="3">
        <v>0</v>
      </c>
      <c r="IQ61" s="3">
        <v>4</v>
      </c>
      <c r="IR61" s="3" t="s">
        <v>588</v>
      </c>
      <c r="IS61" s="3">
        <v>1</v>
      </c>
      <c r="IT61" s="3">
        <v>4</v>
      </c>
      <c r="IU61" s="3">
        <v>0</v>
      </c>
      <c r="IV61" s="3">
        <v>2</v>
      </c>
      <c r="IW61" s="3">
        <v>4</v>
      </c>
      <c r="IX61" s="3">
        <v>4</v>
      </c>
      <c r="IY61" s="3">
        <v>4</v>
      </c>
      <c r="IZ61" s="2" t="s">
        <v>268</v>
      </c>
      <c r="JA61" s="2"/>
    </row>
    <row r="62" spans="1:261" ht="13.2" x14ac:dyDescent="0.25">
      <c r="A62" s="10" t="s">
        <v>274</v>
      </c>
      <c r="B62" s="2" t="s">
        <v>589</v>
      </c>
      <c r="C62" s="2" t="s">
        <v>261</v>
      </c>
      <c r="D62" s="2" t="s">
        <v>325</v>
      </c>
      <c r="E62" s="2">
        <v>24</v>
      </c>
      <c r="F62" s="11" t="s">
        <v>590</v>
      </c>
      <c r="G62" s="11" t="s">
        <v>591</v>
      </c>
      <c r="H62" s="2" t="s">
        <v>592</v>
      </c>
      <c r="I62" s="3">
        <v>1</v>
      </c>
      <c r="J62" s="3">
        <v>1</v>
      </c>
      <c r="K62" s="3">
        <v>3</v>
      </c>
      <c r="L62" s="3">
        <v>1</v>
      </c>
      <c r="M62" s="3">
        <v>2</v>
      </c>
      <c r="N62" s="3">
        <v>3</v>
      </c>
      <c r="O62" s="3">
        <v>0</v>
      </c>
      <c r="P62" s="3">
        <v>1</v>
      </c>
      <c r="Q62" s="3">
        <v>0</v>
      </c>
      <c r="R62" s="3">
        <v>3</v>
      </c>
      <c r="S62" s="3">
        <v>0</v>
      </c>
      <c r="T62" s="3">
        <v>3</v>
      </c>
      <c r="U62" s="3">
        <v>3</v>
      </c>
      <c r="V62" s="3">
        <v>4</v>
      </c>
      <c r="W62" s="3">
        <v>2</v>
      </c>
      <c r="X62" s="3">
        <v>2</v>
      </c>
      <c r="Y62" s="3">
        <v>3</v>
      </c>
      <c r="Z62" s="3">
        <v>3</v>
      </c>
      <c r="AA62" s="3">
        <v>0</v>
      </c>
      <c r="AB62" s="3">
        <v>1</v>
      </c>
      <c r="AC62" s="3">
        <v>0</v>
      </c>
      <c r="AD62" s="3">
        <v>3</v>
      </c>
      <c r="AE62" s="3">
        <v>0</v>
      </c>
      <c r="AF62" s="3">
        <v>3</v>
      </c>
      <c r="AG62" s="3">
        <v>2</v>
      </c>
      <c r="AH62" s="3">
        <v>3</v>
      </c>
      <c r="AI62" s="3">
        <v>4</v>
      </c>
      <c r="AJ62" s="3">
        <v>3</v>
      </c>
      <c r="AK62" s="3">
        <v>0</v>
      </c>
      <c r="AL62" s="3">
        <v>3</v>
      </c>
      <c r="AM62" s="3">
        <v>0</v>
      </c>
      <c r="AN62" s="3">
        <v>1</v>
      </c>
      <c r="AO62" s="3">
        <v>2</v>
      </c>
      <c r="AP62" s="3">
        <v>0</v>
      </c>
      <c r="AQ62" s="3">
        <v>2</v>
      </c>
      <c r="AR62" s="3">
        <v>2</v>
      </c>
      <c r="AS62" s="3">
        <v>2</v>
      </c>
      <c r="AT62" s="3">
        <v>2</v>
      </c>
      <c r="AU62" s="3">
        <v>3</v>
      </c>
      <c r="AV62" s="3">
        <v>2</v>
      </c>
      <c r="AW62" s="3">
        <v>3</v>
      </c>
      <c r="AX62" s="3">
        <v>3</v>
      </c>
      <c r="AY62" s="3">
        <v>0</v>
      </c>
      <c r="AZ62" s="3">
        <v>3</v>
      </c>
      <c r="BA62" s="3">
        <v>2</v>
      </c>
      <c r="BB62" s="3">
        <v>3</v>
      </c>
      <c r="BC62" s="3">
        <v>0</v>
      </c>
      <c r="BD62" s="3">
        <v>3</v>
      </c>
      <c r="BE62" s="3">
        <v>2</v>
      </c>
      <c r="BF62" s="3">
        <v>3</v>
      </c>
      <c r="BG62" s="3">
        <v>2</v>
      </c>
      <c r="BH62" s="3">
        <v>3</v>
      </c>
      <c r="BI62" s="3">
        <v>2</v>
      </c>
      <c r="BJ62" s="3">
        <v>3</v>
      </c>
      <c r="BK62" s="3">
        <v>2</v>
      </c>
      <c r="BL62" s="3">
        <v>1</v>
      </c>
      <c r="BM62" s="3" t="s">
        <v>274</v>
      </c>
      <c r="BN62" s="3">
        <v>0</v>
      </c>
      <c r="BO62" s="3">
        <v>0</v>
      </c>
      <c r="BP62" s="3">
        <v>0</v>
      </c>
      <c r="BQ62" s="3">
        <v>1</v>
      </c>
      <c r="BR62" s="3">
        <v>0</v>
      </c>
      <c r="BS62" s="3">
        <v>1</v>
      </c>
      <c r="BT62" s="3">
        <v>1</v>
      </c>
      <c r="BU62" s="2">
        <v>3</v>
      </c>
      <c r="BV62" s="2">
        <v>3</v>
      </c>
      <c r="BW62" s="2">
        <v>0</v>
      </c>
      <c r="BX62" s="2">
        <v>3</v>
      </c>
      <c r="BY62" s="2">
        <v>0</v>
      </c>
      <c r="BZ62" s="2">
        <v>1</v>
      </c>
      <c r="CA62" s="2">
        <v>0</v>
      </c>
      <c r="CB62" s="2">
        <v>3</v>
      </c>
      <c r="CC62" s="2">
        <v>3</v>
      </c>
      <c r="CD62" s="2">
        <v>0</v>
      </c>
      <c r="CE62" s="2">
        <v>1</v>
      </c>
      <c r="CF62" s="2">
        <v>1</v>
      </c>
      <c r="CG62" s="2">
        <v>0</v>
      </c>
      <c r="CH62" s="2">
        <v>2</v>
      </c>
      <c r="CI62" s="2">
        <v>2</v>
      </c>
      <c r="CJ62" s="2">
        <v>1</v>
      </c>
      <c r="CK62" s="2">
        <v>2</v>
      </c>
      <c r="CL62" s="2">
        <v>1</v>
      </c>
      <c r="CM62" s="2">
        <v>2</v>
      </c>
      <c r="CN62" s="2">
        <v>2</v>
      </c>
      <c r="CO62" s="2">
        <v>1</v>
      </c>
      <c r="CP62" s="2">
        <v>2</v>
      </c>
      <c r="CQ62" s="2">
        <v>1</v>
      </c>
      <c r="CR62" s="2">
        <v>2</v>
      </c>
      <c r="CS62" s="2">
        <v>1</v>
      </c>
      <c r="CT62" s="2">
        <v>2</v>
      </c>
      <c r="CU62" s="2">
        <v>1</v>
      </c>
      <c r="CV62" s="2">
        <v>2</v>
      </c>
      <c r="CW62" s="2">
        <v>1</v>
      </c>
      <c r="CX62" s="2">
        <v>2</v>
      </c>
      <c r="CY62" s="2">
        <v>1</v>
      </c>
      <c r="CZ62" s="2">
        <v>0</v>
      </c>
      <c r="DA62" s="2">
        <v>2</v>
      </c>
      <c r="DB62" s="2">
        <v>1</v>
      </c>
      <c r="DC62" s="2">
        <v>1</v>
      </c>
      <c r="DD62" s="2">
        <v>1</v>
      </c>
      <c r="DE62" s="2">
        <v>0</v>
      </c>
      <c r="DF62" s="2">
        <v>1</v>
      </c>
      <c r="DG62" s="2">
        <v>1</v>
      </c>
      <c r="DH62" s="2">
        <v>2</v>
      </c>
      <c r="DI62" s="2">
        <v>1</v>
      </c>
      <c r="DJ62" s="2">
        <v>0</v>
      </c>
      <c r="DK62" s="2">
        <v>1</v>
      </c>
      <c r="DL62" s="2">
        <v>1</v>
      </c>
      <c r="DM62" s="2">
        <v>0</v>
      </c>
      <c r="DN62" s="2">
        <v>1</v>
      </c>
      <c r="DO62" s="2">
        <v>1</v>
      </c>
      <c r="DP62" s="2">
        <v>3</v>
      </c>
      <c r="DQ62" s="2">
        <v>2</v>
      </c>
      <c r="DR62" s="2">
        <v>1</v>
      </c>
      <c r="DS62" s="2">
        <v>2</v>
      </c>
      <c r="DT62" s="2">
        <v>1</v>
      </c>
      <c r="DU62" s="2">
        <v>1</v>
      </c>
      <c r="DV62" s="2">
        <v>0</v>
      </c>
      <c r="DW62" s="2">
        <v>1</v>
      </c>
      <c r="DX62" s="2">
        <v>2</v>
      </c>
      <c r="DY62" s="2">
        <v>1</v>
      </c>
      <c r="DZ62" s="2">
        <v>2</v>
      </c>
      <c r="EA62" s="2">
        <v>0</v>
      </c>
      <c r="EB62" s="2">
        <v>1</v>
      </c>
      <c r="EC62" s="2">
        <v>2</v>
      </c>
      <c r="ED62" s="2">
        <v>0</v>
      </c>
      <c r="EE62" s="2">
        <v>2</v>
      </c>
      <c r="EF62" s="2">
        <v>1</v>
      </c>
      <c r="EG62" s="2">
        <v>2</v>
      </c>
      <c r="EH62" s="2">
        <v>1</v>
      </c>
      <c r="EI62" s="2">
        <v>0</v>
      </c>
      <c r="EJ62" s="2">
        <v>1</v>
      </c>
      <c r="EK62" s="2">
        <v>0</v>
      </c>
      <c r="EL62" s="2">
        <v>0</v>
      </c>
      <c r="EM62" s="2">
        <v>2</v>
      </c>
      <c r="EN62" s="2">
        <v>0</v>
      </c>
      <c r="EO62" s="2">
        <v>2</v>
      </c>
      <c r="EP62" s="2">
        <v>1</v>
      </c>
      <c r="EQ62" s="2">
        <v>1</v>
      </c>
      <c r="ER62" s="2">
        <v>0</v>
      </c>
      <c r="ES62" s="2">
        <v>0</v>
      </c>
      <c r="ET62" s="2">
        <v>0</v>
      </c>
      <c r="EU62" s="2">
        <v>1</v>
      </c>
      <c r="EV62" s="2">
        <v>0</v>
      </c>
      <c r="EW62" s="2">
        <v>1</v>
      </c>
      <c r="EX62" s="2">
        <v>2</v>
      </c>
      <c r="EY62" s="2">
        <v>0</v>
      </c>
      <c r="EZ62" s="2">
        <v>1</v>
      </c>
      <c r="FA62" s="2">
        <v>2</v>
      </c>
      <c r="FB62" s="2">
        <v>0</v>
      </c>
      <c r="FC62" s="2">
        <v>1</v>
      </c>
      <c r="FD62" s="2">
        <v>2</v>
      </c>
      <c r="FE62" s="2">
        <v>1</v>
      </c>
      <c r="FF62" s="2">
        <v>2</v>
      </c>
      <c r="FG62" s="2">
        <v>2</v>
      </c>
      <c r="FH62" s="2">
        <v>2</v>
      </c>
      <c r="FI62" s="2">
        <v>1</v>
      </c>
      <c r="FJ62" s="2">
        <v>0</v>
      </c>
      <c r="FK62" s="2">
        <v>1</v>
      </c>
      <c r="FL62" s="2">
        <v>1</v>
      </c>
      <c r="FM62" s="2">
        <v>0</v>
      </c>
      <c r="FN62" s="2">
        <v>1</v>
      </c>
      <c r="FO62" s="2">
        <v>0</v>
      </c>
      <c r="FP62" s="2">
        <v>1</v>
      </c>
      <c r="FQ62" s="2">
        <v>0</v>
      </c>
      <c r="FR62" s="2">
        <v>1</v>
      </c>
      <c r="FS62" s="2">
        <v>0</v>
      </c>
      <c r="FT62" s="2">
        <v>0</v>
      </c>
      <c r="FU62" s="2">
        <v>2</v>
      </c>
      <c r="FV62" s="2">
        <v>1</v>
      </c>
      <c r="FW62" s="2">
        <v>0</v>
      </c>
      <c r="FX62" s="2">
        <v>0</v>
      </c>
      <c r="FY62" s="2">
        <v>1</v>
      </c>
      <c r="FZ62" s="2">
        <v>1</v>
      </c>
      <c r="GA62" s="2">
        <v>1</v>
      </c>
      <c r="GB62" s="2">
        <v>0</v>
      </c>
      <c r="GC62" s="2" t="s">
        <v>274</v>
      </c>
      <c r="GD62" s="2">
        <v>1</v>
      </c>
      <c r="GE62" s="2">
        <v>2</v>
      </c>
      <c r="GF62" s="2">
        <v>0</v>
      </c>
      <c r="GG62" s="2">
        <v>1</v>
      </c>
      <c r="GH62" s="2">
        <v>2</v>
      </c>
      <c r="GI62" s="2">
        <v>1</v>
      </c>
      <c r="GJ62" s="2">
        <v>1</v>
      </c>
      <c r="GK62" s="2">
        <v>0</v>
      </c>
      <c r="GL62" s="2">
        <v>1</v>
      </c>
      <c r="GM62" s="2">
        <v>1</v>
      </c>
      <c r="GN62" s="3">
        <v>1</v>
      </c>
      <c r="GO62" s="3">
        <v>1</v>
      </c>
      <c r="GP62" s="3">
        <v>0</v>
      </c>
      <c r="GQ62" s="3">
        <v>1</v>
      </c>
      <c r="GR62" s="3">
        <v>2</v>
      </c>
      <c r="GS62" s="3">
        <v>1</v>
      </c>
      <c r="GT62" s="3">
        <v>2</v>
      </c>
      <c r="GU62" s="3">
        <v>1</v>
      </c>
      <c r="GV62" s="3">
        <v>2</v>
      </c>
      <c r="GW62" s="3">
        <v>1</v>
      </c>
      <c r="GX62" s="3">
        <v>1</v>
      </c>
      <c r="GY62" s="3">
        <v>2</v>
      </c>
      <c r="GZ62" s="3">
        <v>3</v>
      </c>
      <c r="HA62" s="3">
        <v>2</v>
      </c>
      <c r="HB62" s="3">
        <v>3</v>
      </c>
      <c r="HC62" s="3">
        <v>2</v>
      </c>
      <c r="HD62" s="3">
        <v>3</v>
      </c>
      <c r="HE62" s="3">
        <v>2</v>
      </c>
      <c r="HF62" s="3">
        <v>3</v>
      </c>
      <c r="HG62" s="3">
        <v>3</v>
      </c>
      <c r="HH62" s="3">
        <v>1</v>
      </c>
      <c r="HI62" s="3">
        <v>0</v>
      </c>
      <c r="HJ62" s="3">
        <v>0</v>
      </c>
      <c r="HK62" s="3">
        <v>3</v>
      </c>
      <c r="HL62" s="3">
        <v>1</v>
      </c>
      <c r="HM62" s="3">
        <v>1</v>
      </c>
      <c r="HN62" s="3">
        <v>1</v>
      </c>
      <c r="HO62" s="3">
        <v>2</v>
      </c>
      <c r="HP62" s="3">
        <v>2</v>
      </c>
      <c r="HQ62" s="3">
        <v>2</v>
      </c>
      <c r="HR62" s="3">
        <v>1</v>
      </c>
      <c r="HS62" s="3">
        <v>2</v>
      </c>
      <c r="HT62" s="3">
        <v>1</v>
      </c>
      <c r="HU62" s="3">
        <v>2</v>
      </c>
      <c r="HV62" s="3">
        <v>3</v>
      </c>
      <c r="HW62" s="3">
        <v>2</v>
      </c>
      <c r="HX62" s="3">
        <v>1</v>
      </c>
      <c r="HY62" s="3">
        <v>0</v>
      </c>
      <c r="HZ62" s="3">
        <v>0</v>
      </c>
      <c r="IA62" s="3">
        <v>2</v>
      </c>
      <c r="IB62" s="3">
        <v>1</v>
      </c>
      <c r="IC62" s="3">
        <v>0</v>
      </c>
      <c r="ID62" s="3">
        <v>1</v>
      </c>
      <c r="IE62" s="3">
        <v>2</v>
      </c>
      <c r="IF62" s="3">
        <v>0</v>
      </c>
      <c r="IG62" s="3">
        <v>2</v>
      </c>
      <c r="IH62" s="3">
        <v>1</v>
      </c>
      <c r="II62" s="3">
        <v>1</v>
      </c>
      <c r="IJ62" s="3">
        <v>1</v>
      </c>
      <c r="IK62" s="3">
        <v>1</v>
      </c>
      <c r="IL62" s="3">
        <v>0</v>
      </c>
      <c r="IM62" s="3">
        <v>2</v>
      </c>
      <c r="IN62" s="3">
        <v>1</v>
      </c>
      <c r="IO62" s="3">
        <v>2</v>
      </c>
      <c r="IP62" s="3">
        <v>1</v>
      </c>
      <c r="IQ62" s="3">
        <v>0</v>
      </c>
      <c r="IR62" s="3" t="s">
        <v>274</v>
      </c>
      <c r="IS62" s="3">
        <v>2</v>
      </c>
      <c r="IT62" s="3">
        <v>2</v>
      </c>
      <c r="IU62" s="3">
        <v>2</v>
      </c>
      <c r="IV62" s="3">
        <v>1</v>
      </c>
      <c r="IW62" s="3">
        <v>2</v>
      </c>
      <c r="IX62" s="3">
        <v>2</v>
      </c>
      <c r="IY62" s="3">
        <v>1</v>
      </c>
      <c r="IZ62" s="2" t="s">
        <v>268</v>
      </c>
      <c r="JA62" s="2"/>
    </row>
    <row r="63" spans="1:261" ht="13.2" x14ac:dyDescent="0.25">
      <c r="A63" s="10" t="s">
        <v>274</v>
      </c>
      <c r="B63" s="2" t="s">
        <v>593</v>
      </c>
      <c r="C63" s="2" t="s">
        <v>261</v>
      </c>
      <c r="D63" s="2" t="s">
        <v>262</v>
      </c>
      <c r="E63" s="2">
        <v>29</v>
      </c>
      <c r="F63" s="11" t="s">
        <v>594</v>
      </c>
      <c r="G63" s="11" t="s">
        <v>595</v>
      </c>
      <c r="H63" s="2" t="s">
        <v>596</v>
      </c>
      <c r="I63" s="3">
        <v>3</v>
      </c>
      <c r="J63" s="3">
        <v>3</v>
      </c>
      <c r="K63" s="3">
        <v>0</v>
      </c>
      <c r="L63" s="3">
        <v>1</v>
      </c>
      <c r="M63" s="3">
        <v>2</v>
      </c>
      <c r="N63" s="3">
        <v>2</v>
      </c>
      <c r="O63" s="3">
        <v>2</v>
      </c>
      <c r="P63" s="3">
        <v>2</v>
      </c>
      <c r="Q63" s="3">
        <v>1</v>
      </c>
      <c r="R63" s="3">
        <v>1</v>
      </c>
      <c r="S63" s="3">
        <v>1</v>
      </c>
      <c r="T63" s="3">
        <v>1</v>
      </c>
      <c r="U63" s="3">
        <v>0</v>
      </c>
      <c r="V63" s="3">
        <v>1</v>
      </c>
      <c r="W63" s="3">
        <v>0</v>
      </c>
      <c r="X63" s="3">
        <v>1</v>
      </c>
      <c r="Y63" s="3">
        <v>1</v>
      </c>
      <c r="Z63" s="3">
        <v>1</v>
      </c>
      <c r="AA63" s="3">
        <v>4</v>
      </c>
      <c r="AB63" s="3">
        <v>4</v>
      </c>
      <c r="AC63" s="3">
        <v>4</v>
      </c>
      <c r="AD63" s="3">
        <v>4</v>
      </c>
      <c r="AE63" s="3">
        <v>1</v>
      </c>
      <c r="AF63" s="3">
        <v>1</v>
      </c>
      <c r="AG63" s="3">
        <v>1</v>
      </c>
      <c r="AH63" s="3">
        <v>1</v>
      </c>
      <c r="AI63" s="3">
        <v>3</v>
      </c>
      <c r="AJ63" s="3">
        <v>3</v>
      </c>
      <c r="AK63" s="3">
        <v>3</v>
      </c>
      <c r="AL63" s="3">
        <v>3</v>
      </c>
      <c r="AM63" s="3">
        <v>0</v>
      </c>
      <c r="AN63" s="3">
        <v>1</v>
      </c>
      <c r="AO63" s="3">
        <v>1</v>
      </c>
      <c r="AP63" s="3">
        <v>2</v>
      </c>
      <c r="AQ63" s="3">
        <v>1</v>
      </c>
      <c r="AR63" s="3">
        <v>1</v>
      </c>
      <c r="AS63" s="3">
        <v>1</v>
      </c>
      <c r="AT63" s="3">
        <v>1</v>
      </c>
      <c r="AU63" s="3">
        <v>1</v>
      </c>
      <c r="AV63" s="3">
        <v>1</v>
      </c>
      <c r="AW63" s="3">
        <v>4</v>
      </c>
      <c r="AX63" s="3">
        <v>4</v>
      </c>
      <c r="AY63" s="3">
        <v>4</v>
      </c>
      <c r="AZ63" s="3">
        <v>4</v>
      </c>
      <c r="BA63" s="3">
        <v>4</v>
      </c>
      <c r="BB63" s="3">
        <v>0</v>
      </c>
      <c r="BC63" s="3">
        <v>0</v>
      </c>
      <c r="BD63" s="3">
        <v>1</v>
      </c>
      <c r="BE63" s="3">
        <v>1</v>
      </c>
      <c r="BF63" s="3">
        <v>1</v>
      </c>
      <c r="BG63" s="3">
        <v>1</v>
      </c>
      <c r="BH63" s="3">
        <v>1</v>
      </c>
      <c r="BI63" s="3">
        <v>1</v>
      </c>
      <c r="BJ63" s="3">
        <v>1</v>
      </c>
      <c r="BK63" s="3">
        <v>1</v>
      </c>
      <c r="BL63" s="3">
        <v>1</v>
      </c>
      <c r="BM63" s="3" t="s">
        <v>274</v>
      </c>
      <c r="BN63" s="3">
        <v>3</v>
      </c>
      <c r="BO63" s="3">
        <v>1</v>
      </c>
      <c r="BP63" s="3">
        <v>1</v>
      </c>
      <c r="BQ63" s="3">
        <v>1</v>
      </c>
      <c r="BR63" s="3">
        <v>3</v>
      </c>
      <c r="BS63" s="3">
        <v>1</v>
      </c>
      <c r="BT63" s="3">
        <v>1</v>
      </c>
      <c r="BU63" s="2">
        <v>2</v>
      </c>
      <c r="BV63" s="2">
        <v>1</v>
      </c>
      <c r="BW63" s="2">
        <v>2</v>
      </c>
      <c r="BX63" s="2">
        <v>1</v>
      </c>
      <c r="BY63" s="2">
        <v>1</v>
      </c>
      <c r="BZ63" s="2">
        <v>0</v>
      </c>
      <c r="CA63" s="2">
        <v>0</v>
      </c>
      <c r="CB63" s="2">
        <v>0</v>
      </c>
      <c r="CC63" s="2">
        <v>2</v>
      </c>
      <c r="CD63" s="2">
        <v>0</v>
      </c>
      <c r="CE63" s="2">
        <v>0</v>
      </c>
      <c r="CF63" s="2">
        <v>1</v>
      </c>
      <c r="CG63" s="2">
        <v>0</v>
      </c>
      <c r="CH63" s="2">
        <v>0</v>
      </c>
      <c r="CI63" s="2">
        <v>2</v>
      </c>
      <c r="CJ63" s="2">
        <v>0</v>
      </c>
      <c r="CK63" s="2">
        <v>0</v>
      </c>
      <c r="CL63" s="2">
        <v>2</v>
      </c>
      <c r="CM63" s="2">
        <v>2</v>
      </c>
      <c r="CN63" s="2">
        <v>0</v>
      </c>
      <c r="CO63" s="2">
        <v>2</v>
      </c>
      <c r="CP63" s="2">
        <v>0</v>
      </c>
      <c r="CQ63" s="2">
        <v>0</v>
      </c>
      <c r="CR63" s="2">
        <v>0</v>
      </c>
      <c r="CS63" s="2">
        <v>2</v>
      </c>
      <c r="CT63" s="2">
        <v>0</v>
      </c>
      <c r="CU63" s="2">
        <v>0</v>
      </c>
      <c r="CV63" s="2">
        <v>1</v>
      </c>
      <c r="CW63" s="2">
        <v>1</v>
      </c>
      <c r="CX63" s="2">
        <v>0</v>
      </c>
      <c r="CY63" s="2">
        <v>0</v>
      </c>
      <c r="CZ63" s="2">
        <v>1</v>
      </c>
      <c r="DA63" s="2">
        <v>1</v>
      </c>
      <c r="DB63" s="2">
        <v>0</v>
      </c>
      <c r="DC63" s="2">
        <v>1</v>
      </c>
      <c r="DD63" s="2">
        <v>0</v>
      </c>
      <c r="DE63" s="2">
        <v>1</v>
      </c>
      <c r="DF63" s="2">
        <v>1</v>
      </c>
      <c r="DG63" s="2">
        <v>2</v>
      </c>
      <c r="DH63" s="2">
        <v>2</v>
      </c>
      <c r="DI63" s="2">
        <v>2</v>
      </c>
      <c r="DJ63" s="2">
        <v>2</v>
      </c>
      <c r="DK63" s="2">
        <v>2</v>
      </c>
      <c r="DL63" s="2">
        <v>2</v>
      </c>
      <c r="DM63" s="2">
        <v>0</v>
      </c>
      <c r="DN63" s="2">
        <v>0</v>
      </c>
      <c r="DO63" s="2">
        <v>0</v>
      </c>
      <c r="DP63" s="2">
        <v>3</v>
      </c>
      <c r="DQ63" s="2">
        <v>3</v>
      </c>
      <c r="DR63" s="2">
        <v>2</v>
      </c>
      <c r="DS63" s="2">
        <v>2</v>
      </c>
      <c r="DT63" s="2">
        <v>1</v>
      </c>
      <c r="DU63" s="2">
        <v>1</v>
      </c>
      <c r="DV63" s="2">
        <v>0</v>
      </c>
      <c r="DW63" s="2">
        <v>0</v>
      </c>
      <c r="DX63" s="2">
        <v>0</v>
      </c>
      <c r="DY63" s="2">
        <v>0</v>
      </c>
      <c r="DZ63" s="2">
        <v>2</v>
      </c>
      <c r="EA63" s="2">
        <v>0</v>
      </c>
      <c r="EB63" s="2">
        <v>2</v>
      </c>
      <c r="EC63" s="2">
        <v>2</v>
      </c>
      <c r="ED63" s="2">
        <v>2</v>
      </c>
      <c r="EE63" s="2">
        <v>2</v>
      </c>
      <c r="EF63" s="2">
        <v>2</v>
      </c>
      <c r="EG63" s="2">
        <v>2</v>
      </c>
      <c r="EH63" s="2">
        <v>0</v>
      </c>
      <c r="EI63" s="2">
        <v>1</v>
      </c>
      <c r="EJ63" s="2">
        <v>1</v>
      </c>
      <c r="EK63" s="2">
        <v>1</v>
      </c>
      <c r="EL63" s="2">
        <v>1</v>
      </c>
      <c r="EM63" s="2">
        <v>1</v>
      </c>
      <c r="EN63" s="2">
        <v>0</v>
      </c>
      <c r="EO63" s="2">
        <v>0</v>
      </c>
      <c r="EP63" s="2">
        <v>0</v>
      </c>
      <c r="EQ63" s="2">
        <v>2</v>
      </c>
      <c r="ER63" s="2">
        <v>2</v>
      </c>
      <c r="ES63" s="2">
        <v>2</v>
      </c>
      <c r="ET63" s="2">
        <v>2</v>
      </c>
      <c r="EU63" s="2">
        <v>2</v>
      </c>
      <c r="EV63" s="2">
        <v>0</v>
      </c>
      <c r="EW63" s="2">
        <v>2</v>
      </c>
      <c r="EX63" s="2">
        <v>2</v>
      </c>
      <c r="EY63" s="2">
        <v>2</v>
      </c>
      <c r="EZ63" s="2">
        <v>2</v>
      </c>
      <c r="FA63" s="2">
        <v>2</v>
      </c>
      <c r="FB63" s="2">
        <v>0</v>
      </c>
      <c r="FC63" s="2">
        <v>2</v>
      </c>
      <c r="FD63" s="2">
        <v>2</v>
      </c>
      <c r="FE63" s="2">
        <v>2</v>
      </c>
      <c r="FF63" s="2">
        <v>2</v>
      </c>
      <c r="FG63" s="2">
        <v>0</v>
      </c>
      <c r="FH63" s="2">
        <v>2</v>
      </c>
      <c r="FI63" s="2">
        <v>2</v>
      </c>
      <c r="FJ63" s="2">
        <v>0</v>
      </c>
      <c r="FK63" s="2">
        <v>4</v>
      </c>
      <c r="FL63" s="2">
        <v>4</v>
      </c>
      <c r="FM63" s="2">
        <v>4</v>
      </c>
      <c r="FN63" s="2">
        <v>4</v>
      </c>
      <c r="FO63" s="2">
        <v>4</v>
      </c>
      <c r="FP63" s="2">
        <v>4</v>
      </c>
      <c r="FQ63" s="2">
        <v>2</v>
      </c>
      <c r="FR63" s="2">
        <v>2</v>
      </c>
      <c r="FS63" s="2">
        <v>2</v>
      </c>
      <c r="FT63" s="2">
        <v>0</v>
      </c>
      <c r="FU63" s="2">
        <v>1</v>
      </c>
      <c r="FV63" s="2">
        <v>0</v>
      </c>
      <c r="FW63" s="2">
        <v>0</v>
      </c>
      <c r="FX63" s="2">
        <v>0</v>
      </c>
      <c r="FY63" s="2">
        <v>0</v>
      </c>
      <c r="FZ63" s="2">
        <v>0</v>
      </c>
      <c r="GA63" s="2">
        <v>0</v>
      </c>
      <c r="GB63" s="2">
        <v>2</v>
      </c>
      <c r="GC63" s="2" t="s">
        <v>597</v>
      </c>
      <c r="GD63" s="2">
        <v>1</v>
      </c>
      <c r="GE63" s="2">
        <v>0</v>
      </c>
      <c r="GF63" s="2">
        <v>0</v>
      </c>
      <c r="GG63" s="2">
        <v>2</v>
      </c>
      <c r="GH63" s="2">
        <v>2</v>
      </c>
      <c r="GI63" s="2">
        <v>1</v>
      </c>
      <c r="GJ63" s="2">
        <v>1</v>
      </c>
      <c r="GK63" s="2">
        <v>1</v>
      </c>
      <c r="GL63" s="2">
        <v>0</v>
      </c>
      <c r="GM63" s="2">
        <v>0</v>
      </c>
      <c r="GN63" s="3">
        <v>2</v>
      </c>
      <c r="GO63" s="3">
        <v>2</v>
      </c>
      <c r="GP63" s="3">
        <v>2</v>
      </c>
      <c r="GQ63" s="3">
        <v>2</v>
      </c>
      <c r="GR63" s="3">
        <v>2</v>
      </c>
      <c r="GS63" s="3">
        <v>0</v>
      </c>
      <c r="GT63" s="3">
        <v>2</v>
      </c>
      <c r="GU63" s="3">
        <v>4</v>
      </c>
      <c r="GV63" s="3">
        <v>2</v>
      </c>
      <c r="GW63" s="3">
        <v>2</v>
      </c>
      <c r="GX63" s="3">
        <v>1</v>
      </c>
      <c r="GY63" s="3">
        <v>4</v>
      </c>
      <c r="GZ63" s="3">
        <v>2</v>
      </c>
      <c r="HA63" s="3">
        <v>2</v>
      </c>
      <c r="HB63" s="3">
        <v>0</v>
      </c>
      <c r="HC63" s="3">
        <v>2</v>
      </c>
      <c r="HD63" s="3">
        <v>1</v>
      </c>
      <c r="HE63" s="3">
        <v>2</v>
      </c>
      <c r="HF63" s="3">
        <v>2</v>
      </c>
      <c r="HG63" s="3">
        <v>0</v>
      </c>
      <c r="HH63" s="3">
        <v>1</v>
      </c>
      <c r="HI63" s="3">
        <v>2</v>
      </c>
      <c r="HJ63" s="3">
        <v>1</v>
      </c>
      <c r="HK63" s="3">
        <v>2</v>
      </c>
      <c r="HL63" s="3">
        <v>2</v>
      </c>
      <c r="HM63" s="3">
        <v>2</v>
      </c>
      <c r="HN63" s="3">
        <v>2</v>
      </c>
      <c r="HO63" s="3">
        <v>2</v>
      </c>
      <c r="HP63" s="3">
        <v>2</v>
      </c>
      <c r="HQ63" s="3">
        <v>2</v>
      </c>
      <c r="HR63" s="3">
        <v>4</v>
      </c>
      <c r="HS63" s="3">
        <v>4</v>
      </c>
      <c r="HT63" s="3">
        <v>4</v>
      </c>
      <c r="HU63" s="3">
        <v>4</v>
      </c>
      <c r="HV63" s="3">
        <v>0</v>
      </c>
      <c r="HW63" s="3">
        <v>2</v>
      </c>
      <c r="HX63" s="3">
        <v>0</v>
      </c>
      <c r="HY63" s="3">
        <v>0</v>
      </c>
      <c r="HZ63" s="3">
        <v>2</v>
      </c>
      <c r="IA63" s="3">
        <v>2</v>
      </c>
      <c r="IB63" s="3">
        <v>2</v>
      </c>
      <c r="IC63" s="3">
        <v>0</v>
      </c>
      <c r="ID63" s="3">
        <v>2</v>
      </c>
      <c r="IE63" s="3">
        <v>2</v>
      </c>
      <c r="IF63" s="3">
        <v>3</v>
      </c>
      <c r="IG63" s="3">
        <v>2</v>
      </c>
      <c r="IH63" s="3">
        <v>0</v>
      </c>
      <c r="II63" s="3">
        <v>2</v>
      </c>
      <c r="IJ63" s="3">
        <v>1</v>
      </c>
      <c r="IK63" s="3">
        <v>1</v>
      </c>
      <c r="IL63" s="3">
        <v>2</v>
      </c>
      <c r="IM63" s="3">
        <v>3</v>
      </c>
      <c r="IN63" s="3">
        <v>2</v>
      </c>
      <c r="IO63" s="3">
        <v>2</v>
      </c>
      <c r="IP63" s="3">
        <v>3</v>
      </c>
      <c r="IQ63" s="3">
        <v>3</v>
      </c>
      <c r="IR63" s="3" t="s">
        <v>598</v>
      </c>
      <c r="IS63" s="3">
        <v>0</v>
      </c>
      <c r="IT63" s="3">
        <v>2</v>
      </c>
      <c r="IU63" s="3">
        <v>2</v>
      </c>
      <c r="IV63" s="3">
        <v>4</v>
      </c>
      <c r="IW63" s="3">
        <v>2</v>
      </c>
      <c r="IX63" s="3">
        <v>1</v>
      </c>
      <c r="IY63" s="3">
        <v>0</v>
      </c>
      <c r="IZ63" s="2" t="s">
        <v>268</v>
      </c>
      <c r="JA63" s="2" t="s">
        <v>274</v>
      </c>
    </row>
    <row r="64" spans="1:261" ht="13.2" x14ac:dyDescent="0.25">
      <c r="A64" s="10" t="s">
        <v>274</v>
      </c>
      <c r="B64" s="2" t="s">
        <v>599</v>
      </c>
      <c r="C64" s="2" t="s">
        <v>261</v>
      </c>
      <c r="D64" s="2" t="s">
        <v>262</v>
      </c>
      <c r="E64" s="2">
        <v>49</v>
      </c>
      <c r="F64" s="11" t="s">
        <v>600</v>
      </c>
      <c r="G64" s="11" t="s">
        <v>601</v>
      </c>
      <c r="H64" s="2" t="s">
        <v>592</v>
      </c>
      <c r="I64" s="3">
        <v>3</v>
      </c>
      <c r="J64" s="3">
        <v>1</v>
      </c>
      <c r="K64" s="3">
        <v>4</v>
      </c>
      <c r="L64" s="3">
        <v>3</v>
      </c>
      <c r="M64" s="3">
        <v>3</v>
      </c>
      <c r="N64" s="3">
        <v>4</v>
      </c>
      <c r="O64" s="3">
        <v>4</v>
      </c>
      <c r="P64" s="3">
        <v>3</v>
      </c>
      <c r="Q64" s="3">
        <v>3</v>
      </c>
      <c r="R64" s="3">
        <v>0</v>
      </c>
      <c r="S64" s="3">
        <v>0</v>
      </c>
      <c r="T64" s="3">
        <v>0</v>
      </c>
      <c r="U64" s="3">
        <v>0</v>
      </c>
      <c r="V64" s="3">
        <v>0</v>
      </c>
      <c r="W64" s="3">
        <v>2</v>
      </c>
      <c r="X64" s="3">
        <v>1</v>
      </c>
      <c r="Y64" s="3">
        <v>3</v>
      </c>
      <c r="Z64" s="3">
        <v>2</v>
      </c>
      <c r="AA64" s="3">
        <v>0</v>
      </c>
      <c r="AB64" s="3">
        <v>0</v>
      </c>
      <c r="AC64" s="3">
        <v>0</v>
      </c>
      <c r="AD64" s="3">
        <v>0</v>
      </c>
      <c r="AE64" s="3">
        <v>4</v>
      </c>
      <c r="AF64" s="3">
        <v>0</v>
      </c>
      <c r="AG64" s="3">
        <v>0</v>
      </c>
      <c r="AH64" s="3">
        <v>0</v>
      </c>
      <c r="AI64" s="3">
        <v>2</v>
      </c>
      <c r="AJ64" s="3">
        <v>2</v>
      </c>
      <c r="AK64" s="3">
        <v>2</v>
      </c>
      <c r="AL64" s="3">
        <v>2</v>
      </c>
      <c r="AM64" s="3">
        <v>0</v>
      </c>
      <c r="AN64" s="3">
        <v>0</v>
      </c>
      <c r="AO64" s="3">
        <v>2</v>
      </c>
      <c r="AP64" s="3">
        <v>0</v>
      </c>
      <c r="AQ64" s="3">
        <v>2</v>
      </c>
      <c r="AR64" s="3">
        <v>1</v>
      </c>
      <c r="AS64" s="3">
        <v>2</v>
      </c>
      <c r="AT64" s="3">
        <v>1</v>
      </c>
      <c r="AU64" s="3">
        <v>2</v>
      </c>
      <c r="AV64" s="3">
        <v>2</v>
      </c>
      <c r="AW64" s="3">
        <v>0</v>
      </c>
      <c r="AX64" s="3">
        <v>0</v>
      </c>
      <c r="AY64" s="3">
        <v>0</v>
      </c>
      <c r="AZ64" s="3">
        <v>0</v>
      </c>
      <c r="BA64" s="3">
        <v>0</v>
      </c>
      <c r="BB64" s="3">
        <v>2</v>
      </c>
      <c r="BC64" s="3">
        <v>2</v>
      </c>
      <c r="BD64" s="3">
        <v>2</v>
      </c>
      <c r="BE64" s="3">
        <v>0</v>
      </c>
      <c r="BF64" s="3">
        <v>0</v>
      </c>
      <c r="BG64" s="3">
        <v>0</v>
      </c>
      <c r="BH64" s="3">
        <v>0</v>
      </c>
      <c r="BI64" s="3">
        <v>0</v>
      </c>
      <c r="BJ64" s="3">
        <v>2</v>
      </c>
      <c r="BK64" s="3">
        <v>2</v>
      </c>
      <c r="BL64" s="3">
        <v>2</v>
      </c>
      <c r="BM64" s="3" t="s">
        <v>602</v>
      </c>
      <c r="BN64" s="3">
        <v>4</v>
      </c>
      <c r="BO64" s="3">
        <v>4</v>
      </c>
      <c r="BP64" s="3">
        <v>4</v>
      </c>
      <c r="BQ64" s="3">
        <v>4</v>
      </c>
      <c r="BR64" s="3">
        <v>4</v>
      </c>
      <c r="BS64" s="3">
        <v>4</v>
      </c>
      <c r="BT64" s="3">
        <v>4</v>
      </c>
      <c r="BU64" s="2">
        <v>1</v>
      </c>
      <c r="BV64" s="2">
        <v>1</v>
      </c>
      <c r="BW64" s="2">
        <v>2</v>
      </c>
      <c r="BX64" s="2">
        <v>0</v>
      </c>
      <c r="BY64" s="2">
        <v>1</v>
      </c>
      <c r="BZ64" s="2">
        <v>0</v>
      </c>
      <c r="CA64" s="2">
        <v>0</v>
      </c>
      <c r="CB64" s="2">
        <v>3</v>
      </c>
      <c r="CC64" s="2">
        <v>1</v>
      </c>
      <c r="CD64" s="2">
        <v>1</v>
      </c>
      <c r="CE64" s="2">
        <v>1</v>
      </c>
      <c r="CF64" s="2">
        <v>2</v>
      </c>
      <c r="CG64" s="2">
        <v>0</v>
      </c>
      <c r="CH64" s="2">
        <v>0</v>
      </c>
      <c r="CI64" s="2">
        <v>2</v>
      </c>
      <c r="CJ64" s="2">
        <v>0</v>
      </c>
      <c r="CK64" s="2">
        <v>0</v>
      </c>
      <c r="CL64" s="2">
        <v>1</v>
      </c>
      <c r="CM64" s="2">
        <v>1</v>
      </c>
      <c r="CN64" s="2">
        <v>0</v>
      </c>
      <c r="CO64" s="2">
        <v>2</v>
      </c>
      <c r="CP64" s="2">
        <v>0</v>
      </c>
      <c r="CQ64" s="2">
        <v>1</v>
      </c>
      <c r="CR64" s="2">
        <v>0</v>
      </c>
      <c r="CS64" s="2">
        <v>0</v>
      </c>
      <c r="CT64" s="2">
        <v>0</v>
      </c>
      <c r="CU64" s="2">
        <v>0</v>
      </c>
      <c r="CV64" s="2">
        <v>0</v>
      </c>
      <c r="CW64" s="2">
        <v>0</v>
      </c>
      <c r="CX64" s="2">
        <v>0</v>
      </c>
      <c r="CY64" s="2">
        <v>0</v>
      </c>
      <c r="CZ64" s="2">
        <v>0</v>
      </c>
      <c r="DA64" s="2">
        <v>0</v>
      </c>
      <c r="DB64" s="2">
        <v>0</v>
      </c>
      <c r="DC64" s="2">
        <v>0</v>
      </c>
      <c r="DD64" s="2">
        <v>0</v>
      </c>
      <c r="DE64" s="2">
        <v>2</v>
      </c>
      <c r="DF64" s="2">
        <v>1</v>
      </c>
      <c r="DG64" s="2">
        <v>1</v>
      </c>
      <c r="DH64" s="2">
        <v>1</v>
      </c>
      <c r="DI64" s="2">
        <v>0</v>
      </c>
      <c r="DJ64" s="2">
        <v>2</v>
      </c>
      <c r="DK64" s="2">
        <v>0</v>
      </c>
      <c r="DL64" s="2">
        <v>1</v>
      </c>
      <c r="DM64" s="2">
        <v>0</v>
      </c>
      <c r="DN64" s="2">
        <v>2</v>
      </c>
      <c r="DO64" s="2">
        <v>0</v>
      </c>
      <c r="DP64" s="2">
        <v>1</v>
      </c>
      <c r="DQ64" s="2">
        <v>0</v>
      </c>
      <c r="DR64" s="2">
        <v>0</v>
      </c>
      <c r="DS64" s="2">
        <v>0</v>
      </c>
      <c r="DT64" s="2">
        <v>0</v>
      </c>
      <c r="DU64" s="2">
        <v>0</v>
      </c>
      <c r="DV64" s="2">
        <v>0</v>
      </c>
      <c r="DW64" s="2">
        <v>0</v>
      </c>
      <c r="DX64" s="2">
        <v>3</v>
      </c>
      <c r="DY64" s="2">
        <v>3</v>
      </c>
      <c r="DZ64" s="2">
        <v>0</v>
      </c>
      <c r="EA64" s="2">
        <v>0</v>
      </c>
      <c r="EB64" s="2">
        <v>0</v>
      </c>
      <c r="EC64" s="2">
        <v>0</v>
      </c>
      <c r="ED64" s="2">
        <v>0</v>
      </c>
      <c r="EE64" s="2">
        <v>0</v>
      </c>
      <c r="EF64" s="2">
        <v>0</v>
      </c>
      <c r="EG64" s="2">
        <v>0</v>
      </c>
      <c r="EH64" s="2">
        <v>0</v>
      </c>
      <c r="EI64" s="2">
        <v>0</v>
      </c>
      <c r="EJ64" s="2">
        <v>1</v>
      </c>
      <c r="EK64" s="2">
        <v>1</v>
      </c>
      <c r="EL64" s="2">
        <v>0</v>
      </c>
      <c r="EM64" s="2">
        <v>0</v>
      </c>
      <c r="EN64" s="2">
        <v>0</v>
      </c>
      <c r="EO64" s="2">
        <v>0</v>
      </c>
      <c r="EP64" s="2">
        <v>0</v>
      </c>
      <c r="EQ64" s="2">
        <v>1</v>
      </c>
      <c r="ER64" s="2">
        <v>0</v>
      </c>
      <c r="ES64" s="2">
        <v>0</v>
      </c>
      <c r="ET64" s="2">
        <v>0</v>
      </c>
      <c r="EU64" s="2">
        <v>2</v>
      </c>
      <c r="EV64" s="2">
        <v>2</v>
      </c>
      <c r="EW64" s="2">
        <v>2</v>
      </c>
      <c r="EX64" s="2">
        <v>2</v>
      </c>
      <c r="EY64" s="2">
        <v>0</v>
      </c>
      <c r="EZ64" s="2">
        <v>0</v>
      </c>
      <c r="FA64" s="2">
        <v>0</v>
      </c>
      <c r="FB64" s="2">
        <v>0</v>
      </c>
      <c r="FC64" s="2">
        <v>0</v>
      </c>
      <c r="FD64" s="2">
        <v>0</v>
      </c>
      <c r="FE64" s="2">
        <v>0</v>
      </c>
      <c r="FF64" s="2">
        <v>2</v>
      </c>
      <c r="FG64" s="2">
        <v>2</v>
      </c>
      <c r="FH64" s="2">
        <v>0</v>
      </c>
      <c r="FI64" s="2">
        <v>0</v>
      </c>
      <c r="FJ64" s="2">
        <v>0</v>
      </c>
      <c r="FK64" s="2">
        <v>0</v>
      </c>
      <c r="FL64" s="2">
        <v>0</v>
      </c>
      <c r="FM64" s="2">
        <v>0</v>
      </c>
      <c r="FN64" s="2">
        <v>0</v>
      </c>
      <c r="FO64" s="2">
        <v>0</v>
      </c>
      <c r="FP64" s="2">
        <v>0</v>
      </c>
      <c r="FQ64" s="2">
        <v>1</v>
      </c>
      <c r="FR64" s="2">
        <v>1</v>
      </c>
      <c r="FS64" s="2">
        <v>0</v>
      </c>
      <c r="FT64" s="2">
        <v>1</v>
      </c>
      <c r="FU64" s="2">
        <v>0</v>
      </c>
      <c r="FV64" s="2">
        <v>0</v>
      </c>
      <c r="FW64" s="2">
        <v>0</v>
      </c>
      <c r="FX64" s="2">
        <v>0</v>
      </c>
      <c r="FY64" s="2">
        <v>0</v>
      </c>
      <c r="FZ64" s="2">
        <v>0</v>
      </c>
      <c r="GA64" s="2">
        <v>0</v>
      </c>
      <c r="GB64" s="2">
        <v>0</v>
      </c>
      <c r="GC64" s="2" t="s">
        <v>603</v>
      </c>
      <c r="GD64" s="2">
        <v>3</v>
      </c>
      <c r="GE64" s="2">
        <v>1</v>
      </c>
      <c r="GF64" s="2">
        <v>1</v>
      </c>
      <c r="GG64" s="2">
        <v>1</v>
      </c>
      <c r="GH64" s="2">
        <v>3</v>
      </c>
      <c r="GI64" s="2">
        <v>2</v>
      </c>
      <c r="GJ64" s="2">
        <v>0</v>
      </c>
      <c r="GK64" s="2">
        <v>1</v>
      </c>
      <c r="GL64" s="2">
        <v>0</v>
      </c>
      <c r="GM64" s="2">
        <v>0</v>
      </c>
      <c r="GN64" s="3">
        <v>2</v>
      </c>
      <c r="GO64" s="3">
        <v>2</v>
      </c>
      <c r="GP64" s="3">
        <v>1</v>
      </c>
      <c r="GQ64" s="3">
        <v>2</v>
      </c>
      <c r="GR64" s="3">
        <v>2</v>
      </c>
      <c r="GS64" s="3">
        <v>0</v>
      </c>
      <c r="GT64" s="3">
        <v>1</v>
      </c>
      <c r="GU64" s="3">
        <v>0</v>
      </c>
      <c r="GV64" s="3">
        <v>3</v>
      </c>
      <c r="GW64" s="3">
        <v>2</v>
      </c>
      <c r="GX64" s="3">
        <v>1</v>
      </c>
      <c r="GY64" s="3">
        <v>1</v>
      </c>
      <c r="GZ64" s="3">
        <v>2</v>
      </c>
      <c r="HA64" s="3">
        <v>1</v>
      </c>
      <c r="HB64" s="3">
        <v>0</v>
      </c>
      <c r="HC64" s="3">
        <v>1</v>
      </c>
      <c r="HD64" s="3">
        <v>2</v>
      </c>
      <c r="HE64" s="3">
        <v>0</v>
      </c>
      <c r="HF64" s="3">
        <v>0</v>
      </c>
      <c r="HG64" s="3">
        <v>0</v>
      </c>
      <c r="HH64" s="3">
        <v>2</v>
      </c>
      <c r="HI64" s="3">
        <v>1</v>
      </c>
      <c r="HJ64" s="3">
        <v>2</v>
      </c>
      <c r="HK64" s="3">
        <v>2</v>
      </c>
      <c r="HL64" s="3">
        <v>2</v>
      </c>
      <c r="HM64" s="3">
        <v>2</v>
      </c>
      <c r="HN64" s="3">
        <v>0</v>
      </c>
      <c r="HO64" s="3">
        <v>2</v>
      </c>
      <c r="HP64" s="3">
        <v>2</v>
      </c>
      <c r="HQ64" s="3">
        <v>2</v>
      </c>
      <c r="HR64" s="3">
        <v>0</v>
      </c>
      <c r="HS64" s="3">
        <v>0</v>
      </c>
      <c r="HT64" s="3">
        <v>0</v>
      </c>
      <c r="HU64" s="3">
        <v>0</v>
      </c>
      <c r="HV64" s="3">
        <v>2</v>
      </c>
      <c r="HW64" s="3">
        <v>2</v>
      </c>
      <c r="HX64" s="3">
        <v>0</v>
      </c>
      <c r="HY64" s="3">
        <v>0</v>
      </c>
      <c r="HZ64" s="3">
        <v>0</v>
      </c>
      <c r="IA64" s="3">
        <v>2</v>
      </c>
      <c r="IB64" s="3">
        <v>2</v>
      </c>
      <c r="IC64" s="3">
        <v>1</v>
      </c>
      <c r="ID64" s="3">
        <v>0</v>
      </c>
      <c r="IE64" s="3">
        <v>0</v>
      </c>
      <c r="IF64" s="3">
        <v>0</v>
      </c>
      <c r="IG64" s="3">
        <v>0</v>
      </c>
      <c r="IH64" s="3">
        <v>0</v>
      </c>
      <c r="II64" s="3">
        <v>0</v>
      </c>
      <c r="IJ64" s="3">
        <v>0</v>
      </c>
      <c r="IK64" s="3">
        <v>0</v>
      </c>
      <c r="IL64" s="3">
        <v>0</v>
      </c>
      <c r="IM64" s="3">
        <v>0</v>
      </c>
      <c r="IN64" s="3">
        <v>0</v>
      </c>
      <c r="IO64" s="3">
        <v>0</v>
      </c>
      <c r="IP64" s="3">
        <v>0</v>
      </c>
      <c r="IQ64" s="3">
        <v>1</v>
      </c>
      <c r="IR64" s="3" t="s">
        <v>604</v>
      </c>
      <c r="IS64" s="3">
        <v>4</v>
      </c>
      <c r="IT64" s="3">
        <v>3</v>
      </c>
      <c r="IU64" s="3">
        <v>2</v>
      </c>
      <c r="IV64" s="3">
        <v>3</v>
      </c>
      <c r="IW64" s="3">
        <v>3</v>
      </c>
      <c r="IX64" s="3">
        <v>3</v>
      </c>
      <c r="IY64" s="3">
        <v>3</v>
      </c>
      <c r="IZ64" s="2" t="s">
        <v>268</v>
      </c>
      <c r="JA64" s="2" t="s">
        <v>274</v>
      </c>
    </row>
    <row r="65" spans="1:261" ht="13.2" x14ac:dyDescent="0.25">
      <c r="A65" s="10" t="s">
        <v>274</v>
      </c>
      <c r="B65" s="2" t="s">
        <v>605</v>
      </c>
      <c r="C65" s="2" t="s">
        <v>276</v>
      </c>
      <c r="D65" s="2" t="s">
        <v>270</v>
      </c>
      <c r="E65" s="2">
        <v>28</v>
      </c>
      <c r="F65" s="11" t="s">
        <v>606</v>
      </c>
      <c r="G65" s="11" t="s">
        <v>601</v>
      </c>
      <c r="H65" s="2" t="s">
        <v>607</v>
      </c>
      <c r="I65" s="3">
        <v>3</v>
      </c>
      <c r="J65" s="3">
        <v>4</v>
      </c>
      <c r="K65" s="3">
        <v>3</v>
      </c>
      <c r="L65" s="3">
        <v>4</v>
      </c>
      <c r="M65" s="3">
        <v>3</v>
      </c>
      <c r="N65" s="3">
        <v>4</v>
      </c>
      <c r="O65" s="3">
        <v>4</v>
      </c>
      <c r="P65" s="3">
        <v>4</v>
      </c>
      <c r="Q65" s="3">
        <v>3</v>
      </c>
      <c r="R65" s="3">
        <v>3</v>
      </c>
      <c r="S65" s="3">
        <v>2</v>
      </c>
      <c r="T65" s="3">
        <v>2</v>
      </c>
      <c r="U65" s="3">
        <v>2</v>
      </c>
      <c r="V65" s="3">
        <v>4</v>
      </c>
      <c r="W65" s="3">
        <v>4</v>
      </c>
      <c r="X65" s="3">
        <v>4</v>
      </c>
      <c r="Y65" s="3">
        <v>4</v>
      </c>
      <c r="Z65" s="3">
        <v>4</v>
      </c>
      <c r="AA65" s="3">
        <v>2</v>
      </c>
      <c r="AB65" s="3">
        <v>2</v>
      </c>
      <c r="AC65" s="3">
        <v>2</v>
      </c>
      <c r="AD65" s="3">
        <v>2</v>
      </c>
      <c r="AE65" s="3">
        <v>4</v>
      </c>
      <c r="AF65" s="3">
        <v>0</v>
      </c>
      <c r="AG65" s="3">
        <v>1</v>
      </c>
      <c r="AH65" s="3">
        <v>0</v>
      </c>
      <c r="AI65" s="3">
        <v>3</v>
      </c>
      <c r="AJ65" s="3">
        <v>3</v>
      </c>
      <c r="AK65" s="3">
        <v>3</v>
      </c>
      <c r="AL65" s="3">
        <v>3</v>
      </c>
      <c r="AM65" s="3">
        <v>0</v>
      </c>
      <c r="AN65" s="3">
        <v>4</v>
      </c>
      <c r="AO65" s="3">
        <v>4</v>
      </c>
      <c r="AP65" s="3">
        <v>2</v>
      </c>
      <c r="AQ65" s="3">
        <v>0</v>
      </c>
      <c r="AR65" s="3">
        <v>0</v>
      </c>
      <c r="AS65" s="3">
        <v>1</v>
      </c>
      <c r="AT65" s="3">
        <v>2</v>
      </c>
      <c r="AU65" s="3">
        <v>0</v>
      </c>
      <c r="AV65" s="3">
        <v>1</v>
      </c>
      <c r="AW65" s="3">
        <v>2</v>
      </c>
      <c r="AX65" s="3">
        <v>4</v>
      </c>
      <c r="AY65" s="3">
        <v>4</v>
      </c>
      <c r="AZ65" s="3">
        <v>4</v>
      </c>
      <c r="BA65" s="3">
        <v>2</v>
      </c>
      <c r="BB65" s="3">
        <v>3</v>
      </c>
      <c r="BC65" s="3">
        <v>2</v>
      </c>
      <c r="BD65" s="3">
        <v>3</v>
      </c>
      <c r="BE65" s="3">
        <v>4</v>
      </c>
      <c r="BF65" s="3">
        <v>4</v>
      </c>
      <c r="BG65" s="3">
        <v>4</v>
      </c>
      <c r="BH65" s="3">
        <v>3</v>
      </c>
      <c r="BI65" s="3">
        <v>4</v>
      </c>
      <c r="BJ65" s="3">
        <v>3</v>
      </c>
      <c r="BK65" s="3">
        <v>4</v>
      </c>
      <c r="BL65" s="3">
        <v>4</v>
      </c>
      <c r="BM65" s="3" t="s">
        <v>608</v>
      </c>
      <c r="BN65" s="3">
        <v>2</v>
      </c>
      <c r="BO65" s="3">
        <v>2</v>
      </c>
      <c r="BP65" s="3">
        <v>4</v>
      </c>
      <c r="BQ65" s="3" t="s">
        <v>274</v>
      </c>
      <c r="BR65" s="3">
        <v>2</v>
      </c>
      <c r="BS65" s="3">
        <v>4</v>
      </c>
      <c r="BT65" s="3">
        <v>4</v>
      </c>
      <c r="BU65" s="2">
        <v>2</v>
      </c>
      <c r="BV65" s="2">
        <v>2</v>
      </c>
      <c r="BW65" s="2">
        <v>3</v>
      </c>
      <c r="BX65" s="2">
        <v>0</v>
      </c>
      <c r="BY65" s="2">
        <v>0</v>
      </c>
      <c r="BZ65" s="2">
        <v>2</v>
      </c>
      <c r="CA65" s="2">
        <v>0</v>
      </c>
      <c r="CB65" s="2">
        <v>3</v>
      </c>
      <c r="CC65" s="2">
        <v>2</v>
      </c>
      <c r="CD65" s="2">
        <v>0</v>
      </c>
      <c r="CE65" s="2">
        <v>4</v>
      </c>
      <c r="CF65" s="2">
        <v>4</v>
      </c>
      <c r="CG65" s="2">
        <v>4</v>
      </c>
      <c r="CH65" s="2">
        <v>0</v>
      </c>
      <c r="CI65" s="2">
        <v>3</v>
      </c>
      <c r="CJ65" s="2">
        <v>0</v>
      </c>
      <c r="CK65" s="2">
        <v>0</v>
      </c>
      <c r="CL65" s="2">
        <v>4</v>
      </c>
      <c r="CM65" s="2">
        <v>4</v>
      </c>
      <c r="CN65" s="2">
        <v>0</v>
      </c>
      <c r="CO65" s="2">
        <v>0</v>
      </c>
      <c r="CP65" s="2">
        <v>0</v>
      </c>
      <c r="CQ65" s="2">
        <v>4</v>
      </c>
      <c r="CR65" s="2">
        <v>1</v>
      </c>
      <c r="CS65" s="2">
        <v>1</v>
      </c>
      <c r="CT65" s="2">
        <v>1</v>
      </c>
      <c r="CU65" s="2">
        <v>0</v>
      </c>
      <c r="CV65" s="2">
        <v>2</v>
      </c>
      <c r="CW65" s="2">
        <v>2</v>
      </c>
      <c r="CX65" s="2">
        <v>0</v>
      </c>
      <c r="CY65" s="2">
        <v>0</v>
      </c>
      <c r="CZ65" s="2">
        <v>0</v>
      </c>
      <c r="DA65" s="2">
        <v>3</v>
      </c>
      <c r="DB65" s="2">
        <v>1</v>
      </c>
      <c r="DC65" s="2">
        <v>0</v>
      </c>
      <c r="DD65" s="2">
        <v>0</v>
      </c>
      <c r="DE65" s="2">
        <v>4</v>
      </c>
      <c r="DF65" s="2">
        <v>0</v>
      </c>
      <c r="DG65" s="2">
        <v>4</v>
      </c>
      <c r="DH65" s="2">
        <v>4</v>
      </c>
      <c r="DI65" s="2">
        <v>0</v>
      </c>
      <c r="DJ65" s="2">
        <v>0</v>
      </c>
      <c r="DK65" s="2">
        <v>0</v>
      </c>
      <c r="DL65" s="2">
        <v>0</v>
      </c>
      <c r="DM65" s="2">
        <v>0</v>
      </c>
      <c r="DN65" s="2">
        <v>0</v>
      </c>
      <c r="DO65" s="2">
        <v>0</v>
      </c>
      <c r="DP65" s="2">
        <v>4</v>
      </c>
      <c r="DQ65" s="2">
        <v>0</v>
      </c>
      <c r="DR65" s="2">
        <v>1</v>
      </c>
      <c r="DS65" s="2">
        <v>2</v>
      </c>
      <c r="DT65" s="2">
        <v>0</v>
      </c>
      <c r="DU65" s="2">
        <v>0</v>
      </c>
      <c r="DV65" s="2">
        <v>0</v>
      </c>
      <c r="DW65" s="2">
        <v>2</v>
      </c>
      <c r="DX65" s="2">
        <v>3</v>
      </c>
      <c r="DY65" s="2">
        <v>3</v>
      </c>
      <c r="DZ65" s="2">
        <v>2</v>
      </c>
      <c r="EA65" s="2">
        <v>0</v>
      </c>
      <c r="EB65" s="2">
        <v>0</v>
      </c>
      <c r="EC65" s="2">
        <v>0</v>
      </c>
      <c r="ED65" s="2">
        <v>1</v>
      </c>
      <c r="EE65" s="2">
        <v>1</v>
      </c>
      <c r="EF65" s="2">
        <v>1</v>
      </c>
      <c r="EG65" s="2">
        <v>1</v>
      </c>
      <c r="EH65" s="2">
        <v>0</v>
      </c>
      <c r="EI65" s="2">
        <v>0</v>
      </c>
      <c r="EJ65" s="2">
        <v>0</v>
      </c>
      <c r="EK65" s="2">
        <v>2</v>
      </c>
      <c r="EL65" s="2">
        <v>2</v>
      </c>
      <c r="EM65" s="2">
        <v>0</v>
      </c>
      <c r="EN65" s="2">
        <v>0</v>
      </c>
      <c r="EO65" s="2">
        <v>0</v>
      </c>
      <c r="EP65" s="2">
        <v>0</v>
      </c>
      <c r="EQ65" s="2">
        <v>0</v>
      </c>
      <c r="ER65" s="2">
        <v>1</v>
      </c>
      <c r="ES65" s="2">
        <v>1</v>
      </c>
      <c r="ET65" s="2">
        <v>0</v>
      </c>
      <c r="EU65" s="2">
        <v>0</v>
      </c>
      <c r="EV65" s="2">
        <v>0</v>
      </c>
      <c r="EW65" s="2">
        <v>2</v>
      </c>
      <c r="EX65" s="2">
        <v>4</v>
      </c>
      <c r="EY65" s="2">
        <v>2</v>
      </c>
      <c r="EZ65" s="2">
        <v>0</v>
      </c>
      <c r="FA65" s="2">
        <v>0</v>
      </c>
      <c r="FB65" s="2">
        <v>0</v>
      </c>
      <c r="FC65" s="2">
        <v>0</v>
      </c>
      <c r="FD65" s="2">
        <v>2</v>
      </c>
      <c r="FE65" s="2">
        <v>1</v>
      </c>
      <c r="FF65" s="2">
        <v>2</v>
      </c>
      <c r="FG65" s="2">
        <v>0</v>
      </c>
      <c r="FH65" s="2">
        <v>2</v>
      </c>
      <c r="FI65" s="2">
        <v>0</v>
      </c>
      <c r="FJ65" s="2">
        <v>0</v>
      </c>
      <c r="FK65" s="2">
        <v>0</v>
      </c>
      <c r="FL65" s="2">
        <v>2</v>
      </c>
      <c r="FM65" s="2">
        <v>2</v>
      </c>
      <c r="FN65" s="2">
        <v>4</v>
      </c>
      <c r="FO65" s="2">
        <v>0</v>
      </c>
      <c r="FP65" s="2">
        <v>2</v>
      </c>
      <c r="FQ65" s="2">
        <v>4</v>
      </c>
      <c r="FR65" s="2">
        <v>4</v>
      </c>
      <c r="FS65" s="2">
        <v>0</v>
      </c>
      <c r="FT65" s="2">
        <v>0</v>
      </c>
      <c r="FU65" s="2">
        <v>4</v>
      </c>
      <c r="FV65" s="2">
        <v>0</v>
      </c>
      <c r="FW65" s="2">
        <v>4</v>
      </c>
      <c r="FX65" s="2">
        <v>4</v>
      </c>
      <c r="FY65" s="2">
        <v>1</v>
      </c>
      <c r="FZ65" s="2">
        <v>0</v>
      </c>
      <c r="GA65" s="2">
        <v>0</v>
      </c>
      <c r="GB65" s="2">
        <v>3</v>
      </c>
      <c r="GC65" s="2" t="s">
        <v>609</v>
      </c>
      <c r="GD65" s="2">
        <v>4</v>
      </c>
      <c r="GE65" s="2">
        <v>0</v>
      </c>
      <c r="GF65" s="2">
        <v>0</v>
      </c>
      <c r="GG65" s="2">
        <v>2</v>
      </c>
      <c r="GH65" s="2">
        <v>4</v>
      </c>
      <c r="GI65" s="2">
        <v>2</v>
      </c>
      <c r="GJ65" s="2">
        <v>0</v>
      </c>
      <c r="GK65" s="2">
        <v>0</v>
      </c>
      <c r="GL65" s="2">
        <v>0</v>
      </c>
      <c r="GM65" s="2">
        <v>0</v>
      </c>
      <c r="GN65" s="3">
        <v>2</v>
      </c>
      <c r="GO65" s="3">
        <v>2</v>
      </c>
      <c r="GP65" s="3">
        <v>4</v>
      </c>
      <c r="GQ65" s="3">
        <v>4</v>
      </c>
      <c r="GR65" s="3">
        <v>4</v>
      </c>
      <c r="GS65" s="3">
        <v>2</v>
      </c>
      <c r="GT65" s="3">
        <v>2</v>
      </c>
      <c r="GU65" s="3">
        <v>3</v>
      </c>
      <c r="GV65" s="3">
        <v>2</v>
      </c>
      <c r="GW65" s="3">
        <v>0</v>
      </c>
      <c r="GX65" s="3">
        <v>4</v>
      </c>
      <c r="GY65" s="3">
        <v>3</v>
      </c>
      <c r="GZ65" s="3">
        <v>0</v>
      </c>
      <c r="HA65" s="3">
        <v>4</v>
      </c>
      <c r="HB65" s="3">
        <v>2</v>
      </c>
      <c r="HC65" s="3">
        <v>3</v>
      </c>
      <c r="HD65" s="3">
        <v>2</v>
      </c>
      <c r="HE65" s="3">
        <v>0</v>
      </c>
      <c r="HF65" s="3">
        <v>0</v>
      </c>
      <c r="HG65" s="3">
        <v>0</v>
      </c>
      <c r="HH65" s="3">
        <v>0</v>
      </c>
      <c r="HI65" s="3">
        <v>4</v>
      </c>
      <c r="HJ65" s="3">
        <v>2</v>
      </c>
      <c r="HK65" s="3">
        <v>0</v>
      </c>
      <c r="HL65" s="3">
        <v>2</v>
      </c>
      <c r="HM65" s="3">
        <v>4</v>
      </c>
      <c r="HN65" s="3">
        <v>0</v>
      </c>
      <c r="HO65" s="3">
        <v>0</v>
      </c>
      <c r="HP65" s="3">
        <v>4</v>
      </c>
      <c r="HQ65" s="3">
        <v>3</v>
      </c>
      <c r="HR65" s="3">
        <v>0</v>
      </c>
      <c r="HS65" s="3">
        <v>0</v>
      </c>
      <c r="HT65" s="3">
        <v>0</v>
      </c>
      <c r="HU65" s="3">
        <v>0</v>
      </c>
      <c r="HV65" s="3">
        <v>4</v>
      </c>
      <c r="HW65" s="3">
        <v>3</v>
      </c>
      <c r="HX65" s="3">
        <v>0</v>
      </c>
      <c r="HY65" s="3">
        <v>0</v>
      </c>
      <c r="HZ65" s="3">
        <v>1</v>
      </c>
      <c r="IA65" s="3">
        <v>3</v>
      </c>
      <c r="IB65" s="3">
        <v>3</v>
      </c>
      <c r="IC65" s="3">
        <v>0</v>
      </c>
      <c r="ID65" s="3">
        <v>0</v>
      </c>
      <c r="IE65" s="3">
        <v>0</v>
      </c>
      <c r="IF65" s="3">
        <v>0</v>
      </c>
      <c r="IG65" s="3">
        <v>0</v>
      </c>
      <c r="IH65" s="3">
        <v>0</v>
      </c>
      <c r="II65" s="3">
        <v>1</v>
      </c>
      <c r="IJ65" s="3">
        <v>0</v>
      </c>
      <c r="IK65" s="3">
        <v>2</v>
      </c>
      <c r="IL65" s="3">
        <v>4</v>
      </c>
      <c r="IM65" s="3">
        <v>2</v>
      </c>
      <c r="IN65" s="3">
        <v>3</v>
      </c>
      <c r="IO65" s="3">
        <v>0</v>
      </c>
      <c r="IP65" s="3">
        <v>2</v>
      </c>
      <c r="IQ65" s="3">
        <v>3</v>
      </c>
      <c r="IR65" s="3" t="s">
        <v>610</v>
      </c>
      <c r="IS65" s="3">
        <v>4</v>
      </c>
      <c r="IT65" s="3">
        <v>2</v>
      </c>
      <c r="IU65" s="3">
        <v>3</v>
      </c>
      <c r="IV65" s="3">
        <v>2</v>
      </c>
      <c r="IW65" s="3">
        <v>1</v>
      </c>
      <c r="IX65" s="3">
        <v>2</v>
      </c>
      <c r="IY65" s="3">
        <v>2</v>
      </c>
      <c r="IZ65" s="2" t="s">
        <v>268</v>
      </c>
      <c r="JA65" s="2" t="s">
        <v>274</v>
      </c>
    </row>
    <row r="66" spans="1:261" ht="13.2" x14ac:dyDescent="0.25">
      <c r="A66" s="10" t="s">
        <v>274</v>
      </c>
      <c r="B66" s="2" t="s">
        <v>611</v>
      </c>
      <c r="C66" s="2" t="s">
        <v>276</v>
      </c>
      <c r="D66" s="2" t="s">
        <v>262</v>
      </c>
      <c r="E66" s="2">
        <v>44</v>
      </c>
      <c r="F66" s="11" t="s">
        <v>612</v>
      </c>
      <c r="G66" s="11" t="s">
        <v>601</v>
      </c>
      <c r="H66" s="2" t="s">
        <v>613</v>
      </c>
      <c r="I66" s="3">
        <v>0</v>
      </c>
      <c r="J66" s="3">
        <v>0</v>
      </c>
      <c r="K66" s="3">
        <v>0</v>
      </c>
      <c r="L66" s="3">
        <v>1</v>
      </c>
      <c r="M66" s="3">
        <v>1</v>
      </c>
      <c r="N66" s="3">
        <v>1</v>
      </c>
      <c r="O66" s="3">
        <v>0</v>
      </c>
      <c r="P66" s="3">
        <v>0</v>
      </c>
      <c r="Q66" s="3">
        <v>0</v>
      </c>
      <c r="R66" s="3">
        <v>0</v>
      </c>
      <c r="S66" s="3">
        <v>0</v>
      </c>
      <c r="T66" s="3">
        <v>0</v>
      </c>
      <c r="U66" s="3">
        <v>0</v>
      </c>
      <c r="V66" s="3">
        <v>2</v>
      </c>
      <c r="W66" s="3">
        <v>0</v>
      </c>
      <c r="X66" s="3">
        <v>0</v>
      </c>
      <c r="Y66" s="3">
        <v>0</v>
      </c>
      <c r="Z66" s="3">
        <v>0</v>
      </c>
      <c r="AA66" s="3">
        <v>0</v>
      </c>
      <c r="AB66" s="3">
        <v>0</v>
      </c>
      <c r="AC66" s="3">
        <v>0</v>
      </c>
      <c r="AD66" s="3">
        <v>0</v>
      </c>
      <c r="AE66" s="3">
        <v>0</v>
      </c>
      <c r="AF66" s="3">
        <v>1</v>
      </c>
      <c r="AG66" s="3">
        <v>1</v>
      </c>
      <c r="AH66" s="3">
        <v>1</v>
      </c>
      <c r="AI66" s="3">
        <v>0</v>
      </c>
      <c r="AJ66" s="3">
        <v>0</v>
      </c>
      <c r="AK66" s="3">
        <v>0</v>
      </c>
      <c r="AL66" s="3">
        <v>0</v>
      </c>
      <c r="AM66" s="3">
        <v>0</v>
      </c>
      <c r="AN66" s="3">
        <v>0</v>
      </c>
      <c r="AO66" s="3">
        <v>0</v>
      </c>
      <c r="AP66" s="3">
        <v>1</v>
      </c>
      <c r="AQ66" s="3">
        <v>0</v>
      </c>
      <c r="AR66" s="3">
        <v>1</v>
      </c>
      <c r="AS66" s="3">
        <v>0</v>
      </c>
      <c r="AT66" s="3">
        <v>0</v>
      </c>
      <c r="AU66" s="3">
        <v>0</v>
      </c>
      <c r="AV66" s="3">
        <v>0</v>
      </c>
      <c r="AW66" s="3">
        <v>2</v>
      </c>
      <c r="AX66" s="3">
        <v>1</v>
      </c>
      <c r="AY66" s="3">
        <v>1</v>
      </c>
      <c r="AZ66" s="3">
        <v>2</v>
      </c>
      <c r="BA66" s="3">
        <v>0</v>
      </c>
      <c r="BB66" s="3">
        <v>1</v>
      </c>
      <c r="BC66" s="3">
        <v>0</v>
      </c>
      <c r="BD66" s="3">
        <v>1</v>
      </c>
      <c r="BE66" s="3">
        <v>2</v>
      </c>
      <c r="BF66" s="3">
        <v>3</v>
      </c>
      <c r="BG66" s="3">
        <v>3</v>
      </c>
      <c r="BH66" s="3">
        <v>3</v>
      </c>
      <c r="BI66" s="3">
        <v>2</v>
      </c>
      <c r="BJ66" s="3">
        <v>0</v>
      </c>
      <c r="BK66" s="3">
        <v>0</v>
      </c>
      <c r="BL66" s="3">
        <v>0</v>
      </c>
      <c r="BM66" s="3" t="s">
        <v>274</v>
      </c>
      <c r="BN66" s="3">
        <v>1</v>
      </c>
      <c r="BO66" s="3">
        <v>0</v>
      </c>
      <c r="BP66" s="3">
        <v>0</v>
      </c>
      <c r="BQ66" s="3">
        <v>1</v>
      </c>
      <c r="BR66" s="3">
        <v>1</v>
      </c>
      <c r="BS66" s="3">
        <v>0</v>
      </c>
      <c r="BT66" s="3">
        <v>0</v>
      </c>
      <c r="BU66" s="2">
        <v>1</v>
      </c>
      <c r="BV66" s="2">
        <v>0</v>
      </c>
      <c r="BW66" s="2">
        <v>0</v>
      </c>
      <c r="BX66" s="2">
        <v>0</v>
      </c>
      <c r="BY66" s="2">
        <v>0</v>
      </c>
      <c r="BZ66" s="2">
        <v>0</v>
      </c>
      <c r="CA66" s="2">
        <v>1</v>
      </c>
      <c r="CB66" s="2">
        <v>0</v>
      </c>
      <c r="CC66" s="2">
        <v>0</v>
      </c>
      <c r="CD66" s="2">
        <v>0</v>
      </c>
      <c r="CE66" s="2">
        <v>0</v>
      </c>
      <c r="CF66" s="2">
        <v>1</v>
      </c>
      <c r="CG66" s="2">
        <v>0</v>
      </c>
      <c r="CH66" s="2">
        <v>0</v>
      </c>
      <c r="CI66" s="2">
        <v>0</v>
      </c>
      <c r="CJ66" s="2">
        <v>0</v>
      </c>
      <c r="CK66" s="2">
        <v>0</v>
      </c>
      <c r="CL66" s="2">
        <v>1</v>
      </c>
      <c r="CM66" s="2">
        <v>0</v>
      </c>
      <c r="CN66" s="2">
        <v>0</v>
      </c>
      <c r="CO66" s="2">
        <v>0</v>
      </c>
      <c r="CP66" s="2">
        <v>0</v>
      </c>
      <c r="CQ66" s="2">
        <v>1</v>
      </c>
      <c r="CR66" s="2">
        <v>0</v>
      </c>
      <c r="CS66" s="2">
        <v>0</v>
      </c>
      <c r="CT66" s="2">
        <v>0</v>
      </c>
      <c r="CU66" s="2">
        <v>0</v>
      </c>
      <c r="CV66" s="2">
        <v>0</v>
      </c>
      <c r="CW66" s="2">
        <v>0</v>
      </c>
      <c r="CX66" s="2">
        <v>0</v>
      </c>
      <c r="CY66" s="2">
        <v>0</v>
      </c>
      <c r="CZ66" s="2">
        <v>0</v>
      </c>
      <c r="DA66" s="2">
        <v>0</v>
      </c>
      <c r="DB66" s="2">
        <v>0</v>
      </c>
      <c r="DC66" s="2">
        <v>0</v>
      </c>
      <c r="DD66" s="2">
        <v>0</v>
      </c>
      <c r="DE66" s="2">
        <v>0</v>
      </c>
      <c r="DF66" s="2">
        <v>1</v>
      </c>
      <c r="DG66" s="2">
        <v>2</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1</v>
      </c>
      <c r="DY66" s="2">
        <v>0</v>
      </c>
      <c r="DZ66" s="2">
        <v>0</v>
      </c>
      <c r="EA66" s="2">
        <v>0</v>
      </c>
      <c r="EB66" s="2">
        <v>0</v>
      </c>
      <c r="EC66" s="2">
        <v>0</v>
      </c>
      <c r="ED66" s="2">
        <v>0</v>
      </c>
      <c r="EE66" s="2">
        <v>0</v>
      </c>
      <c r="EF66" s="2">
        <v>0</v>
      </c>
      <c r="EG66" s="2">
        <v>0</v>
      </c>
      <c r="EH66" s="2">
        <v>0</v>
      </c>
      <c r="EI66" s="2">
        <v>0</v>
      </c>
      <c r="EJ66" s="2">
        <v>0</v>
      </c>
      <c r="EK66" s="2">
        <v>0</v>
      </c>
      <c r="EL66" s="2">
        <v>0</v>
      </c>
      <c r="EM66" s="2">
        <v>0</v>
      </c>
      <c r="EN66" s="2">
        <v>0</v>
      </c>
      <c r="EO66" s="2">
        <v>0</v>
      </c>
      <c r="EP66" s="2">
        <v>0</v>
      </c>
      <c r="EQ66" s="2">
        <v>0</v>
      </c>
      <c r="ER66" s="2">
        <v>0</v>
      </c>
      <c r="ES66" s="2">
        <v>0</v>
      </c>
      <c r="ET66" s="2">
        <v>0</v>
      </c>
      <c r="EU66" s="2">
        <v>0</v>
      </c>
      <c r="EV66" s="2">
        <v>0</v>
      </c>
      <c r="EW66" s="2">
        <v>1</v>
      </c>
      <c r="EX66" s="2">
        <v>1</v>
      </c>
      <c r="EY66" s="2">
        <v>0</v>
      </c>
      <c r="EZ66" s="2">
        <v>0</v>
      </c>
      <c r="FA66" s="2">
        <v>0</v>
      </c>
      <c r="FB66" s="2">
        <v>0</v>
      </c>
      <c r="FC66" s="2">
        <v>0</v>
      </c>
      <c r="FD66" s="2">
        <v>0</v>
      </c>
      <c r="FE66" s="2">
        <v>0</v>
      </c>
      <c r="FF66" s="2">
        <v>0</v>
      </c>
      <c r="FG66" s="2">
        <v>0</v>
      </c>
      <c r="FH66" s="2">
        <v>0</v>
      </c>
      <c r="FI66" s="2">
        <v>0</v>
      </c>
      <c r="FJ66" s="2">
        <v>0</v>
      </c>
      <c r="FK66" s="2">
        <v>0</v>
      </c>
      <c r="FL66" s="2">
        <v>0</v>
      </c>
      <c r="FM66" s="2">
        <v>0</v>
      </c>
      <c r="FN66" s="2">
        <v>0</v>
      </c>
      <c r="FO66" s="2">
        <v>0</v>
      </c>
      <c r="FP66" s="2">
        <v>0</v>
      </c>
      <c r="FQ66" s="2">
        <v>0</v>
      </c>
      <c r="FR66" s="2">
        <v>0</v>
      </c>
      <c r="FS66" s="2">
        <v>0</v>
      </c>
      <c r="FT66" s="2">
        <v>0</v>
      </c>
      <c r="FU66" s="2">
        <v>0</v>
      </c>
      <c r="FV66" s="2">
        <v>1</v>
      </c>
      <c r="FW66" s="2">
        <v>2</v>
      </c>
      <c r="FX66" s="2">
        <v>0</v>
      </c>
      <c r="FY66" s="2">
        <v>0</v>
      </c>
      <c r="FZ66" s="2">
        <v>0</v>
      </c>
      <c r="GA66" s="2">
        <v>0</v>
      </c>
      <c r="GB66" s="2">
        <v>1</v>
      </c>
      <c r="GC66" s="2" t="s">
        <v>274</v>
      </c>
      <c r="GD66" s="2">
        <v>0</v>
      </c>
      <c r="GE66" s="2">
        <v>1</v>
      </c>
      <c r="GF66" s="2">
        <v>1</v>
      </c>
      <c r="GG66" s="2">
        <v>2</v>
      </c>
      <c r="GH66" s="2">
        <v>0</v>
      </c>
      <c r="GI66" s="2">
        <v>0</v>
      </c>
      <c r="GJ66" s="2">
        <v>0</v>
      </c>
      <c r="GK66" s="2">
        <v>0</v>
      </c>
      <c r="GL66" s="2">
        <v>0</v>
      </c>
      <c r="GM66" s="2">
        <v>1</v>
      </c>
      <c r="GN66" s="3">
        <v>1</v>
      </c>
      <c r="GO66" s="3">
        <v>0</v>
      </c>
      <c r="GP66" s="3">
        <v>0</v>
      </c>
      <c r="GQ66" s="3">
        <v>0</v>
      </c>
      <c r="GR66" s="3">
        <v>0</v>
      </c>
      <c r="GS66" s="3">
        <v>0</v>
      </c>
      <c r="GT66" s="3">
        <v>0</v>
      </c>
      <c r="GU66" s="3">
        <v>1</v>
      </c>
      <c r="GV66" s="3">
        <v>0</v>
      </c>
      <c r="GW66" s="3">
        <v>0</v>
      </c>
      <c r="GX66" s="3">
        <v>0</v>
      </c>
      <c r="GY66" s="3">
        <v>0</v>
      </c>
      <c r="GZ66" s="3">
        <v>0</v>
      </c>
      <c r="HA66" s="3">
        <v>0</v>
      </c>
      <c r="HB66" s="3">
        <v>0</v>
      </c>
      <c r="HC66" s="3">
        <v>0</v>
      </c>
      <c r="HD66" s="3">
        <v>0</v>
      </c>
      <c r="HE66" s="3">
        <v>0</v>
      </c>
      <c r="HF66" s="3">
        <v>0</v>
      </c>
      <c r="HG66" s="3">
        <v>0</v>
      </c>
      <c r="HH66" s="3">
        <v>1</v>
      </c>
      <c r="HI66" s="3">
        <v>0</v>
      </c>
      <c r="HJ66" s="3">
        <v>0</v>
      </c>
      <c r="HK66" s="3">
        <v>0</v>
      </c>
      <c r="HL66" s="3">
        <v>0</v>
      </c>
      <c r="HM66" s="3">
        <v>0</v>
      </c>
      <c r="HN66" s="3">
        <v>0</v>
      </c>
      <c r="HO66" s="3">
        <v>0</v>
      </c>
      <c r="HP66" s="3">
        <v>0</v>
      </c>
      <c r="HQ66" s="3">
        <v>0</v>
      </c>
      <c r="HR66" s="3">
        <v>0</v>
      </c>
      <c r="HS66" s="3">
        <v>1</v>
      </c>
      <c r="HT66" s="3">
        <v>0</v>
      </c>
      <c r="HU66" s="3">
        <v>0</v>
      </c>
      <c r="HV66" s="3">
        <v>1</v>
      </c>
      <c r="HW66" s="3">
        <v>0</v>
      </c>
      <c r="HX66" s="3">
        <v>0</v>
      </c>
      <c r="HY66" s="3">
        <v>0</v>
      </c>
      <c r="HZ66" s="3">
        <v>1</v>
      </c>
      <c r="IA66" s="3">
        <v>0</v>
      </c>
      <c r="IB66" s="3">
        <v>0</v>
      </c>
      <c r="IC66" s="3">
        <v>0</v>
      </c>
      <c r="ID66" s="3">
        <v>0</v>
      </c>
      <c r="IE66" s="3">
        <v>0</v>
      </c>
      <c r="IF66" s="3">
        <v>0</v>
      </c>
      <c r="IG66" s="3">
        <v>0</v>
      </c>
      <c r="IH66" s="3">
        <v>0</v>
      </c>
      <c r="II66" s="3">
        <v>0</v>
      </c>
      <c r="IJ66" s="3">
        <v>0</v>
      </c>
      <c r="IK66" s="3">
        <v>0</v>
      </c>
      <c r="IL66" s="3">
        <v>0</v>
      </c>
      <c r="IM66" s="3">
        <v>0</v>
      </c>
      <c r="IN66" s="3">
        <v>0</v>
      </c>
      <c r="IO66" s="3">
        <v>0</v>
      </c>
      <c r="IP66" s="3">
        <v>0</v>
      </c>
      <c r="IQ66" s="3">
        <v>0</v>
      </c>
      <c r="IR66" s="3" t="s">
        <v>274</v>
      </c>
      <c r="IS66" s="3">
        <v>1</v>
      </c>
      <c r="IT66" s="3">
        <v>0</v>
      </c>
      <c r="IU66" s="3">
        <v>1</v>
      </c>
      <c r="IV66" s="3">
        <v>0</v>
      </c>
      <c r="IW66" s="3">
        <v>0</v>
      </c>
      <c r="IX66" s="3">
        <v>0</v>
      </c>
      <c r="IY66" s="3">
        <v>0</v>
      </c>
      <c r="IZ66" s="2" t="s">
        <v>268</v>
      </c>
      <c r="JA66" s="2" t="s">
        <v>274</v>
      </c>
    </row>
    <row r="67" spans="1:261" ht="13.2" x14ac:dyDescent="0.25">
      <c r="A67" s="10" t="s">
        <v>274</v>
      </c>
      <c r="B67" s="2" t="s">
        <v>614</v>
      </c>
      <c r="C67" s="2" t="s">
        <v>261</v>
      </c>
      <c r="D67" s="2" t="s">
        <v>270</v>
      </c>
      <c r="E67" s="2">
        <v>24</v>
      </c>
      <c r="F67" s="11" t="s">
        <v>615</v>
      </c>
      <c r="G67" s="11" t="s">
        <v>616</v>
      </c>
      <c r="H67" s="2" t="s">
        <v>617</v>
      </c>
      <c r="I67" s="3">
        <v>3</v>
      </c>
      <c r="J67" s="3">
        <v>4</v>
      </c>
      <c r="K67" s="3">
        <v>3</v>
      </c>
      <c r="L67" s="3">
        <v>4</v>
      </c>
      <c r="M67" s="3">
        <v>3</v>
      </c>
      <c r="N67" s="3">
        <v>3</v>
      </c>
      <c r="O67" s="3">
        <v>3</v>
      </c>
      <c r="P67" s="3">
        <v>2</v>
      </c>
      <c r="Q67" s="3">
        <v>4</v>
      </c>
      <c r="R67" s="3">
        <v>2</v>
      </c>
      <c r="S67" s="3">
        <v>2</v>
      </c>
      <c r="T67" s="3">
        <v>3</v>
      </c>
      <c r="U67" s="3">
        <v>2</v>
      </c>
      <c r="V67" s="3">
        <v>4</v>
      </c>
      <c r="W67" s="3">
        <v>2</v>
      </c>
      <c r="X67" s="3">
        <v>3</v>
      </c>
      <c r="Y67" s="3">
        <v>3</v>
      </c>
      <c r="Z67" s="3">
        <v>2</v>
      </c>
      <c r="AA67" s="3">
        <v>2</v>
      </c>
      <c r="AB67" s="3">
        <v>2</v>
      </c>
      <c r="AC67" s="3">
        <v>3</v>
      </c>
      <c r="AD67" s="3">
        <v>3</v>
      </c>
      <c r="AE67" s="3">
        <v>4</v>
      </c>
      <c r="AF67" s="3">
        <v>0</v>
      </c>
      <c r="AG67" s="3">
        <v>0</v>
      </c>
      <c r="AH67" s="3">
        <v>0</v>
      </c>
      <c r="AI67" s="3">
        <v>2</v>
      </c>
      <c r="AJ67" s="3">
        <v>4</v>
      </c>
      <c r="AK67" s="3">
        <v>3</v>
      </c>
      <c r="AL67" s="3">
        <v>3</v>
      </c>
      <c r="AM67" s="3">
        <v>4</v>
      </c>
      <c r="AN67" s="3">
        <v>4</v>
      </c>
      <c r="AO67" s="3">
        <v>2</v>
      </c>
      <c r="AP67" s="3">
        <v>1</v>
      </c>
      <c r="AQ67" s="3">
        <v>0</v>
      </c>
      <c r="AR67" s="3">
        <v>2</v>
      </c>
      <c r="AS67" s="3">
        <v>3</v>
      </c>
      <c r="AT67" s="3">
        <v>0</v>
      </c>
      <c r="AU67" s="3">
        <v>4</v>
      </c>
      <c r="AV67" s="3">
        <v>3</v>
      </c>
      <c r="AW67" s="3">
        <v>1</v>
      </c>
      <c r="AX67" s="3">
        <v>0</v>
      </c>
      <c r="AY67" s="3">
        <v>1</v>
      </c>
      <c r="AZ67" s="3">
        <v>3</v>
      </c>
      <c r="BA67" s="3">
        <v>0</v>
      </c>
      <c r="BB67" s="3">
        <v>3</v>
      </c>
      <c r="BC67" s="3">
        <v>0</v>
      </c>
      <c r="BD67" s="3">
        <v>3</v>
      </c>
      <c r="BE67" s="3">
        <v>3</v>
      </c>
      <c r="BF67" s="3">
        <v>2</v>
      </c>
      <c r="BG67" s="3">
        <v>3</v>
      </c>
      <c r="BH67" s="3">
        <v>3</v>
      </c>
      <c r="BI67" s="3">
        <v>3</v>
      </c>
      <c r="BJ67" s="3">
        <v>4</v>
      </c>
      <c r="BK67" s="3">
        <v>4</v>
      </c>
      <c r="BL67" s="3">
        <v>1</v>
      </c>
      <c r="BM67" s="3" t="s">
        <v>274</v>
      </c>
      <c r="BN67" s="3">
        <v>4</v>
      </c>
      <c r="BO67" s="3">
        <v>3</v>
      </c>
      <c r="BP67" s="3">
        <v>3</v>
      </c>
      <c r="BQ67" s="3">
        <v>4</v>
      </c>
      <c r="BR67" s="3">
        <v>2</v>
      </c>
      <c r="BS67" s="3">
        <v>3</v>
      </c>
      <c r="BT67" s="3">
        <v>3</v>
      </c>
      <c r="BU67" s="2">
        <v>3</v>
      </c>
      <c r="BV67" s="2">
        <v>0</v>
      </c>
      <c r="BW67" s="2">
        <v>3</v>
      </c>
      <c r="BX67" s="2">
        <v>2</v>
      </c>
      <c r="BY67" s="2">
        <v>1</v>
      </c>
      <c r="BZ67" s="2">
        <v>4</v>
      </c>
      <c r="CA67" s="2">
        <v>3</v>
      </c>
      <c r="CB67" s="2">
        <v>4</v>
      </c>
      <c r="CC67" s="2">
        <v>3</v>
      </c>
      <c r="CD67" s="2">
        <v>3</v>
      </c>
      <c r="CE67" s="2">
        <v>1</v>
      </c>
      <c r="CF67" s="2">
        <v>3</v>
      </c>
      <c r="CG67" s="2">
        <v>3</v>
      </c>
      <c r="CH67" s="2">
        <v>3</v>
      </c>
      <c r="CI67" s="2">
        <v>3</v>
      </c>
      <c r="CJ67" s="2">
        <v>2</v>
      </c>
      <c r="CK67" s="2">
        <v>2</v>
      </c>
      <c r="CL67" s="2">
        <v>1</v>
      </c>
      <c r="CM67" s="2">
        <v>1</v>
      </c>
      <c r="CN67" s="2">
        <v>1</v>
      </c>
      <c r="CO67" s="2">
        <v>0</v>
      </c>
      <c r="CP67" s="2">
        <v>1</v>
      </c>
      <c r="CQ67" s="2">
        <v>1</v>
      </c>
      <c r="CR67" s="2">
        <v>2</v>
      </c>
      <c r="CS67" s="2">
        <v>1</v>
      </c>
      <c r="CT67" s="2">
        <v>2</v>
      </c>
      <c r="CU67" s="2">
        <v>2</v>
      </c>
      <c r="CV67" s="2">
        <v>3</v>
      </c>
      <c r="CW67" s="2">
        <v>3</v>
      </c>
      <c r="CX67" s="2">
        <v>3</v>
      </c>
      <c r="CY67" s="2">
        <v>3</v>
      </c>
      <c r="CZ67" s="2">
        <v>4</v>
      </c>
      <c r="DA67" s="2">
        <v>3</v>
      </c>
      <c r="DB67" s="2">
        <v>2</v>
      </c>
      <c r="DC67" s="2">
        <v>1</v>
      </c>
      <c r="DD67" s="2">
        <v>3</v>
      </c>
      <c r="DE67" s="2">
        <v>1</v>
      </c>
      <c r="DF67" s="2">
        <v>1</v>
      </c>
      <c r="DG67" s="2">
        <v>0</v>
      </c>
      <c r="DH67" s="2">
        <v>2</v>
      </c>
      <c r="DI67" s="2">
        <v>2</v>
      </c>
      <c r="DJ67" s="2">
        <v>1</v>
      </c>
      <c r="DK67" s="2">
        <v>1</v>
      </c>
      <c r="DL67" s="2">
        <v>2</v>
      </c>
      <c r="DM67" s="2">
        <v>1</v>
      </c>
      <c r="DN67" s="2">
        <v>1</v>
      </c>
      <c r="DO67" s="2">
        <v>2</v>
      </c>
      <c r="DP67" s="2">
        <v>3</v>
      </c>
      <c r="DQ67" s="2">
        <v>2</v>
      </c>
      <c r="DR67" s="2">
        <v>0</v>
      </c>
      <c r="DS67" s="2">
        <v>2</v>
      </c>
      <c r="DT67" s="2">
        <v>2</v>
      </c>
      <c r="DU67" s="2">
        <v>0</v>
      </c>
      <c r="DV67" s="2">
        <v>2</v>
      </c>
      <c r="DW67" s="2">
        <v>2</v>
      </c>
      <c r="DX67" s="2">
        <v>3</v>
      </c>
      <c r="DY67" s="2">
        <v>2</v>
      </c>
      <c r="DZ67" s="2">
        <v>3</v>
      </c>
      <c r="EA67" s="2">
        <v>3</v>
      </c>
      <c r="EB67" s="2">
        <v>0</v>
      </c>
      <c r="EC67" s="2">
        <v>1</v>
      </c>
      <c r="ED67" s="2">
        <v>0</v>
      </c>
      <c r="EE67" s="2">
        <v>0</v>
      </c>
      <c r="EF67" s="2">
        <v>0</v>
      </c>
      <c r="EG67" s="2">
        <v>0</v>
      </c>
      <c r="EH67" s="2">
        <v>0</v>
      </c>
      <c r="EI67" s="2">
        <v>2</v>
      </c>
      <c r="EJ67" s="2">
        <v>3</v>
      </c>
      <c r="EK67" s="2">
        <v>0</v>
      </c>
      <c r="EL67" s="2">
        <v>2</v>
      </c>
      <c r="EM67" s="2">
        <v>3</v>
      </c>
      <c r="EN67" s="2">
        <v>1</v>
      </c>
      <c r="EO67" s="2">
        <v>3</v>
      </c>
      <c r="EP67" s="2">
        <v>3</v>
      </c>
      <c r="EQ67" s="2">
        <v>4</v>
      </c>
      <c r="ER67" s="2">
        <v>0</v>
      </c>
      <c r="ES67" s="2">
        <v>3</v>
      </c>
      <c r="ET67" s="2">
        <v>3</v>
      </c>
      <c r="EU67" s="2">
        <v>3</v>
      </c>
      <c r="EV67" s="2">
        <v>3</v>
      </c>
      <c r="EW67" s="2">
        <v>3</v>
      </c>
      <c r="EX67" s="2">
        <v>2</v>
      </c>
      <c r="EY67" s="2">
        <v>3</v>
      </c>
      <c r="EZ67" s="2">
        <v>2</v>
      </c>
      <c r="FA67" s="2">
        <v>2</v>
      </c>
      <c r="FB67" s="2">
        <v>3</v>
      </c>
      <c r="FC67" s="2">
        <v>2</v>
      </c>
      <c r="FD67" s="2">
        <v>0</v>
      </c>
      <c r="FE67" s="2">
        <v>2</v>
      </c>
      <c r="FF67" s="2">
        <v>4</v>
      </c>
      <c r="FG67" s="2">
        <v>3</v>
      </c>
      <c r="FH67" s="2">
        <v>0</v>
      </c>
      <c r="FI67" s="2">
        <v>3</v>
      </c>
      <c r="FJ67" s="2">
        <v>3</v>
      </c>
      <c r="FK67" s="2">
        <v>3</v>
      </c>
      <c r="FL67" s="2">
        <v>1</v>
      </c>
      <c r="FM67" s="2">
        <v>3</v>
      </c>
      <c r="FN67" s="2">
        <v>2</v>
      </c>
      <c r="FO67" s="2">
        <v>2</v>
      </c>
      <c r="FP67" s="2">
        <v>2</v>
      </c>
      <c r="FQ67" s="2">
        <v>3</v>
      </c>
      <c r="FR67" s="2">
        <v>2</v>
      </c>
      <c r="FS67" s="2">
        <v>1</v>
      </c>
      <c r="FT67" s="2">
        <v>2</v>
      </c>
      <c r="FU67" s="2">
        <v>3</v>
      </c>
      <c r="FV67" s="2">
        <v>2</v>
      </c>
      <c r="FW67" s="2">
        <v>0</v>
      </c>
      <c r="FX67" s="2">
        <v>2</v>
      </c>
      <c r="FY67" s="2">
        <v>2</v>
      </c>
      <c r="FZ67" s="2">
        <v>1</v>
      </c>
      <c r="GA67" s="2">
        <v>2</v>
      </c>
      <c r="GB67" s="2">
        <v>0</v>
      </c>
      <c r="GC67" s="2" t="s">
        <v>274</v>
      </c>
      <c r="GD67" s="2">
        <v>3</v>
      </c>
      <c r="GE67" s="2">
        <v>3</v>
      </c>
      <c r="GF67" s="2">
        <v>2</v>
      </c>
      <c r="GG67" s="2">
        <v>0</v>
      </c>
      <c r="GH67" s="2">
        <v>3</v>
      </c>
      <c r="GI67" s="2">
        <v>2</v>
      </c>
      <c r="GJ67" s="2">
        <v>2</v>
      </c>
      <c r="GK67" s="2">
        <v>2</v>
      </c>
      <c r="GL67" s="2">
        <v>2</v>
      </c>
      <c r="GM67" s="2">
        <v>3</v>
      </c>
      <c r="GN67" s="3">
        <v>4</v>
      </c>
      <c r="GO67" s="3">
        <v>3</v>
      </c>
      <c r="GP67" s="3">
        <v>3</v>
      </c>
      <c r="GQ67" s="3">
        <v>4</v>
      </c>
      <c r="GR67" s="3">
        <v>2</v>
      </c>
      <c r="GS67" s="3">
        <v>0</v>
      </c>
      <c r="GT67" s="3">
        <v>3</v>
      </c>
      <c r="GU67" s="3">
        <v>4</v>
      </c>
      <c r="GV67" s="3">
        <v>3</v>
      </c>
      <c r="GW67" s="3">
        <v>3</v>
      </c>
      <c r="GX67" s="3">
        <v>4</v>
      </c>
      <c r="GY67" s="3">
        <v>4</v>
      </c>
      <c r="GZ67" s="3">
        <v>2</v>
      </c>
      <c r="HA67" s="3">
        <v>4</v>
      </c>
      <c r="HB67" s="3">
        <v>0</v>
      </c>
      <c r="HC67" s="3">
        <v>3</v>
      </c>
      <c r="HD67" s="3">
        <v>1</v>
      </c>
      <c r="HE67" s="3">
        <v>3</v>
      </c>
      <c r="HF67" s="3">
        <v>3</v>
      </c>
      <c r="HG67" s="3">
        <v>4</v>
      </c>
      <c r="HH67" s="3">
        <v>2</v>
      </c>
      <c r="HI67" s="3">
        <v>3</v>
      </c>
      <c r="HJ67" s="3">
        <v>3</v>
      </c>
      <c r="HK67" s="3">
        <v>3</v>
      </c>
      <c r="HL67" s="3">
        <v>3</v>
      </c>
      <c r="HM67" s="3">
        <v>2</v>
      </c>
      <c r="HN67" s="3">
        <v>3</v>
      </c>
      <c r="HO67" s="3">
        <v>2</v>
      </c>
      <c r="HP67" s="3">
        <v>3</v>
      </c>
      <c r="HQ67" s="3">
        <v>3</v>
      </c>
      <c r="HR67" s="3">
        <v>1</v>
      </c>
      <c r="HS67" s="3">
        <v>1</v>
      </c>
      <c r="HT67" s="3">
        <v>1</v>
      </c>
      <c r="HU67" s="3">
        <v>0</v>
      </c>
      <c r="HV67" s="3">
        <v>0</v>
      </c>
      <c r="HW67" s="3">
        <v>4</v>
      </c>
      <c r="HX67" s="3">
        <v>2</v>
      </c>
      <c r="HY67" s="3">
        <v>3</v>
      </c>
      <c r="HZ67" s="3">
        <v>4</v>
      </c>
      <c r="IA67" s="3">
        <v>2</v>
      </c>
      <c r="IB67" s="3">
        <v>4</v>
      </c>
      <c r="IC67" s="3">
        <v>0</v>
      </c>
      <c r="ID67" s="3">
        <v>2</v>
      </c>
      <c r="IE67" s="3">
        <v>4</v>
      </c>
      <c r="IF67" s="3">
        <v>1</v>
      </c>
      <c r="IG67" s="3">
        <v>1</v>
      </c>
      <c r="IH67" s="3">
        <v>0</v>
      </c>
      <c r="II67" s="3">
        <v>4</v>
      </c>
      <c r="IJ67" s="3">
        <v>3</v>
      </c>
      <c r="IK67" s="3">
        <v>2</v>
      </c>
      <c r="IL67" s="3">
        <v>3</v>
      </c>
      <c r="IM67" s="3">
        <v>1</v>
      </c>
      <c r="IN67" s="3">
        <v>1</v>
      </c>
      <c r="IO67" s="3">
        <v>2</v>
      </c>
      <c r="IP67" s="3">
        <v>3</v>
      </c>
      <c r="IQ67" s="3">
        <v>4</v>
      </c>
      <c r="IR67" s="3" t="s">
        <v>274</v>
      </c>
      <c r="IS67" s="3">
        <v>0</v>
      </c>
      <c r="IT67" s="3">
        <v>3</v>
      </c>
      <c r="IU67" s="3">
        <v>4</v>
      </c>
      <c r="IV67" s="3">
        <v>4</v>
      </c>
      <c r="IW67" s="3">
        <v>3</v>
      </c>
      <c r="IX67" s="3">
        <v>1</v>
      </c>
      <c r="IY67" s="3">
        <v>4</v>
      </c>
      <c r="IZ67" s="2" t="s">
        <v>268</v>
      </c>
      <c r="JA67" s="2" t="s">
        <v>274</v>
      </c>
    </row>
    <row r="68" spans="1:261" ht="13.2" x14ac:dyDescent="0.25">
      <c r="A68" s="10" t="s">
        <v>274</v>
      </c>
      <c r="B68" s="2" t="s">
        <v>618</v>
      </c>
      <c r="C68" s="2" t="s">
        <v>276</v>
      </c>
      <c r="D68" s="2" t="s">
        <v>270</v>
      </c>
      <c r="E68" s="2">
        <v>25</v>
      </c>
      <c r="F68" s="11" t="s">
        <v>619</v>
      </c>
      <c r="G68" s="11" t="s">
        <v>620</v>
      </c>
      <c r="H68" s="2" t="s">
        <v>621</v>
      </c>
      <c r="I68" s="3">
        <v>3</v>
      </c>
      <c r="J68" s="3">
        <v>1</v>
      </c>
      <c r="K68" s="3">
        <v>2</v>
      </c>
      <c r="L68" s="3">
        <v>3</v>
      </c>
      <c r="M68" s="3">
        <v>2</v>
      </c>
      <c r="N68" s="3">
        <v>4</v>
      </c>
      <c r="O68" s="3">
        <v>2</v>
      </c>
      <c r="P68" s="3">
        <v>2</v>
      </c>
      <c r="Q68" s="3">
        <v>0</v>
      </c>
      <c r="R68" s="3">
        <v>3</v>
      </c>
      <c r="S68" s="3">
        <v>1</v>
      </c>
      <c r="T68" s="3">
        <v>1</v>
      </c>
      <c r="U68" s="3">
        <v>2</v>
      </c>
      <c r="V68" s="3">
        <v>3</v>
      </c>
      <c r="W68" s="3">
        <v>3</v>
      </c>
      <c r="X68" s="3">
        <v>3</v>
      </c>
      <c r="Y68" s="3">
        <v>3</v>
      </c>
      <c r="Z68" s="3">
        <v>3</v>
      </c>
      <c r="AA68" s="3">
        <v>2</v>
      </c>
      <c r="AB68" s="3">
        <v>2</v>
      </c>
      <c r="AC68" s="3">
        <v>3</v>
      </c>
      <c r="AD68" s="3">
        <v>1</v>
      </c>
      <c r="AE68" s="3">
        <v>2</v>
      </c>
      <c r="AF68" s="3">
        <v>0</v>
      </c>
      <c r="AG68" s="3">
        <v>0</v>
      </c>
      <c r="AH68" s="3">
        <v>0</v>
      </c>
      <c r="AI68" s="3">
        <v>3</v>
      </c>
      <c r="AJ68" s="3">
        <v>4</v>
      </c>
      <c r="AK68" s="3">
        <v>3</v>
      </c>
      <c r="AL68" s="3">
        <v>2</v>
      </c>
      <c r="AM68" s="3">
        <v>0</v>
      </c>
      <c r="AN68" s="3">
        <v>2</v>
      </c>
      <c r="AO68" s="3">
        <v>3</v>
      </c>
      <c r="AP68" s="3">
        <v>1</v>
      </c>
      <c r="AQ68" s="3">
        <v>1</v>
      </c>
      <c r="AR68" s="3">
        <v>2</v>
      </c>
      <c r="AS68" s="3">
        <v>2</v>
      </c>
      <c r="AT68" s="3">
        <v>0</v>
      </c>
      <c r="AU68" s="3">
        <v>3</v>
      </c>
      <c r="AV68" s="3">
        <v>0</v>
      </c>
      <c r="AW68" s="3">
        <v>2</v>
      </c>
      <c r="AX68" s="3">
        <v>1</v>
      </c>
      <c r="AY68" s="3">
        <v>3</v>
      </c>
      <c r="AZ68" s="3">
        <v>2</v>
      </c>
      <c r="BA68" s="3">
        <v>0</v>
      </c>
      <c r="BB68" s="3">
        <v>3</v>
      </c>
      <c r="BC68" s="3">
        <v>0</v>
      </c>
      <c r="BD68" s="3">
        <v>3</v>
      </c>
      <c r="BE68" s="3">
        <v>4</v>
      </c>
      <c r="BF68" s="3">
        <v>3</v>
      </c>
      <c r="BG68" s="3">
        <v>3</v>
      </c>
      <c r="BH68" s="3">
        <v>2</v>
      </c>
      <c r="BI68" s="3">
        <v>3</v>
      </c>
      <c r="BJ68" s="3">
        <v>3</v>
      </c>
      <c r="BK68" s="3">
        <v>2</v>
      </c>
      <c r="BL68" s="3">
        <v>0</v>
      </c>
      <c r="BM68" s="3" t="s">
        <v>622</v>
      </c>
      <c r="BN68" s="3">
        <v>4</v>
      </c>
      <c r="BO68" s="3">
        <v>1</v>
      </c>
      <c r="BP68" s="3">
        <v>2</v>
      </c>
      <c r="BQ68" s="3">
        <v>3</v>
      </c>
      <c r="BR68" s="3">
        <v>3</v>
      </c>
      <c r="BS68" s="3">
        <v>1</v>
      </c>
      <c r="BT68" s="3">
        <v>2</v>
      </c>
      <c r="BU68" s="2">
        <v>2</v>
      </c>
      <c r="BV68" s="2">
        <v>0</v>
      </c>
      <c r="BW68" s="2">
        <v>3</v>
      </c>
      <c r="BX68" s="2">
        <v>2</v>
      </c>
      <c r="BY68" s="2">
        <v>2</v>
      </c>
      <c r="BZ68" s="2">
        <v>2</v>
      </c>
      <c r="CA68" s="2">
        <v>0</v>
      </c>
      <c r="CB68" s="2">
        <v>2</v>
      </c>
      <c r="CC68" s="2">
        <v>1</v>
      </c>
      <c r="CD68" s="2">
        <v>2</v>
      </c>
      <c r="CE68" s="2">
        <v>1</v>
      </c>
      <c r="CF68" s="2">
        <v>2</v>
      </c>
      <c r="CG68" s="2">
        <v>1</v>
      </c>
      <c r="CH68" s="2">
        <v>1</v>
      </c>
      <c r="CI68" s="2">
        <v>3</v>
      </c>
      <c r="CJ68" s="2">
        <v>1</v>
      </c>
      <c r="CK68" s="2">
        <v>1</v>
      </c>
      <c r="CL68" s="2">
        <v>3</v>
      </c>
      <c r="CM68" s="2">
        <v>2</v>
      </c>
      <c r="CN68" s="2">
        <v>1</v>
      </c>
      <c r="CO68" s="2">
        <v>2</v>
      </c>
      <c r="CP68" s="2">
        <v>1</v>
      </c>
      <c r="CQ68" s="2">
        <v>3</v>
      </c>
      <c r="CR68" s="2">
        <v>1</v>
      </c>
      <c r="CS68" s="2">
        <v>3</v>
      </c>
      <c r="CT68" s="2">
        <v>1</v>
      </c>
      <c r="CU68" s="2">
        <v>2</v>
      </c>
      <c r="CV68" s="2">
        <v>2</v>
      </c>
      <c r="CW68" s="2">
        <v>3</v>
      </c>
      <c r="CX68" s="2">
        <v>1</v>
      </c>
      <c r="CY68" s="2">
        <v>1</v>
      </c>
      <c r="CZ68" s="2">
        <v>2</v>
      </c>
      <c r="DA68" s="2">
        <v>3</v>
      </c>
      <c r="DB68" s="2">
        <v>1</v>
      </c>
      <c r="DC68" s="2">
        <v>0</v>
      </c>
      <c r="DD68" s="2">
        <v>0</v>
      </c>
      <c r="DE68" s="2">
        <v>3</v>
      </c>
      <c r="DF68" s="2">
        <v>3</v>
      </c>
      <c r="DG68" s="2">
        <v>1</v>
      </c>
      <c r="DH68" s="2">
        <v>2</v>
      </c>
      <c r="DI68" s="2">
        <v>1</v>
      </c>
      <c r="DJ68" s="2">
        <v>1</v>
      </c>
      <c r="DK68" s="2">
        <v>0</v>
      </c>
      <c r="DL68" s="2">
        <v>3</v>
      </c>
      <c r="DM68" s="2">
        <v>1</v>
      </c>
      <c r="DN68" s="2">
        <v>2</v>
      </c>
      <c r="DO68" s="2">
        <v>0</v>
      </c>
      <c r="DP68" s="2">
        <v>3</v>
      </c>
      <c r="DQ68" s="2">
        <v>2</v>
      </c>
      <c r="DR68" s="2">
        <v>0</v>
      </c>
      <c r="DS68" s="2">
        <v>1</v>
      </c>
      <c r="DT68" s="2">
        <v>1</v>
      </c>
      <c r="DU68" s="2">
        <v>1</v>
      </c>
      <c r="DV68" s="2">
        <v>1</v>
      </c>
      <c r="DW68" s="2">
        <v>1</v>
      </c>
      <c r="DX68" s="2">
        <v>3</v>
      </c>
      <c r="DY68" s="2">
        <v>2</v>
      </c>
      <c r="DZ68" s="2">
        <v>1</v>
      </c>
      <c r="EA68" s="2">
        <v>0</v>
      </c>
      <c r="EB68" s="2">
        <v>0</v>
      </c>
      <c r="EC68" s="2">
        <v>0</v>
      </c>
      <c r="ED68" s="2">
        <v>0</v>
      </c>
      <c r="EE68" s="2">
        <v>0</v>
      </c>
      <c r="EF68" s="2">
        <v>0</v>
      </c>
      <c r="EG68" s="2">
        <v>0</v>
      </c>
      <c r="EH68" s="2">
        <v>0</v>
      </c>
      <c r="EI68" s="2">
        <v>2</v>
      </c>
      <c r="EJ68" s="2">
        <v>3</v>
      </c>
      <c r="EK68" s="2">
        <v>1</v>
      </c>
      <c r="EL68" s="2">
        <v>0</v>
      </c>
      <c r="EM68" s="2">
        <v>0</v>
      </c>
      <c r="EN68" s="2">
        <v>0</v>
      </c>
      <c r="EO68" s="2">
        <v>0</v>
      </c>
      <c r="EP68" s="2">
        <v>0</v>
      </c>
      <c r="EQ68" s="2">
        <v>2</v>
      </c>
      <c r="ER68" s="2">
        <v>0</v>
      </c>
      <c r="ES68" s="2">
        <v>1</v>
      </c>
      <c r="ET68" s="2">
        <v>0</v>
      </c>
      <c r="EU68" s="2">
        <v>1</v>
      </c>
      <c r="EV68" s="2">
        <v>3</v>
      </c>
      <c r="EW68" s="2">
        <v>3</v>
      </c>
      <c r="EX68" s="2">
        <v>3</v>
      </c>
      <c r="EY68" s="2">
        <v>1</v>
      </c>
      <c r="EZ68" s="2">
        <v>0</v>
      </c>
      <c r="FA68" s="2">
        <v>2</v>
      </c>
      <c r="FB68" s="2">
        <v>0</v>
      </c>
      <c r="FC68" s="2">
        <v>1</v>
      </c>
      <c r="FD68" s="2">
        <v>2</v>
      </c>
      <c r="FE68" s="2">
        <v>0</v>
      </c>
      <c r="FF68" s="2">
        <v>3</v>
      </c>
      <c r="FG68" s="2">
        <v>3</v>
      </c>
      <c r="FH68" s="2">
        <v>0</v>
      </c>
      <c r="FI68" s="2">
        <v>0</v>
      </c>
      <c r="FJ68" s="2">
        <v>0</v>
      </c>
      <c r="FK68" s="2">
        <v>2</v>
      </c>
      <c r="FL68" s="2">
        <v>2</v>
      </c>
      <c r="FM68" s="2">
        <v>2</v>
      </c>
      <c r="FN68" s="2">
        <v>2</v>
      </c>
      <c r="FO68" s="2">
        <v>0</v>
      </c>
      <c r="FP68" s="2">
        <v>1</v>
      </c>
      <c r="FQ68" s="2">
        <v>3</v>
      </c>
      <c r="FR68" s="2">
        <v>3</v>
      </c>
      <c r="FS68" s="2">
        <v>0</v>
      </c>
      <c r="FT68" s="2">
        <v>0</v>
      </c>
      <c r="FU68" s="2">
        <v>3</v>
      </c>
      <c r="FV68" s="2">
        <v>1</v>
      </c>
      <c r="FW68" s="2">
        <v>3</v>
      </c>
      <c r="FX68" s="2">
        <v>1</v>
      </c>
      <c r="FY68" s="2">
        <v>1</v>
      </c>
      <c r="FZ68" s="2">
        <v>1</v>
      </c>
      <c r="GA68" s="2">
        <v>1</v>
      </c>
      <c r="GB68" s="2">
        <v>2</v>
      </c>
      <c r="GC68" s="2" t="s">
        <v>623</v>
      </c>
      <c r="GD68" s="2">
        <v>4</v>
      </c>
      <c r="GE68" s="2">
        <v>1</v>
      </c>
      <c r="GF68" s="2">
        <v>2</v>
      </c>
      <c r="GG68" s="2">
        <v>3</v>
      </c>
      <c r="GH68" s="2">
        <v>3</v>
      </c>
      <c r="GI68" s="2">
        <v>1</v>
      </c>
      <c r="GJ68" s="2">
        <v>2</v>
      </c>
      <c r="GK68" s="2">
        <v>1</v>
      </c>
      <c r="GL68" s="2">
        <v>0</v>
      </c>
      <c r="GM68" s="2">
        <v>0</v>
      </c>
      <c r="GN68" s="3">
        <v>3</v>
      </c>
      <c r="GO68" s="3">
        <v>2</v>
      </c>
      <c r="GP68" s="3">
        <v>0</v>
      </c>
      <c r="GQ68" s="3">
        <v>1</v>
      </c>
      <c r="GR68" s="3">
        <v>1</v>
      </c>
      <c r="GS68" s="3">
        <v>3</v>
      </c>
      <c r="GT68" s="3">
        <v>3</v>
      </c>
      <c r="GU68" s="3">
        <v>3</v>
      </c>
      <c r="GV68" s="3">
        <v>2</v>
      </c>
      <c r="GW68" s="3">
        <v>0</v>
      </c>
      <c r="GX68" s="3">
        <v>2</v>
      </c>
      <c r="GY68" s="3">
        <v>2</v>
      </c>
      <c r="GZ68" s="3">
        <v>1</v>
      </c>
      <c r="HA68" s="3">
        <v>1</v>
      </c>
      <c r="HB68" s="3">
        <v>1</v>
      </c>
      <c r="HC68" s="3">
        <v>2</v>
      </c>
      <c r="HD68" s="3">
        <v>0</v>
      </c>
      <c r="HE68" s="3">
        <v>0</v>
      </c>
      <c r="HF68" s="3">
        <v>0</v>
      </c>
      <c r="HG68" s="3">
        <v>0</v>
      </c>
      <c r="HH68" s="3">
        <v>1</v>
      </c>
      <c r="HI68" s="3">
        <v>2</v>
      </c>
      <c r="HJ68" s="3">
        <v>0</v>
      </c>
      <c r="HK68" s="3">
        <v>0</v>
      </c>
      <c r="HL68" s="3">
        <v>0</v>
      </c>
      <c r="HM68" s="3">
        <v>0</v>
      </c>
      <c r="HN68" s="3">
        <v>0</v>
      </c>
      <c r="HO68" s="3">
        <v>3</v>
      </c>
      <c r="HP68" s="3">
        <v>3</v>
      </c>
      <c r="HQ68" s="3">
        <v>1</v>
      </c>
      <c r="HR68" s="3">
        <v>0</v>
      </c>
      <c r="HS68" s="3">
        <v>0</v>
      </c>
      <c r="HT68" s="3">
        <v>0</v>
      </c>
      <c r="HU68" s="3">
        <v>0</v>
      </c>
      <c r="HV68" s="3">
        <v>3</v>
      </c>
      <c r="HW68" s="3">
        <v>3</v>
      </c>
      <c r="HX68" s="3">
        <v>0</v>
      </c>
      <c r="HY68" s="3">
        <v>0</v>
      </c>
      <c r="HZ68" s="3">
        <v>1</v>
      </c>
      <c r="IA68" s="3">
        <v>3</v>
      </c>
      <c r="IB68" s="3">
        <v>3</v>
      </c>
      <c r="IC68" s="3">
        <v>0</v>
      </c>
      <c r="ID68" s="3">
        <v>0</v>
      </c>
      <c r="IE68" s="3">
        <v>1</v>
      </c>
      <c r="IF68" s="3">
        <v>0</v>
      </c>
      <c r="IG68" s="3">
        <v>0</v>
      </c>
      <c r="IH68" s="3">
        <v>0</v>
      </c>
      <c r="II68" s="3">
        <v>1</v>
      </c>
      <c r="IJ68" s="3">
        <v>0</v>
      </c>
      <c r="IK68" s="3">
        <v>0</v>
      </c>
      <c r="IL68" s="3">
        <v>0</v>
      </c>
      <c r="IM68" s="3">
        <v>1</v>
      </c>
      <c r="IN68" s="3">
        <v>2</v>
      </c>
      <c r="IO68" s="3">
        <v>0</v>
      </c>
      <c r="IP68" s="3">
        <v>2</v>
      </c>
      <c r="IQ68" s="3">
        <v>3</v>
      </c>
      <c r="IR68" s="3" t="s">
        <v>624</v>
      </c>
      <c r="IS68" s="3">
        <v>1</v>
      </c>
      <c r="IT68" s="3">
        <v>2</v>
      </c>
      <c r="IU68" s="3">
        <v>4</v>
      </c>
      <c r="IV68" s="3">
        <v>1</v>
      </c>
      <c r="IW68" s="3">
        <v>2</v>
      </c>
      <c r="IX68" s="3">
        <v>0</v>
      </c>
      <c r="IY68" s="3">
        <v>0</v>
      </c>
      <c r="IZ68" s="2" t="s">
        <v>268</v>
      </c>
      <c r="JA68" s="2" t="s">
        <v>274</v>
      </c>
    </row>
    <row r="69" spans="1:261" ht="13.2" x14ac:dyDescent="0.25">
      <c r="A69" s="10" t="s">
        <v>274</v>
      </c>
      <c r="B69" s="2" t="s">
        <v>625</v>
      </c>
      <c r="C69" s="2" t="s">
        <v>276</v>
      </c>
      <c r="D69" s="2" t="s">
        <v>262</v>
      </c>
      <c r="E69" s="2">
        <v>34</v>
      </c>
      <c r="F69" s="11" t="s">
        <v>626</v>
      </c>
      <c r="G69" s="11" t="s">
        <v>627</v>
      </c>
      <c r="H69" s="2" t="s">
        <v>628</v>
      </c>
      <c r="I69" s="3">
        <v>1</v>
      </c>
      <c r="J69" s="3">
        <v>1</v>
      </c>
      <c r="K69" s="3">
        <v>2</v>
      </c>
      <c r="L69" s="3">
        <v>3</v>
      </c>
      <c r="M69" s="3">
        <v>2</v>
      </c>
      <c r="N69" s="3">
        <v>1</v>
      </c>
      <c r="O69" s="3">
        <v>1</v>
      </c>
      <c r="P69" s="3">
        <v>0</v>
      </c>
      <c r="Q69" s="3">
        <v>0</v>
      </c>
      <c r="R69" s="3">
        <v>0</v>
      </c>
      <c r="S69" s="3">
        <v>0</v>
      </c>
      <c r="T69" s="3">
        <v>0</v>
      </c>
      <c r="U69" s="3">
        <v>0</v>
      </c>
      <c r="V69" s="3">
        <v>0</v>
      </c>
      <c r="W69" s="3">
        <v>0</v>
      </c>
      <c r="X69" s="3">
        <v>0</v>
      </c>
      <c r="Y69" s="3">
        <v>2</v>
      </c>
      <c r="Z69" s="3">
        <v>2</v>
      </c>
      <c r="AA69" s="3">
        <v>0</v>
      </c>
      <c r="AB69" s="3">
        <v>1</v>
      </c>
      <c r="AC69" s="3">
        <v>1</v>
      </c>
      <c r="AD69" s="3">
        <v>4</v>
      </c>
      <c r="AE69" s="3">
        <v>4</v>
      </c>
      <c r="AF69" s="3">
        <v>1</v>
      </c>
      <c r="AG69" s="3">
        <v>1</v>
      </c>
      <c r="AH69" s="3">
        <v>1</v>
      </c>
      <c r="AI69" s="3">
        <v>3</v>
      </c>
      <c r="AJ69" s="3">
        <v>2</v>
      </c>
      <c r="AK69" s="3">
        <v>2</v>
      </c>
      <c r="AL69" s="3">
        <v>2</v>
      </c>
      <c r="AM69" s="3">
        <v>2</v>
      </c>
      <c r="AN69" s="3">
        <v>2</v>
      </c>
      <c r="AO69" s="3">
        <v>2</v>
      </c>
      <c r="AP69" s="3">
        <v>2</v>
      </c>
      <c r="AQ69" s="3">
        <v>0</v>
      </c>
      <c r="AR69" s="3">
        <v>2</v>
      </c>
      <c r="AS69" s="3">
        <v>2</v>
      </c>
      <c r="AT69" s="3">
        <v>4</v>
      </c>
      <c r="AU69" s="3">
        <v>1</v>
      </c>
      <c r="AV69" s="3">
        <v>1</v>
      </c>
      <c r="AW69" s="3">
        <v>3</v>
      </c>
      <c r="AX69" s="3">
        <v>0</v>
      </c>
      <c r="AY69" s="3">
        <v>0</v>
      </c>
      <c r="AZ69" s="3">
        <v>3</v>
      </c>
      <c r="BA69" s="3">
        <v>0</v>
      </c>
      <c r="BB69" s="3">
        <v>4</v>
      </c>
      <c r="BC69" s="3">
        <v>0</v>
      </c>
      <c r="BD69" s="3">
        <v>3</v>
      </c>
      <c r="BE69" s="3">
        <v>2</v>
      </c>
      <c r="BF69" s="3">
        <v>0</v>
      </c>
      <c r="BG69" s="3">
        <v>0</v>
      </c>
      <c r="BH69" s="3">
        <v>2</v>
      </c>
      <c r="BI69" s="3">
        <v>0</v>
      </c>
      <c r="BJ69" s="3">
        <v>3</v>
      </c>
      <c r="BK69" s="3">
        <v>0</v>
      </c>
      <c r="BL69" s="3">
        <v>0</v>
      </c>
      <c r="BM69" s="3" t="s">
        <v>629</v>
      </c>
      <c r="BN69" s="3">
        <v>2</v>
      </c>
      <c r="BO69" s="3">
        <v>0</v>
      </c>
      <c r="BP69" s="3">
        <v>2</v>
      </c>
      <c r="BQ69" s="3">
        <v>1</v>
      </c>
      <c r="BR69" s="3">
        <v>2</v>
      </c>
      <c r="BS69" s="3">
        <v>2</v>
      </c>
      <c r="BT69" s="3">
        <v>4</v>
      </c>
      <c r="BU69" s="2">
        <v>2</v>
      </c>
      <c r="BV69" s="2">
        <v>1</v>
      </c>
      <c r="BW69" s="2">
        <v>2</v>
      </c>
      <c r="BX69" s="2">
        <v>0</v>
      </c>
      <c r="BY69" s="2">
        <v>0</v>
      </c>
      <c r="BZ69" s="2">
        <v>1</v>
      </c>
      <c r="CA69" s="2">
        <v>2</v>
      </c>
      <c r="CB69" s="2">
        <v>1</v>
      </c>
      <c r="CC69" s="2">
        <v>0</v>
      </c>
      <c r="CD69" s="2">
        <v>1</v>
      </c>
      <c r="CE69" s="2">
        <v>1</v>
      </c>
      <c r="CF69" s="2">
        <v>1</v>
      </c>
      <c r="CG69" s="2">
        <v>1</v>
      </c>
      <c r="CH69" s="2">
        <v>1</v>
      </c>
      <c r="CI69" s="2">
        <v>2</v>
      </c>
      <c r="CJ69" s="2">
        <v>1</v>
      </c>
      <c r="CK69" s="2">
        <v>1</v>
      </c>
      <c r="CL69" s="2">
        <v>2</v>
      </c>
      <c r="CM69" s="2">
        <v>1</v>
      </c>
      <c r="CN69" s="2">
        <v>1</v>
      </c>
      <c r="CO69" s="2">
        <v>0</v>
      </c>
      <c r="CP69" s="2">
        <v>0</v>
      </c>
      <c r="CQ69" s="2">
        <v>1</v>
      </c>
      <c r="CR69" s="2">
        <v>1</v>
      </c>
      <c r="CS69" s="2">
        <v>1</v>
      </c>
      <c r="CT69" s="2">
        <v>1</v>
      </c>
      <c r="CU69" s="2">
        <v>1</v>
      </c>
      <c r="CV69" s="2">
        <v>1</v>
      </c>
      <c r="CW69" s="2">
        <v>2</v>
      </c>
      <c r="CX69" s="2">
        <v>0</v>
      </c>
      <c r="CY69" s="2">
        <v>0</v>
      </c>
      <c r="CZ69" s="2">
        <v>0</v>
      </c>
      <c r="DA69" s="2">
        <v>0</v>
      </c>
      <c r="DB69" s="2">
        <v>0</v>
      </c>
      <c r="DC69" s="2">
        <v>0</v>
      </c>
      <c r="DD69" s="2">
        <v>0</v>
      </c>
      <c r="DE69" s="2">
        <v>0</v>
      </c>
      <c r="DF69" s="2">
        <v>2</v>
      </c>
      <c r="DG69" s="2">
        <v>1</v>
      </c>
      <c r="DH69" s="2">
        <v>2</v>
      </c>
      <c r="DI69" s="2">
        <v>2</v>
      </c>
      <c r="DJ69" s="2">
        <v>0</v>
      </c>
      <c r="DK69" s="2">
        <v>0</v>
      </c>
      <c r="DL69" s="2">
        <v>1</v>
      </c>
      <c r="DM69" s="2">
        <v>0</v>
      </c>
      <c r="DN69" s="2">
        <v>0</v>
      </c>
      <c r="DO69" s="2">
        <v>0</v>
      </c>
      <c r="DP69" s="2">
        <v>0</v>
      </c>
      <c r="DQ69" s="2">
        <v>1</v>
      </c>
      <c r="DR69" s="2">
        <v>0</v>
      </c>
      <c r="DS69" s="2">
        <v>1</v>
      </c>
      <c r="DT69" s="2">
        <v>1</v>
      </c>
      <c r="DU69" s="2">
        <v>0</v>
      </c>
      <c r="DV69" s="2">
        <v>0</v>
      </c>
      <c r="DW69" s="2">
        <v>0</v>
      </c>
      <c r="DX69" s="2">
        <v>3</v>
      </c>
      <c r="DY69" s="2">
        <v>3</v>
      </c>
      <c r="DZ69" s="2">
        <v>2</v>
      </c>
      <c r="EA69" s="2">
        <v>0</v>
      </c>
      <c r="EB69" s="2">
        <v>0</v>
      </c>
      <c r="EC69" s="2">
        <v>0</v>
      </c>
      <c r="ED69" s="2">
        <v>1</v>
      </c>
      <c r="EE69" s="2">
        <v>1</v>
      </c>
      <c r="EF69" s="2">
        <v>1</v>
      </c>
      <c r="EG69" s="2">
        <v>2</v>
      </c>
      <c r="EH69" s="2">
        <v>0</v>
      </c>
      <c r="EI69" s="2">
        <v>0</v>
      </c>
      <c r="EJ69" s="2">
        <v>1</v>
      </c>
      <c r="EK69" s="2">
        <v>1</v>
      </c>
      <c r="EL69" s="2">
        <v>1</v>
      </c>
      <c r="EM69" s="2">
        <v>0</v>
      </c>
      <c r="EN69" s="2">
        <v>0</v>
      </c>
      <c r="EO69" s="2">
        <v>1</v>
      </c>
      <c r="EP69" s="2">
        <v>0</v>
      </c>
      <c r="EQ69" s="2">
        <v>0</v>
      </c>
      <c r="ER69" s="2">
        <v>0</v>
      </c>
      <c r="ES69" s="2">
        <v>0</v>
      </c>
      <c r="ET69" s="2">
        <v>0</v>
      </c>
      <c r="EU69" s="2">
        <v>0</v>
      </c>
      <c r="EV69" s="2">
        <v>0</v>
      </c>
      <c r="EW69" s="2">
        <v>0</v>
      </c>
      <c r="EX69" s="2">
        <v>0</v>
      </c>
      <c r="EY69" s="2">
        <v>0</v>
      </c>
      <c r="EZ69" s="2">
        <v>0</v>
      </c>
      <c r="FA69" s="2">
        <v>0</v>
      </c>
      <c r="FB69" s="2">
        <v>0</v>
      </c>
      <c r="FC69" s="2">
        <v>1</v>
      </c>
      <c r="FD69" s="2">
        <v>1</v>
      </c>
      <c r="FE69" s="2">
        <v>1</v>
      </c>
      <c r="FF69" s="2">
        <v>1</v>
      </c>
      <c r="FG69" s="2">
        <v>0</v>
      </c>
      <c r="FH69" s="2">
        <v>0</v>
      </c>
      <c r="FI69" s="2">
        <v>1</v>
      </c>
      <c r="FJ69" s="2">
        <v>0</v>
      </c>
      <c r="FK69" s="2">
        <v>0</v>
      </c>
      <c r="FL69" s="2">
        <v>2</v>
      </c>
      <c r="FM69" s="2">
        <v>2</v>
      </c>
      <c r="FN69" s="2">
        <v>1</v>
      </c>
      <c r="FO69" s="2">
        <v>0</v>
      </c>
      <c r="FP69" s="2">
        <v>0</v>
      </c>
      <c r="FQ69" s="2">
        <v>2</v>
      </c>
      <c r="FR69" s="2">
        <v>3</v>
      </c>
      <c r="FS69" s="2">
        <v>3</v>
      </c>
      <c r="FT69" s="2">
        <v>0</v>
      </c>
      <c r="FU69" s="2">
        <v>2</v>
      </c>
      <c r="FV69" s="2">
        <v>2</v>
      </c>
      <c r="FW69" s="2">
        <v>2</v>
      </c>
      <c r="FX69" s="2">
        <v>2</v>
      </c>
      <c r="FY69" s="2">
        <v>2</v>
      </c>
      <c r="FZ69" s="2">
        <v>2</v>
      </c>
      <c r="GA69" s="2">
        <v>0</v>
      </c>
      <c r="GB69" s="2">
        <v>2</v>
      </c>
      <c r="GC69" s="2" t="s">
        <v>630</v>
      </c>
      <c r="GD69" s="2">
        <v>2</v>
      </c>
      <c r="GE69" s="2">
        <v>0</v>
      </c>
      <c r="GF69" s="2">
        <v>2</v>
      </c>
      <c r="GG69" s="2">
        <v>2</v>
      </c>
      <c r="GH69" s="2">
        <v>3</v>
      </c>
      <c r="GI69" s="2">
        <v>2</v>
      </c>
      <c r="GJ69" s="2">
        <v>3</v>
      </c>
      <c r="GK69" s="2">
        <v>1</v>
      </c>
      <c r="GL69" s="2">
        <v>1</v>
      </c>
      <c r="GM69" s="2">
        <v>2</v>
      </c>
      <c r="GN69" s="3">
        <v>2</v>
      </c>
      <c r="GO69" s="3">
        <v>2</v>
      </c>
      <c r="GP69" s="3">
        <v>0</v>
      </c>
      <c r="GQ69" s="3">
        <v>2</v>
      </c>
      <c r="GR69" s="3">
        <v>2</v>
      </c>
      <c r="GS69" s="3">
        <v>3</v>
      </c>
      <c r="GT69" s="3">
        <v>1</v>
      </c>
      <c r="GU69" s="3">
        <v>0</v>
      </c>
      <c r="GV69" s="3">
        <v>1</v>
      </c>
      <c r="GW69" s="3">
        <v>0</v>
      </c>
      <c r="GX69" s="3">
        <v>1</v>
      </c>
      <c r="GY69" s="3">
        <v>0</v>
      </c>
      <c r="GZ69" s="3">
        <v>1</v>
      </c>
      <c r="HA69" s="3">
        <v>1</v>
      </c>
      <c r="HB69" s="3">
        <v>0</v>
      </c>
      <c r="HC69" s="3">
        <v>0</v>
      </c>
      <c r="HD69" s="3">
        <v>1</v>
      </c>
      <c r="HE69" s="3">
        <v>0</v>
      </c>
      <c r="HF69" s="3">
        <v>0</v>
      </c>
      <c r="HG69" s="3">
        <v>0</v>
      </c>
      <c r="HH69" s="3">
        <v>1</v>
      </c>
      <c r="HI69" s="3">
        <v>0</v>
      </c>
      <c r="HJ69" s="3">
        <v>0</v>
      </c>
      <c r="HK69" s="3">
        <v>1</v>
      </c>
      <c r="HL69" s="3">
        <v>0</v>
      </c>
      <c r="HM69" s="3">
        <v>0</v>
      </c>
      <c r="HN69" s="3">
        <v>0</v>
      </c>
      <c r="HO69" s="3">
        <v>1</v>
      </c>
      <c r="HP69" s="3">
        <v>0</v>
      </c>
      <c r="HQ69" s="3">
        <v>2</v>
      </c>
      <c r="HR69" s="3">
        <v>1</v>
      </c>
      <c r="HS69" s="3">
        <v>1</v>
      </c>
      <c r="HT69" s="3">
        <v>1</v>
      </c>
      <c r="HU69" s="3">
        <v>0</v>
      </c>
      <c r="HV69" s="3">
        <v>1</v>
      </c>
      <c r="HW69" s="3">
        <v>0</v>
      </c>
      <c r="HX69" s="3">
        <v>1</v>
      </c>
      <c r="HY69" s="3">
        <v>0</v>
      </c>
      <c r="HZ69" s="3">
        <v>0</v>
      </c>
      <c r="IA69" s="3">
        <v>0</v>
      </c>
      <c r="IB69" s="3">
        <v>0</v>
      </c>
      <c r="IC69" s="3">
        <v>0</v>
      </c>
      <c r="ID69" s="3">
        <v>0</v>
      </c>
      <c r="IE69" s="3">
        <v>0</v>
      </c>
      <c r="IF69" s="3">
        <v>1</v>
      </c>
      <c r="IG69" s="3">
        <v>0</v>
      </c>
      <c r="IH69" s="3">
        <v>0</v>
      </c>
      <c r="II69" s="3">
        <v>0</v>
      </c>
      <c r="IJ69" s="3">
        <v>0</v>
      </c>
      <c r="IK69" s="3">
        <v>0</v>
      </c>
      <c r="IL69" s="3">
        <v>0</v>
      </c>
      <c r="IM69" s="3">
        <v>0</v>
      </c>
      <c r="IN69" s="3">
        <v>0</v>
      </c>
      <c r="IO69" s="3">
        <v>0</v>
      </c>
      <c r="IP69" s="3">
        <v>0</v>
      </c>
      <c r="IQ69" s="3">
        <v>0</v>
      </c>
      <c r="IR69" s="3" t="s">
        <v>631</v>
      </c>
      <c r="IS69" s="3">
        <v>2</v>
      </c>
      <c r="IT69" s="3">
        <v>2</v>
      </c>
      <c r="IU69" s="3">
        <v>1</v>
      </c>
      <c r="IV69" s="3">
        <v>0</v>
      </c>
      <c r="IW69" s="3">
        <v>0</v>
      </c>
      <c r="IX69" s="3">
        <v>0</v>
      </c>
      <c r="IY69" s="3">
        <v>0</v>
      </c>
      <c r="IZ69" s="2" t="s">
        <v>268</v>
      </c>
      <c r="JA69" s="2" t="s">
        <v>274</v>
      </c>
    </row>
    <row r="70" spans="1:261" ht="13.2" x14ac:dyDescent="0.25">
      <c r="A70" s="10" t="s">
        <v>274</v>
      </c>
      <c r="B70" s="2" t="s">
        <v>632</v>
      </c>
      <c r="C70" s="2" t="s">
        <v>276</v>
      </c>
      <c r="D70" s="2" t="s">
        <v>262</v>
      </c>
      <c r="E70" s="2">
        <v>36</v>
      </c>
      <c r="F70" s="11" t="s">
        <v>633</v>
      </c>
      <c r="G70" s="11" t="s">
        <v>634</v>
      </c>
      <c r="H70" s="2" t="s">
        <v>635</v>
      </c>
      <c r="I70" s="3">
        <v>4</v>
      </c>
      <c r="J70" s="3">
        <v>4</v>
      </c>
      <c r="K70" s="3">
        <v>4</v>
      </c>
      <c r="L70" s="3">
        <v>4</v>
      </c>
      <c r="M70" s="3">
        <v>4</v>
      </c>
      <c r="N70" s="3">
        <v>4</v>
      </c>
      <c r="O70" s="3">
        <v>4</v>
      </c>
      <c r="P70" s="3">
        <v>4</v>
      </c>
      <c r="Q70" s="3">
        <v>4</v>
      </c>
      <c r="R70" s="3">
        <v>2</v>
      </c>
      <c r="S70" s="3">
        <v>3</v>
      </c>
      <c r="T70" s="3">
        <v>3</v>
      </c>
      <c r="U70" s="3">
        <v>3</v>
      </c>
      <c r="V70" s="3">
        <v>4</v>
      </c>
      <c r="W70" s="3">
        <v>3</v>
      </c>
      <c r="X70" s="3">
        <v>3</v>
      </c>
      <c r="Y70" s="3">
        <v>4</v>
      </c>
      <c r="Z70" s="3">
        <v>3</v>
      </c>
      <c r="AA70" s="3">
        <v>4</v>
      </c>
      <c r="AB70" s="3">
        <v>4</v>
      </c>
      <c r="AC70" s="3">
        <v>4</v>
      </c>
      <c r="AD70" s="3">
        <v>4</v>
      </c>
      <c r="AE70" s="3">
        <v>4</v>
      </c>
      <c r="AF70" s="3">
        <v>4</v>
      </c>
      <c r="AG70" s="3">
        <v>3</v>
      </c>
      <c r="AH70" s="3">
        <v>3</v>
      </c>
      <c r="AI70" s="3">
        <v>4</v>
      </c>
      <c r="AJ70" s="3">
        <v>3</v>
      </c>
      <c r="AK70" s="3">
        <v>4</v>
      </c>
      <c r="AL70" s="3">
        <v>3</v>
      </c>
      <c r="AM70" s="3">
        <v>4</v>
      </c>
      <c r="AN70" s="3">
        <v>4</v>
      </c>
      <c r="AO70" s="3">
        <v>4</v>
      </c>
      <c r="AP70" s="3">
        <v>2</v>
      </c>
      <c r="AQ70" s="3">
        <v>3</v>
      </c>
      <c r="AR70" s="3">
        <v>3</v>
      </c>
      <c r="AS70" s="3">
        <v>3</v>
      </c>
      <c r="AT70" s="3">
        <v>3</v>
      </c>
      <c r="AU70" s="3">
        <v>4</v>
      </c>
      <c r="AV70" s="3">
        <v>4</v>
      </c>
      <c r="AW70" s="3">
        <v>4</v>
      </c>
      <c r="AX70" s="3">
        <v>3</v>
      </c>
      <c r="AY70" s="3">
        <v>3</v>
      </c>
      <c r="AZ70" s="3">
        <v>3</v>
      </c>
      <c r="BA70" s="3">
        <v>3</v>
      </c>
      <c r="BB70" s="3">
        <v>4</v>
      </c>
      <c r="BC70" s="3">
        <v>4</v>
      </c>
      <c r="BD70" s="3">
        <v>4</v>
      </c>
      <c r="BE70" s="3">
        <v>4</v>
      </c>
      <c r="BF70" s="3">
        <v>3</v>
      </c>
      <c r="BG70" s="3">
        <v>4</v>
      </c>
      <c r="BH70" s="3">
        <v>4</v>
      </c>
      <c r="BI70" s="3">
        <v>4</v>
      </c>
      <c r="BJ70" s="3">
        <v>3</v>
      </c>
      <c r="BK70" s="3">
        <v>2</v>
      </c>
      <c r="BL70" s="3">
        <v>2</v>
      </c>
      <c r="BM70" s="3" t="s">
        <v>636</v>
      </c>
      <c r="BN70" s="3">
        <v>4</v>
      </c>
      <c r="BO70" s="3">
        <v>4</v>
      </c>
      <c r="BP70" s="3">
        <v>4</v>
      </c>
      <c r="BQ70" s="3">
        <v>4</v>
      </c>
      <c r="BR70" s="3">
        <v>3</v>
      </c>
      <c r="BS70" s="3">
        <v>4</v>
      </c>
      <c r="BT70" s="3">
        <v>3</v>
      </c>
      <c r="BU70" s="2">
        <v>4</v>
      </c>
      <c r="BV70" s="2">
        <v>2</v>
      </c>
      <c r="BW70" s="2">
        <v>4</v>
      </c>
      <c r="BX70" s="2">
        <v>4</v>
      </c>
      <c r="BY70" s="2">
        <v>1</v>
      </c>
      <c r="BZ70" s="2">
        <v>2</v>
      </c>
      <c r="CA70" s="2">
        <v>1</v>
      </c>
      <c r="CB70" s="2">
        <v>4</v>
      </c>
      <c r="CC70" s="2">
        <v>4</v>
      </c>
      <c r="CD70" s="2">
        <v>4</v>
      </c>
      <c r="CE70" s="2">
        <v>1</v>
      </c>
      <c r="CF70" s="2">
        <v>4</v>
      </c>
      <c r="CG70" s="2">
        <v>3</v>
      </c>
      <c r="CH70" s="2">
        <v>3</v>
      </c>
      <c r="CI70" s="2">
        <v>4</v>
      </c>
      <c r="CJ70" s="2">
        <v>4</v>
      </c>
      <c r="CK70" s="2">
        <v>4</v>
      </c>
      <c r="CL70" s="2">
        <v>3</v>
      </c>
      <c r="CM70" s="2">
        <v>3</v>
      </c>
      <c r="CN70" s="2">
        <v>3</v>
      </c>
      <c r="CO70" s="2">
        <v>1</v>
      </c>
      <c r="CP70" s="2">
        <v>1</v>
      </c>
      <c r="CQ70" s="2">
        <v>3</v>
      </c>
      <c r="CR70" s="2">
        <v>4</v>
      </c>
      <c r="CS70" s="2">
        <v>3</v>
      </c>
      <c r="CT70" s="2">
        <v>3</v>
      </c>
      <c r="CU70" s="2">
        <v>2</v>
      </c>
      <c r="CV70" s="2">
        <v>1</v>
      </c>
      <c r="CW70" s="2">
        <v>3</v>
      </c>
      <c r="CX70" s="2">
        <v>1</v>
      </c>
      <c r="CY70" s="2">
        <v>1</v>
      </c>
      <c r="CZ70" s="2">
        <v>1</v>
      </c>
      <c r="DA70" s="2">
        <v>1</v>
      </c>
      <c r="DB70" s="2">
        <v>1</v>
      </c>
      <c r="DC70" s="2">
        <v>0</v>
      </c>
      <c r="DD70" s="2">
        <v>0</v>
      </c>
      <c r="DE70" s="2">
        <v>2</v>
      </c>
      <c r="DF70" s="2">
        <v>4</v>
      </c>
      <c r="DG70" s="2">
        <v>3</v>
      </c>
      <c r="DH70" s="2">
        <v>3</v>
      </c>
      <c r="DI70" s="2">
        <v>3</v>
      </c>
      <c r="DJ70" s="2">
        <v>3</v>
      </c>
      <c r="DK70" s="2">
        <v>1</v>
      </c>
      <c r="DL70" s="2">
        <v>4</v>
      </c>
      <c r="DM70" s="2">
        <v>3</v>
      </c>
      <c r="DN70" s="2">
        <v>1</v>
      </c>
      <c r="DO70" s="2">
        <v>1</v>
      </c>
      <c r="DP70" s="2">
        <v>4</v>
      </c>
      <c r="DQ70" s="2">
        <v>4</v>
      </c>
      <c r="DR70" s="2">
        <v>1</v>
      </c>
      <c r="DS70" s="2">
        <v>4</v>
      </c>
      <c r="DT70" s="2">
        <v>3</v>
      </c>
      <c r="DU70" s="2">
        <v>1</v>
      </c>
      <c r="DV70" s="2">
        <v>1</v>
      </c>
      <c r="DW70" s="2">
        <v>1</v>
      </c>
      <c r="DX70" s="2">
        <v>4</v>
      </c>
      <c r="DY70" s="2">
        <v>4</v>
      </c>
      <c r="DZ70" s="2">
        <v>3</v>
      </c>
      <c r="EA70" s="2">
        <v>1</v>
      </c>
      <c r="EB70" s="2">
        <v>3</v>
      </c>
      <c r="EC70" s="2">
        <v>3</v>
      </c>
      <c r="ED70" s="2">
        <v>0</v>
      </c>
      <c r="EE70" s="2">
        <v>3</v>
      </c>
      <c r="EF70" s="2">
        <v>3</v>
      </c>
      <c r="EG70" s="2">
        <v>0</v>
      </c>
      <c r="EH70" s="2">
        <v>1</v>
      </c>
      <c r="EI70" s="2">
        <v>1</v>
      </c>
      <c r="EJ70" s="2">
        <v>4</v>
      </c>
      <c r="EK70" s="2">
        <v>3</v>
      </c>
      <c r="EL70" s="2">
        <v>4</v>
      </c>
      <c r="EM70" s="2">
        <v>1</v>
      </c>
      <c r="EN70" s="2">
        <v>1</v>
      </c>
      <c r="EO70" s="2">
        <v>3</v>
      </c>
      <c r="EP70" s="2">
        <v>1</v>
      </c>
      <c r="EQ70" s="2">
        <v>4</v>
      </c>
      <c r="ER70" s="2">
        <v>1</v>
      </c>
      <c r="ES70" s="2">
        <v>3</v>
      </c>
      <c r="ET70" s="2">
        <v>1</v>
      </c>
      <c r="EU70" s="2">
        <v>4</v>
      </c>
      <c r="EV70" s="2">
        <v>1</v>
      </c>
      <c r="EW70" s="2">
        <v>1</v>
      </c>
      <c r="EX70" s="2">
        <v>4</v>
      </c>
      <c r="EY70" s="2">
        <v>4</v>
      </c>
      <c r="EZ70" s="2">
        <v>1</v>
      </c>
      <c r="FA70" s="2">
        <v>1</v>
      </c>
      <c r="FB70" s="2">
        <v>1</v>
      </c>
      <c r="FC70" s="2">
        <v>1</v>
      </c>
      <c r="FD70" s="2">
        <v>0</v>
      </c>
      <c r="FE70" s="2">
        <v>0</v>
      </c>
      <c r="FF70" s="2">
        <v>4</v>
      </c>
      <c r="FG70" s="2">
        <v>3</v>
      </c>
      <c r="FH70" s="2">
        <v>1</v>
      </c>
      <c r="FI70" s="2">
        <v>3</v>
      </c>
      <c r="FJ70" s="2">
        <v>1</v>
      </c>
      <c r="FK70" s="2">
        <v>4</v>
      </c>
      <c r="FL70" s="2">
        <v>4</v>
      </c>
      <c r="FM70" s="2">
        <v>3</v>
      </c>
      <c r="FN70" s="2">
        <v>0</v>
      </c>
      <c r="FO70" s="2">
        <v>0</v>
      </c>
      <c r="FP70" s="2">
        <v>1</v>
      </c>
      <c r="FQ70" s="2">
        <v>4</v>
      </c>
      <c r="FR70" s="2">
        <v>4</v>
      </c>
      <c r="FS70" s="2">
        <v>4</v>
      </c>
      <c r="FT70" s="2">
        <v>3</v>
      </c>
      <c r="FU70" s="2">
        <v>0</v>
      </c>
      <c r="FV70" s="2">
        <v>1</v>
      </c>
      <c r="FW70" s="2">
        <v>1</v>
      </c>
      <c r="FX70" s="2">
        <v>2</v>
      </c>
      <c r="FY70" s="2">
        <v>1</v>
      </c>
      <c r="FZ70" s="2">
        <v>1</v>
      </c>
      <c r="GA70" s="2">
        <v>1</v>
      </c>
      <c r="GB70" s="2">
        <v>0</v>
      </c>
      <c r="GC70" s="2" t="s">
        <v>637</v>
      </c>
      <c r="GD70" s="2">
        <v>4</v>
      </c>
      <c r="GE70" s="2">
        <v>4</v>
      </c>
      <c r="GF70" s="2">
        <v>4</v>
      </c>
      <c r="GG70" s="2">
        <v>1</v>
      </c>
      <c r="GH70" s="2">
        <v>4</v>
      </c>
      <c r="GI70" s="2">
        <v>4</v>
      </c>
      <c r="GJ70" s="2">
        <v>3</v>
      </c>
      <c r="GK70" s="2">
        <v>2</v>
      </c>
      <c r="GL70" s="2">
        <v>2</v>
      </c>
      <c r="GM70" s="2">
        <v>1</v>
      </c>
      <c r="GN70" s="3">
        <v>4</v>
      </c>
      <c r="GO70" s="3">
        <v>4</v>
      </c>
      <c r="GP70" s="3">
        <v>4</v>
      </c>
      <c r="GQ70" s="3">
        <v>4</v>
      </c>
      <c r="GR70" s="3">
        <v>4</v>
      </c>
      <c r="GS70" s="3">
        <v>2</v>
      </c>
      <c r="GT70" s="3">
        <v>3</v>
      </c>
      <c r="GU70" s="3">
        <v>0</v>
      </c>
      <c r="GV70" s="3">
        <v>3</v>
      </c>
      <c r="GW70" s="3">
        <v>2</v>
      </c>
      <c r="GX70" s="3">
        <v>2</v>
      </c>
      <c r="GY70" s="3">
        <v>0</v>
      </c>
      <c r="GZ70" s="3">
        <v>1</v>
      </c>
      <c r="HA70" s="3">
        <v>1</v>
      </c>
      <c r="HB70" s="3">
        <v>3</v>
      </c>
      <c r="HC70" s="3">
        <v>0</v>
      </c>
      <c r="HD70" s="3">
        <v>4</v>
      </c>
      <c r="HE70" s="3">
        <v>0</v>
      </c>
      <c r="HF70" s="3">
        <v>1</v>
      </c>
      <c r="HG70" s="3">
        <v>0</v>
      </c>
      <c r="HH70" s="3">
        <v>4</v>
      </c>
      <c r="HI70" s="3">
        <v>0</v>
      </c>
      <c r="HJ70" s="3">
        <v>3</v>
      </c>
      <c r="HK70" s="3">
        <v>4</v>
      </c>
      <c r="HL70" s="3">
        <v>0</v>
      </c>
      <c r="HM70" s="3">
        <v>4</v>
      </c>
      <c r="HN70" s="3">
        <v>0</v>
      </c>
      <c r="HO70" s="3">
        <v>4</v>
      </c>
      <c r="HP70" s="3">
        <v>0</v>
      </c>
      <c r="HQ70" s="3">
        <v>1</v>
      </c>
      <c r="HR70" s="3">
        <v>2</v>
      </c>
      <c r="HS70" s="3">
        <v>1</v>
      </c>
      <c r="HT70" s="3">
        <v>4</v>
      </c>
      <c r="HU70" s="3">
        <v>3</v>
      </c>
      <c r="HV70" s="3">
        <v>4</v>
      </c>
      <c r="HW70" s="3">
        <v>0</v>
      </c>
      <c r="HX70" s="3">
        <v>0</v>
      </c>
      <c r="HY70" s="3">
        <v>0</v>
      </c>
      <c r="HZ70" s="3">
        <v>4</v>
      </c>
      <c r="IA70" s="3">
        <v>4</v>
      </c>
      <c r="IB70" s="3">
        <v>4</v>
      </c>
      <c r="IC70" s="3">
        <v>0</v>
      </c>
      <c r="ID70" s="3">
        <v>4</v>
      </c>
      <c r="IE70" s="3">
        <v>0</v>
      </c>
      <c r="IF70" s="3">
        <v>4</v>
      </c>
      <c r="IG70" s="3">
        <v>1</v>
      </c>
      <c r="IH70" s="3">
        <v>0</v>
      </c>
      <c r="II70" s="3">
        <v>0</v>
      </c>
      <c r="IJ70" s="3">
        <v>3</v>
      </c>
      <c r="IK70" s="3">
        <v>1</v>
      </c>
      <c r="IL70" s="3">
        <v>1</v>
      </c>
      <c r="IM70" s="3">
        <v>1</v>
      </c>
      <c r="IN70" s="3">
        <v>0</v>
      </c>
      <c r="IO70" s="3">
        <v>4</v>
      </c>
      <c r="IP70" s="3">
        <v>2</v>
      </c>
      <c r="IQ70" s="3">
        <v>3</v>
      </c>
      <c r="IR70" s="3" t="s">
        <v>638</v>
      </c>
      <c r="IS70" s="3">
        <v>4</v>
      </c>
      <c r="IT70" s="3">
        <v>3</v>
      </c>
      <c r="IU70" s="3">
        <v>0</v>
      </c>
      <c r="IV70" s="3">
        <v>4</v>
      </c>
      <c r="IW70" s="3">
        <v>4</v>
      </c>
      <c r="IX70" s="3">
        <v>3</v>
      </c>
      <c r="IY70" s="3">
        <v>2</v>
      </c>
      <c r="IZ70" s="2" t="s">
        <v>268</v>
      </c>
      <c r="JA70" s="2" t="s">
        <v>274</v>
      </c>
    </row>
    <row r="71" spans="1:261" ht="13.2" x14ac:dyDescent="0.25">
      <c r="A71" s="10" t="s">
        <v>274</v>
      </c>
      <c r="B71" s="2" t="s">
        <v>639</v>
      </c>
      <c r="C71" s="2" t="s">
        <v>276</v>
      </c>
      <c r="D71" s="2" t="s">
        <v>270</v>
      </c>
      <c r="E71" s="2">
        <v>20</v>
      </c>
      <c r="F71" s="11" t="s">
        <v>640</v>
      </c>
      <c r="G71" s="11" t="s">
        <v>634</v>
      </c>
      <c r="H71" s="2" t="s">
        <v>641</v>
      </c>
      <c r="I71" s="3">
        <v>4</v>
      </c>
      <c r="J71" s="3">
        <v>2</v>
      </c>
      <c r="K71" s="3">
        <v>2</v>
      </c>
      <c r="L71" s="3">
        <v>4</v>
      </c>
      <c r="M71" s="3">
        <v>3</v>
      </c>
      <c r="N71" s="3">
        <v>4</v>
      </c>
      <c r="O71" s="3">
        <v>4</v>
      </c>
      <c r="P71" s="3">
        <v>2</v>
      </c>
      <c r="Q71" s="3">
        <v>3</v>
      </c>
      <c r="R71" s="3">
        <v>1</v>
      </c>
      <c r="S71" s="3">
        <v>1</v>
      </c>
      <c r="T71" s="3">
        <v>0</v>
      </c>
      <c r="U71" s="3">
        <v>0</v>
      </c>
      <c r="V71" s="3">
        <v>2</v>
      </c>
      <c r="W71" s="3">
        <v>2</v>
      </c>
      <c r="X71" s="3">
        <v>2</v>
      </c>
      <c r="Y71" s="3">
        <v>3</v>
      </c>
      <c r="Z71" s="3">
        <v>3</v>
      </c>
      <c r="AA71" s="3">
        <v>4</v>
      </c>
      <c r="AB71" s="3">
        <v>3</v>
      </c>
      <c r="AC71" s="3">
        <v>3</v>
      </c>
      <c r="AD71" s="3">
        <v>4</v>
      </c>
      <c r="AE71" s="3">
        <v>4</v>
      </c>
      <c r="AF71" s="3">
        <v>0</v>
      </c>
      <c r="AG71" s="3">
        <v>0</v>
      </c>
      <c r="AH71" s="3">
        <v>0</v>
      </c>
      <c r="AI71" s="3">
        <v>3</v>
      </c>
      <c r="AJ71" s="3">
        <v>4</v>
      </c>
      <c r="AK71" s="3">
        <v>3</v>
      </c>
      <c r="AL71" s="3">
        <v>4</v>
      </c>
      <c r="AM71" s="3">
        <v>1</v>
      </c>
      <c r="AN71" s="3">
        <v>0</v>
      </c>
      <c r="AO71" s="3">
        <v>3</v>
      </c>
      <c r="AP71" s="3">
        <v>3</v>
      </c>
      <c r="AQ71" s="3">
        <v>0</v>
      </c>
      <c r="AR71" s="3">
        <v>2</v>
      </c>
      <c r="AS71" s="3">
        <v>1</v>
      </c>
      <c r="AT71" s="3">
        <v>0</v>
      </c>
      <c r="AU71" s="3">
        <v>3</v>
      </c>
      <c r="AV71" s="3">
        <v>2</v>
      </c>
      <c r="AW71" s="3">
        <v>4</v>
      </c>
      <c r="AX71" s="3">
        <v>1</v>
      </c>
      <c r="AY71" s="3">
        <v>3</v>
      </c>
      <c r="AZ71" s="3">
        <v>4</v>
      </c>
      <c r="BA71" s="3">
        <v>2</v>
      </c>
      <c r="BB71" s="3">
        <v>2</v>
      </c>
      <c r="BC71" s="3">
        <v>0</v>
      </c>
      <c r="BD71" s="3">
        <v>2</v>
      </c>
      <c r="BE71" s="3">
        <v>4</v>
      </c>
      <c r="BF71" s="3">
        <v>2</v>
      </c>
      <c r="BG71" s="3">
        <v>3</v>
      </c>
      <c r="BH71" s="3">
        <v>3</v>
      </c>
      <c r="BI71" s="3">
        <v>4</v>
      </c>
      <c r="BJ71" s="3">
        <v>3</v>
      </c>
      <c r="BK71" s="3">
        <v>2</v>
      </c>
      <c r="BL71" s="3">
        <v>2</v>
      </c>
      <c r="BM71" s="3" t="s">
        <v>642</v>
      </c>
      <c r="BN71" s="3">
        <v>3</v>
      </c>
      <c r="BO71" s="3">
        <v>4</v>
      </c>
      <c r="BP71" s="3">
        <v>3</v>
      </c>
      <c r="BQ71" s="3">
        <v>3</v>
      </c>
      <c r="BR71" s="3">
        <v>4</v>
      </c>
      <c r="BS71" s="3">
        <v>4</v>
      </c>
      <c r="BT71" s="3">
        <v>3</v>
      </c>
      <c r="BU71" s="2">
        <v>2</v>
      </c>
      <c r="BV71" s="2">
        <v>1</v>
      </c>
      <c r="BW71" s="2">
        <v>3</v>
      </c>
      <c r="BX71" s="2">
        <v>1</v>
      </c>
      <c r="BY71" s="2">
        <v>1</v>
      </c>
      <c r="BZ71" s="2">
        <v>0</v>
      </c>
      <c r="CA71" s="2">
        <v>0</v>
      </c>
      <c r="CB71" s="2">
        <v>2</v>
      </c>
      <c r="CC71" s="2">
        <v>2</v>
      </c>
      <c r="CD71" s="2">
        <v>2</v>
      </c>
      <c r="CE71" s="2">
        <v>0</v>
      </c>
      <c r="CF71" s="2">
        <v>2</v>
      </c>
      <c r="CG71" s="2">
        <v>1</v>
      </c>
      <c r="CH71" s="2">
        <v>0</v>
      </c>
      <c r="CI71" s="2">
        <v>2</v>
      </c>
      <c r="CJ71" s="2">
        <v>2</v>
      </c>
      <c r="CK71" s="2">
        <v>2</v>
      </c>
      <c r="CL71" s="2">
        <v>3</v>
      </c>
      <c r="CM71" s="2">
        <v>3</v>
      </c>
      <c r="CN71" s="2">
        <v>0</v>
      </c>
      <c r="CO71" s="2">
        <v>0</v>
      </c>
      <c r="CP71" s="2">
        <v>0</v>
      </c>
      <c r="CQ71" s="2">
        <v>4</v>
      </c>
      <c r="CR71" s="2">
        <v>2</v>
      </c>
      <c r="CS71" s="2">
        <v>2</v>
      </c>
      <c r="CT71" s="2">
        <v>2</v>
      </c>
      <c r="CU71" s="2">
        <v>0</v>
      </c>
      <c r="CV71" s="2">
        <v>1</v>
      </c>
      <c r="CW71" s="2">
        <v>2</v>
      </c>
      <c r="CX71" s="2">
        <v>0</v>
      </c>
      <c r="CY71" s="2">
        <v>0</v>
      </c>
      <c r="CZ71" s="2">
        <v>1</v>
      </c>
      <c r="DA71" s="2">
        <v>0</v>
      </c>
      <c r="DB71" s="2">
        <v>0</v>
      </c>
      <c r="DC71" s="2">
        <v>0</v>
      </c>
      <c r="DD71" s="2">
        <v>0</v>
      </c>
      <c r="DE71" s="2">
        <v>3</v>
      </c>
      <c r="DF71" s="2">
        <v>3</v>
      </c>
      <c r="DG71" s="2">
        <v>1</v>
      </c>
      <c r="DH71" s="2">
        <v>4</v>
      </c>
      <c r="DI71" s="2">
        <v>3</v>
      </c>
      <c r="DJ71" s="2">
        <v>1</v>
      </c>
      <c r="DK71" s="2">
        <v>1</v>
      </c>
      <c r="DL71" s="2">
        <v>4</v>
      </c>
      <c r="DM71" s="2">
        <v>4</v>
      </c>
      <c r="DN71" s="2">
        <v>1</v>
      </c>
      <c r="DO71" s="2">
        <v>2</v>
      </c>
      <c r="DP71" s="2">
        <v>4</v>
      </c>
      <c r="DQ71" s="2">
        <v>4</v>
      </c>
      <c r="DR71" s="2">
        <v>2</v>
      </c>
      <c r="DS71" s="2">
        <v>4</v>
      </c>
      <c r="DT71" s="2">
        <v>4</v>
      </c>
      <c r="DU71" s="2">
        <v>1</v>
      </c>
      <c r="DV71" s="2">
        <v>1</v>
      </c>
      <c r="DW71" s="2">
        <v>4</v>
      </c>
      <c r="DX71" s="2">
        <v>4</v>
      </c>
      <c r="DY71" s="2">
        <v>4</v>
      </c>
      <c r="DZ71" s="2">
        <v>2</v>
      </c>
      <c r="EA71" s="2">
        <v>2</v>
      </c>
      <c r="EB71" s="2">
        <v>0</v>
      </c>
      <c r="EC71" s="2">
        <v>0</v>
      </c>
      <c r="ED71" s="2">
        <v>0</v>
      </c>
      <c r="EE71" s="2">
        <v>0</v>
      </c>
      <c r="EF71" s="2">
        <v>0</v>
      </c>
      <c r="EG71" s="2">
        <v>0</v>
      </c>
      <c r="EH71" s="2">
        <v>0</v>
      </c>
      <c r="EI71" s="2">
        <v>4</v>
      </c>
      <c r="EJ71" s="2">
        <v>4</v>
      </c>
      <c r="EK71" s="2">
        <v>3</v>
      </c>
      <c r="EL71" s="2">
        <v>2</v>
      </c>
      <c r="EM71" s="2">
        <v>3</v>
      </c>
      <c r="EN71" s="2">
        <v>0</v>
      </c>
      <c r="EO71" s="2">
        <v>0</v>
      </c>
      <c r="EP71" s="2">
        <v>2</v>
      </c>
      <c r="EQ71" s="2">
        <v>0</v>
      </c>
      <c r="ER71" s="2">
        <v>0</v>
      </c>
      <c r="ES71" s="2">
        <v>0</v>
      </c>
      <c r="ET71" s="2">
        <v>0</v>
      </c>
      <c r="EU71" s="2">
        <v>2</v>
      </c>
      <c r="EV71" s="2">
        <v>2</v>
      </c>
      <c r="EW71" s="2">
        <v>4</v>
      </c>
      <c r="EX71" s="2">
        <v>4</v>
      </c>
      <c r="EY71" s="2">
        <v>2</v>
      </c>
      <c r="EZ71" s="2">
        <v>1</v>
      </c>
      <c r="FA71" s="2">
        <v>2</v>
      </c>
      <c r="FB71" s="2">
        <v>0</v>
      </c>
      <c r="FC71" s="2">
        <v>0</v>
      </c>
      <c r="FD71" s="2">
        <v>0</v>
      </c>
      <c r="FE71" s="2">
        <v>3</v>
      </c>
      <c r="FF71" s="2">
        <v>3</v>
      </c>
      <c r="FG71" s="2">
        <v>3</v>
      </c>
      <c r="FH71" s="2">
        <v>0</v>
      </c>
      <c r="FI71" s="2">
        <v>3</v>
      </c>
      <c r="FJ71" s="2">
        <v>0</v>
      </c>
      <c r="FK71" s="2">
        <v>2</v>
      </c>
      <c r="FL71" s="2">
        <v>3</v>
      </c>
      <c r="FM71" s="2">
        <v>2</v>
      </c>
      <c r="FN71" s="2">
        <v>0</v>
      </c>
      <c r="FO71" s="2">
        <v>0</v>
      </c>
      <c r="FP71" s="2">
        <v>2</v>
      </c>
      <c r="FQ71" s="2">
        <v>2</v>
      </c>
      <c r="FR71" s="2">
        <v>3</v>
      </c>
      <c r="FS71" s="2">
        <v>0</v>
      </c>
      <c r="FT71" s="2">
        <v>0</v>
      </c>
      <c r="FU71" s="2">
        <v>3</v>
      </c>
      <c r="FV71" s="2">
        <v>2</v>
      </c>
      <c r="FW71" s="2">
        <v>4</v>
      </c>
      <c r="FX71" s="2">
        <v>4</v>
      </c>
      <c r="FY71" s="2">
        <v>4</v>
      </c>
      <c r="FZ71" s="2">
        <v>1</v>
      </c>
      <c r="GA71" s="2">
        <v>0</v>
      </c>
      <c r="GB71" s="2">
        <v>3</v>
      </c>
      <c r="GC71" s="2" t="s">
        <v>274</v>
      </c>
      <c r="GD71" s="2">
        <v>3</v>
      </c>
      <c r="GE71" s="2">
        <v>2</v>
      </c>
      <c r="GF71" s="2">
        <v>2</v>
      </c>
      <c r="GG71" s="2">
        <v>3</v>
      </c>
      <c r="GH71" s="2">
        <v>4</v>
      </c>
      <c r="GI71" s="2">
        <v>4</v>
      </c>
      <c r="GJ71" s="2">
        <v>3</v>
      </c>
      <c r="GK71" s="2">
        <v>0</v>
      </c>
      <c r="GL71" s="2">
        <v>0</v>
      </c>
      <c r="GM71" s="2">
        <v>3</v>
      </c>
      <c r="GN71" s="3">
        <v>4</v>
      </c>
      <c r="GO71" s="3">
        <v>4</v>
      </c>
      <c r="GP71" s="3">
        <v>3</v>
      </c>
      <c r="GQ71" s="3">
        <v>1</v>
      </c>
      <c r="GR71" s="3">
        <v>1</v>
      </c>
      <c r="GS71" s="3">
        <v>2</v>
      </c>
      <c r="GT71" s="3">
        <v>2</v>
      </c>
      <c r="GU71" s="3">
        <v>3</v>
      </c>
      <c r="GV71" s="3">
        <v>3</v>
      </c>
      <c r="GW71" s="3">
        <v>1</v>
      </c>
      <c r="GX71" s="3">
        <v>0</v>
      </c>
      <c r="GY71" s="3">
        <v>3</v>
      </c>
      <c r="GZ71" s="3">
        <v>3</v>
      </c>
      <c r="HA71" s="3">
        <v>1</v>
      </c>
      <c r="HB71" s="3">
        <v>0</v>
      </c>
      <c r="HC71" s="3">
        <v>2</v>
      </c>
      <c r="HD71" s="3">
        <v>2</v>
      </c>
      <c r="HE71" s="3">
        <v>0</v>
      </c>
      <c r="HF71" s="3">
        <v>0</v>
      </c>
      <c r="HG71" s="3">
        <v>0</v>
      </c>
      <c r="HH71" s="3">
        <v>3</v>
      </c>
      <c r="HI71" s="3">
        <v>0</v>
      </c>
      <c r="HJ71" s="3">
        <v>3</v>
      </c>
      <c r="HK71" s="3">
        <v>4</v>
      </c>
      <c r="HL71" s="3">
        <v>2</v>
      </c>
      <c r="HM71" s="3">
        <v>4</v>
      </c>
      <c r="HN71" s="3">
        <v>3</v>
      </c>
      <c r="HO71" s="3">
        <v>3</v>
      </c>
      <c r="HP71" s="3">
        <v>3</v>
      </c>
      <c r="HQ71" s="3">
        <v>3</v>
      </c>
      <c r="HR71" s="3">
        <v>0</v>
      </c>
      <c r="HS71" s="3">
        <v>0</v>
      </c>
      <c r="HT71" s="3">
        <v>0</v>
      </c>
      <c r="HU71" s="3">
        <v>0</v>
      </c>
      <c r="HV71" s="3">
        <v>4</v>
      </c>
      <c r="HW71" s="3">
        <v>3</v>
      </c>
      <c r="HX71" s="3">
        <v>1</v>
      </c>
      <c r="HY71" s="3">
        <v>0</v>
      </c>
      <c r="HZ71" s="3">
        <v>0</v>
      </c>
      <c r="IA71" s="3">
        <v>3</v>
      </c>
      <c r="IB71" s="3">
        <v>4</v>
      </c>
      <c r="IC71" s="3">
        <v>0</v>
      </c>
      <c r="ID71" s="3">
        <v>1</v>
      </c>
      <c r="IE71" s="3">
        <v>0</v>
      </c>
      <c r="IF71" s="3">
        <v>0</v>
      </c>
      <c r="IG71" s="3">
        <v>0</v>
      </c>
      <c r="IH71" s="3">
        <v>0</v>
      </c>
      <c r="II71" s="3">
        <v>0</v>
      </c>
      <c r="IJ71" s="3">
        <v>3</v>
      </c>
      <c r="IK71" s="3">
        <v>3</v>
      </c>
      <c r="IL71" s="3">
        <v>4</v>
      </c>
      <c r="IM71" s="3">
        <v>2</v>
      </c>
      <c r="IN71" s="3">
        <v>0</v>
      </c>
      <c r="IO71" s="3">
        <v>0</v>
      </c>
      <c r="IP71" s="3">
        <v>2</v>
      </c>
      <c r="IQ71" s="3">
        <v>1</v>
      </c>
      <c r="IR71" s="3" t="s">
        <v>274</v>
      </c>
      <c r="IS71" s="3">
        <v>2</v>
      </c>
      <c r="IT71" s="3">
        <v>4</v>
      </c>
      <c r="IU71" s="3">
        <v>3</v>
      </c>
      <c r="IV71" s="3">
        <v>3</v>
      </c>
      <c r="IW71" s="3">
        <v>3</v>
      </c>
      <c r="IX71" s="3">
        <v>3</v>
      </c>
      <c r="IY71" s="3">
        <v>3</v>
      </c>
      <c r="IZ71" s="2" t="s">
        <v>268</v>
      </c>
      <c r="JA71" s="2" t="s">
        <v>274</v>
      </c>
    </row>
    <row r="72" spans="1:261" ht="13.2" x14ac:dyDescent="0.25">
      <c r="A72" s="10" t="s">
        <v>274</v>
      </c>
      <c r="B72" s="2" t="s">
        <v>643</v>
      </c>
      <c r="C72" s="2" t="s">
        <v>276</v>
      </c>
      <c r="D72" s="2" t="s">
        <v>262</v>
      </c>
      <c r="E72" s="2">
        <v>35</v>
      </c>
      <c r="F72" s="11" t="s">
        <v>644</v>
      </c>
      <c r="G72" s="11" t="s">
        <v>645</v>
      </c>
      <c r="H72" s="2" t="s">
        <v>646</v>
      </c>
      <c r="I72" s="3">
        <v>1</v>
      </c>
      <c r="J72" s="3">
        <v>2</v>
      </c>
      <c r="K72" s="3">
        <v>3</v>
      </c>
      <c r="L72" s="3">
        <v>4</v>
      </c>
      <c r="M72" s="3">
        <v>3</v>
      </c>
      <c r="N72" s="3">
        <v>2</v>
      </c>
      <c r="O72" s="3">
        <v>3</v>
      </c>
      <c r="P72" s="3">
        <v>2</v>
      </c>
      <c r="Q72" s="3">
        <v>2</v>
      </c>
      <c r="R72" s="3">
        <v>0</v>
      </c>
      <c r="S72" s="3">
        <v>1</v>
      </c>
      <c r="T72" s="3">
        <v>2</v>
      </c>
      <c r="U72" s="3">
        <v>1</v>
      </c>
      <c r="V72" s="3">
        <v>1</v>
      </c>
      <c r="W72" s="3">
        <v>1</v>
      </c>
      <c r="X72" s="3">
        <v>1</v>
      </c>
      <c r="Y72" s="3">
        <v>3</v>
      </c>
      <c r="Z72" s="3">
        <v>3</v>
      </c>
      <c r="AA72" s="3">
        <v>3</v>
      </c>
      <c r="AB72" s="3">
        <v>2</v>
      </c>
      <c r="AC72" s="3">
        <v>2</v>
      </c>
      <c r="AD72" s="3">
        <v>3</v>
      </c>
      <c r="AE72" s="3">
        <v>4</v>
      </c>
      <c r="AF72" s="3">
        <v>1</v>
      </c>
      <c r="AG72" s="3">
        <v>1</v>
      </c>
      <c r="AH72" s="3">
        <v>1</v>
      </c>
      <c r="AI72" s="3">
        <v>4</v>
      </c>
      <c r="AJ72" s="3">
        <v>4</v>
      </c>
      <c r="AK72" s="3">
        <v>4</v>
      </c>
      <c r="AL72" s="3">
        <v>4</v>
      </c>
      <c r="AM72" s="3">
        <v>1</v>
      </c>
      <c r="AN72" s="3">
        <v>1</v>
      </c>
      <c r="AO72" s="3">
        <v>3</v>
      </c>
      <c r="AP72" s="3">
        <v>0</v>
      </c>
      <c r="AQ72" s="3">
        <v>1</v>
      </c>
      <c r="AR72" s="3">
        <v>0</v>
      </c>
      <c r="AS72" s="3">
        <v>1</v>
      </c>
      <c r="AT72" s="3">
        <v>0</v>
      </c>
      <c r="AU72" s="3">
        <v>2</v>
      </c>
      <c r="AV72" s="3">
        <v>2</v>
      </c>
      <c r="AW72" s="3">
        <v>2</v>
      </c>
      <c r="AX72" s="3">
        <v>1</v>
      </c>
      <c r="AY72" s="3">
        <v>1</v>
      </c>
      <c r="AZ72" s="3">
        <v>1</v>
      </c>
      <c r="BA72" s="3">
        <v>0</v>
      </c>
      <c r="BB72" s="3">
        <v>2</v>
      </c>
      <c r="BC72" s="3">
        <v>0</v>
      </c>
      <c r="BD72" s="3">
        <v>2</v>
      </c>
      <c r="BE72" s="3">
        <v>1</v>
      </c>
      <c r="BF72" s="3">
        <v>0</v>
      </c>
      <c r="BG72" s="3">
        <v>1</v>
      </c>
      <c r="BH72" s="3">
        <v>1</v>
      </c>
      <c r="BI72" s="3">
        <v>0</v>
      </c>
      <c r="BJ72" s="3">
        <v>0</v>
      </c>
      <c r="BK72" s="3">
        <v>0</v>
      </c>
      <c r="BL72" s="3">
        <v>0</v>
      </c>
      <c r="BM72" s="3" t="s">
        <v>274</v>
      </c>
      <c r="BN72" s="3">
        <v>1</v>
      </c>
      <c r="BO72" s="3">
        <v>2</v>
      </c>
      <c r="BP72" s="3">
        <v>1</v>
      </c>
      <c r="BQ72" s="3">
        <v>1</v>
      </c>
      <c r="BR72" s="3">
        <v>0</v>
      </c>
      <c r="BS72" s="3">
        <v>2</v>
      </c>
      <c r="BT72" s="3">
        <v>0</v>
      </c>
      <c r="BU72" s="2">
        <v>0</v>
      </c>
      <c r="BV72" s="2">
        <v>0</v>
      </c>
      <c r="BW72" s="2">
        <v>1</v>
      </c>
      <c r="BX72" s="2">
        <v>0</v>
      </c>
      <c r="BY72" s="2">
        <v>0</v>
      </c>
      <c r="BZ72" s="2">
        <v>1</v>
      </c>
      <c r="CA72" s="2">
        <v>0</v>
      </c>
      <c r="CB72" s="2">
        <v>1</v>
      </c>
      <c r="CC72" s="2">
        <v>0</v>
      </c>
      <c r="CD72" s="2">
        <v>0</v>
      </c>
      <c r="CE72" s="2">
        <v>0</v>
      </c>
      <c r="CF72" s="2">
        <v>4</v>
      </c>
      <c r="CG72" s="2">
        <v>0</v>
      </c>
      <c r="CH72" s="2">
        <v>0</v>
      </c>
      <c r="CI72" s="2">
        <v>0</v>
      </c>
      <c r="CJ72" s="2">
        <v>0</v>
      </c>
      <c r="CK72" s="2">
        <v>0</v>
      </c>
      <c r="CL72" s="2">
        <v>1</v>
      </c>
      <c r="CM72" s="2">
        <v>3</v>
      </c>
      <c r="CN72" s="2">
        <v>0</v>
      </c>
      <c r="CO72" s="2">
        <v>0</v>
      </c>
      <c r="CP72" s="2">
        <v>0</v>
      </c>
      <c r="CQ72" s="2">
        <v>1</v>
      </c>
      <c r="CR72" s="2">
        <v>0</v>
      </c>
      <c r="CS72" s="2">
        <v>0</v>
      </c>
      <c r="CT72" s="2">
        <v>1</v>
      </c>
      <c r="CU72" s="2">
        <v>0</v>
      </c>
      <c r="CV72" s="2">
        <v>0</v>
      </c>
      <c r="CW72" s="2">
        <v>1</v>
      </c>
      <c r="CX72" s="2">
        <v>0</v>
      </c>
      <c r="CY72" s="2">
        <v>0</v>
      </c>
      <c r="CZ72" s="2">
        <v>1</v>
      </c>
      <c r="DA72" s="2">
        <v>3</v>
      </c>
      <c r="DB72" s="2">
        <v>0</v>
      </c>
      <c r="DC72" s="2">
        <v>0</v>
      </c>
      <c r="DD72" s="2">
        <v>0</v>
      </c>
      <c r="DE72" s="2">
        <v>2</v>
      </c>
      <c r="DF72" s="2">
        <v>2</v>
      </c>
      <c r="DG72" s="2">
        <v>0</v>
      </c>
      <c r="DH72" s="2">
        <v>3</v>
      </c>
      <c r="DI72" s="2">
        <v>0</v>
      </c>
      <c r="DJ72" s="2">
        <v>0</v>
      </c>
      <c r="DK72" s="2">
        <v>0</v>
      </c>
      <c r="DL72" s="2">
        <v>2</v>
      </c>
      <c r="DM72" s="2">
        <v>0</v>
      </c>
      <c r="DN72" s="2">
        <v>0</v>
      </c>
      <c r="DO72" s="2">
        <v>0</v>
      </c>
      <c r="DP72" s="2">
        <v>2</v>
      </c>
      <c r="DQ72" s="2">
        <v>1</v>
      </c>
      <c r="DR72" s="2">
        <v>0</v>
      </c>
      <c r="DS72" s="2">
        <v>3</v>
      </c>
      <c r="DT72" s="2">
        <v>0</v>
      </c>
      <c r="DU72" s="2">
        <v>0</v>
      </c>
      <c r="DV72" s="2">
        <v>0</v>
      </c>
      <c r="DW72" s="2">
        <v>0</v>
      </c>
      <c r="DX72" s="2">
        <v>2</v>
      </c>
      <c r="DY72" s="2">
        <v>3</v>
      </c>
      <c r="DZ72" s="2">
        <v>0</v>
      </c>
      <c r="EA72" s="2">
        <v>0</v>
      </c>
      <c r="EB72" s="2">
        <v>0</v>
      </c>
      <c r="EC72" s="2">
        <v>1</v>
      </c>
      <c r="ED72" s="2">
        <v>0</v>
      </c>
      <c r="EE72" s="2">
        <v>1</v>
      </c>
      <c r="EF72" s="2">
        <v>0</v>
      </c>
      <c r="EG72" s="2">
        <v>0</v>
      </c>
      <c r="EH72" s="2">
        <v>0</v>
      </c>
      <c r="EI72" s="2">
        <v>1</v>
      </c>
      <c r="EJ72" s="2">
        <v>1</v>
      </c>
      <c r="EK72" s="2">
        <v>2</v>
      </c>
      <c r="EL72" s="2">
        <v>0</v>
      </c>
      <c r="EM72" s="2">
        <v>0</v>
      </c>
      <c r="EN72" s="2">
        <v>0</v>
      </c>
      <c r="EO72" s="2">
        <v>0</v>
      </c>
      <c r="EP72" s="2">
        <v>0</v>
      </c>
      <c r="EQ72" s="2">
        <v>0</v>
      </c>
      <c r="ER72" s="2">
        <v>0</v>
      </c>
      <c r="ES72" s="2">
        <v>0</v>
      </c>
      <c r="ET72" s="2">
        <v>0</v>
      </c>
      <c r="EU72" s="2">
        <v>0</v>
      </c>
      <c r="EV72" s="2">
        <v>2</v>
      </c>
      <c r="EW72" s="2">
        <v>0</v>
      </c>
      <c r="EX72" s="2">
        <v>2</v>
      </c>
      <c r="EY72" s="2">
        <v>0</v>
      </c>
      <c r="EZ72" s="2">
        <v>0</v>
      </c>
      <c r="FA72" s="2">
        <v>0</v>
      </c>
      <c r="FB72" s="2">
        <v>0</v>
      </c>
      <c r="FC72" s="2">
        <v>0</v>
      </c>
      <c r="FD72" s="2">
        <v>1</v>
      </c>
      <c r="FE72" s="2">
        <v>0</v>
      </c>
      <c r="FF72" s="2">
        <v>0</v>
      </c>
      <c r="FG72" s="2">
        <v>1</v>
      </c>
      <c r="FH72" s="2">
        <v>0</v>
      </c>
      <c r="FI72" s="2">
        <v>0</v>
      </c>
      <c r="FJ72" s="2">
        <v>0</v>
      </c>
      <c r="FK72" s="2">
        <v>1</v>
      </c>
      <c r="FL72" s="2">
        <v>2</v>
      </c>
      <c r="FM72" s="2">
        <v>0</v>
      </c>
      <c r="FN72" s="2">
        <v>0</v>
      </c>
      <c r="FO72" s="2">
        <v>0</v>
      </c>
      <c r="FP72" s="2">
        <v>0</v>
      </c>
      <c r="FQ72" s="2">
        <v>1</v>
      </c>
      <c r="FR72" s="2">
        <v>2</v>
      </c>
      <c r="FS72" s="2">
        <v>0</v>
      </c>
      <c r="FT72" s="2">
        <v>0</v>
      </c>
      <c r="FU72" s="2">
        <v>0</v>
      </c>
      <c r="FV72" s="2">
        <v>0</v>
      </c>
      <c r="FW72" s="2">
        <v>1</v>
      </c>
      <c r="FX72" s="2">
        <v>2</v>
      </c>
      <c r="FY72" s="2">
        <v>0</v>
      </c>
      <c r="FZ72" s="2">
        <v>0</v>
      </c>
      <c r="GA72" s="2">
        <v>0</v>
      </c>
      <c r="GB72" s="2">
        <v>0</v>
      </c>
      <c r="GC72" s="2" t="s">
        <v>274</v>
      </c>
      <c r="GD72" s="2">
        <v>1</v>
      </c>
      <c r="GE72" s="2">
        <v>0</v>
      </c>
      <c r="GF72" s="2">
        <v>2</v>
      </c>
      <c r="GG72" s="2">
        <v>1</v>
      </c>
      <c r="GH72" s="2">
        <v>1</v>
      </c>
      <c r="GI72" s="2">
        <v>1</v>
      </c>
      <c r="GJ72" s="2">
        <v>0</v>
      </c>
      <c r="GK72" s="2">
        <v>0</v>
      </c>
      <c r="GL72" s="2">
        <v>0</v>
      </c>
      <c r="GM72" s="2">
        <v>0</v>
      </c>
      <c r="GN72" s="3">
        <v>2</v>
      </c>
      <c r="GO72" s="3">
        <v>1</v>
      </c>
      <c r="GP72" s="3">
        <v>0</v>
      </c>
      <c r="GQ72" s="3">
        <v>2</v>
      </c>
      <c r="GR72" s="3">
        <v>0</v>
      </c>
      <c r="GS72" s="3">
        <v>0</v>
      </c>
      <c r="GT72" s="3">
        <v>3</v>
      </c>
      <c r="GU72" s="3">
        <v>2</v>
      </c>
      <c r="GV72" s="3">
        <v>1</v>
      </c>
      <c r="GW72" s="3">
        <v>0</v>
      </c>
      <c r="GX72" s="3">
        <v>0</v>
      </c>
      <c r="GY72" s="3">
        <v>2</v>
      </c>
      <c r="GZ72" s="3">
        <v>1</v>
      </c>
      <c r="HA72" s="3">
        <v>0</v>
      </c>
      <c r="HB72" s="3">
        <v>0</v>
      </c>
      <c r="HC72" s="3">
        <v>2</v>
      </c>
      <c r="HD72" s="3">
        <v>0</v>
      </c>
      <c r="HE72" s="3">
        <v>1</v>
      </c>
      <c r="HF72" s="3">
        <v>2</v>
      </c>
      <c r="HG72" s="3">
        <v>0</v>
      </c>
      <c r="HH72" s="3">
        <v>1</v>
      </c>
      <c r="HI72" s="3">
        <v>1</v>
      </c>
      <c r="HJ72" s="3">
        <v>0</v>
      </c>
      <c r="HK72" s="3">
        <v>2</v>
      </c>
      <c r="HL72" s="3">
        <v>1</v>
      </c>
      <c r="HM72" s="3">
        <v>0</v>
      </c>
      <c r="HN72" s="3">
        <v>0</v>
      </c>
      <c r="HO72" s="3">
        <v>1</v>
      </c>
      <c r="HP72" s="3">
        <v>0</v>
      </c>
      <c r="HQ72" s="3">
        <v>1</v>
      </c>
      <c r="HR72" s="3">
        <v>0</v>
      </c>
      <c r="HS72" s="3">
        <v>1</v>
      </c>
      <c r="HT72" s="3">
        <v>1</v>
      </c>
      <c r="HU72" s="3">
        <v>0</v>
      </c>
      <c r="HV72" s="3">
        <v>0</v>
      </c>
      <c r="HW72" s="3">
        <v>1</v>
      </c>
      <c r="HX72" s="3">
        <v>0</v>
      </c>
      <c r="HY72" s="3">
        <v>0</v>
      </c>
      <c r="HZ72" s="3">
        <v>0</v>
      </c>
      <c r="IA72" s="3">
        <v>2</v>
      </c>
      <c r="IB72" s="3">
        <v>1</v>
      </c>
      <c r="IC72" s="3">
        <v>0</v>
      </c>
      <c r="ID72" s="3">
        <v>2</v>
      </c>
      <c r="IE72" s="3">
        <v>0</v>
      </c>
      <c r="IF72" s="3">
        <v>1</v>
      </c>
      <c r="IG72" s="3">
        <v>0</v>
      </c>
      <c r="IH72" s="3">
        <v>0</v>
      </c>
      <c r="II72" s="3">
        <v>1</v>
      </c>
      <c r="IJ72" s="3">
        <v>2</v>
      </c>
      <c r="IK72" s="3">
        <v>0</v>
      </c>
      <c r="IL72" s="3">
        <v>0</v>
      </c>
      <c r="IM72" s="3">
        <v>0</v>
      </c>
      <c r="IN72" s="3">
        <v>0</v>
      </c>
      <c r="IO72" s="3">
        <v>0</v>
      </c>
      <c r="IP72" s="3">
        <v>0</v>
      </c>
      <c r="IQ72" s="3">
        <v>0</v>
      </c>
      <c r="IR72" s="3" t="s">
        <v>274</v>
      </c>
      <c r="IS72" s="3">
        <v>0</v>
      </c>
      <c r="IT72" s="3">
        <v>3</v>
      </c>
      <c r="IU72" s="3">
        <v>2</v>
      </c>
      <c r="IV72" s="3">
        <v>1</v>
      </c>
      <c r="IW72" s="3">
        <v>0</v>
      </c>
      <c r="IX72" s="3">
        <v>0</v>
      </c>
      <c r="IY72" s="3">
        <v>0</v>
      </c>
      <c r="IZ72" s="2" t="s">
        <v>268</v>
      </c>
      <c r="JA72" s="2" t="s">
        <v>274</v>
      </c>
    </row>
    <row r="73" spans="1:261" ht="13.2" x14ac:dyDescent="0.25">
      <c r="A73" s="10" t="s">
        <v>274</v>
      </c>
      <c r="B73" s="2" t="s">
        <v>647</v>
      </c>
      <c r="C73" s="2" t="s">
        <v>276</v>
      </c>
      <c r="D73" s="2" t="s">
        <v>262</v>
      </c>
      <c r="E73" s="2">
        <v>31</v>
      </c>
      <c r="F73" s="11" t="s">
        <v>648</v>
      </c>
      <c r="G73" s="11" t="s">
        <v>649</v>
      </c>
      <c r="H73" s="2" t="s">
        <v>650</v>
      </c>
      <c r="I73" s="3">
        <v>3</v>
      </c>
      <c r="J73" s="3">
        <v>1</v>
      </c>
      <c r="K73" s="3">
        <v>3</v>
      </c>
      <c r="L73" s="3">
        <v>0</v>
      </c>
      <c r="M73" s="3">
        <v>0</v>
      </c>
      <c r="N73" s="3">
        <v>3</v>
      </c>
      <c r="O73" s="3">
        <v>3</v>
      </c>
      <c r="P73" s="3">
        <v>0</v>
      </c>
      <c r="Q73" s="3">
        <v>0</v>
      </c>
      <c r="R73" s="3">
        <v>0</v>
      </c>
      <c r="S73" s="3">
        <v>0</v>
      </c>
      <c r="T73" s="3">
        <v>0</v>
      </c>
      <c r="U73" s="3">
        <v>0</v>
      </c>
      <c r="V73" s="3">
        <v>0</v>
      </c>
      <c r="W73" s="3">
        <v>0</v>
      </c>
      <c r="X73" s="3">
        <v>0</v>
      </c>
      <c r="Y73" s="3">
        <v>0</v>
      </c>
      <c r="Z73" s="3">
        <v>0</v>
      </c>
      <c r="AA73" s="3">
        <v>0</v>
      </c>
      <c r="AB73" s="3">
        <v>0</v>
      </c>
      <c r="AC73" s="3">
        <v>0</v>
      </c>
      <c r="AD73" s="3">
        <v>0</v>
      </c>
      <c r="AE73" s="3">
        <v>0</v>
      </c>
      <c r="AF73" s="3">
        <v>0</v>
      </c>
      <c r="AG73" s="3">
        <v>1</v>
      </c>
      <c r="AH73" s="3">
        <v>0</v>
      </c>
      <c r="AI73" s="3">
        <v>0</v>
      </c>
      <c r="AJ73" s="3">
        <v>1</v>
      </c>
      <c r="AK73" s="3">
        <v>1</v>
      </c>
      <c r="AL73" s="3">
        <v>0</v>
      </c>
      <c r="AM73" s="3">
        <v>0</v>
      </c>
      <c r="AN73" s="3">
        <v>0</v>
      </c>
      <c r="AO73" s="3">
        <v>1</v>
      </c>
      <c r="AP73" s="3">
        <v>0</v>
      </c>
      <c r="AQ73" s="3">
        <v>0</v>
      </c>
      <c r="AR73" s="3">
        <v>0</v>
      </c>
      <c r="AS73" s="3">
        <v>0</v>
      </c>
      <c r="AT73" s="3">
        <v>0</v>
      </c>
      <c r="AU73" s="3">
        <v>0</v>
      </c>
      <c r="AV73" s="3">
        <v>0</v>
      </c>
      <c r="AW73" s="3">
        <v>1</v>
      </c>
      <c r="AX73" s="3">
        <v>0</v>
      </c>
      <c r="AY73" s="3">
        <v>0</v>
      </c>
      <c r="AZ73" s="3">
        <v>1</v>
      </c>
      <c r="BA73" s="3">
        <v>0</v>
      </c>
      <c r="BB73" s="3">
        <v>1</v>
      </c>
      <c r="BC73" s="3">
        <v>0</v>
      </c>
      <c r="BD73" s="3">
        <v>0</v>
      </c>
      <c r="BE73" s="3">
        <v>0</v>
      </c>
      <c r="BF73" s="3">
        <v>0</v>
      </c>
      <c r="BG73" s="3">
        <v>0</v>
      </c>
      <c r="BH73" s="3">
        <v>0</v>
      </c>
      <c r="BI73" s="3">
        <v>0</v>
      </c>
      <c r="BJ73" s="3">
        <v>0</v>
      </c>
      <c r="BK73" s="3">
        <v>0</v>
      </c>
      <c r="BL73" s="3">
        <v>0</v>
      </c>
      <c r="BM73" s="3" t="s">
        <v>651</v>
      </c>
      <c r="BN73" s="3">
        <v>2</v>
      </c>
      <c r="BO73" s="3">
        <v>0</v>
      </c>
      <c r="BP73" s="3">
        <v>0</v>
      </c>
      <c r="BQ73" s="3">
        <v>0</v>
      </c>
      <c r="BR73" s="3">
        <v>1</v>
      </c>
      <c r="BS73" s="3">
        <v>0</v>
      </c>
      <c r="BT73" s="3">
        <v>0</v>
      </c>
      <c r="BU73" s="2">
        <v>0</v>
      </c>
      <c r="BV73" s="2">
        <v>1</v>
      </c>
      <c r="BW73" s="2">
        <v>1</v>
      </c>
      <c r="BX73" s="2">
        <v>0</v>
      </c>
      <c r="BY73" s="2">
        <v>0</v>
      </c>
      <c r="BZ73" s="2">
        <v>0</v>
      </c>
      <c r="CA73" s="2">
        <v>0</v>
      </c>
      <c r="CB73" s="2">
        <v>0</v>
      </c>
      <c r="CC73" s="2">
        <v>0</v>
      </c>
      <c r="CD73" s="2">
        <v>0</v>
      </c>
      <c r="CE73" s="2">
        <v>0</v>
      </c>
      <c r="CF73" s="2">
        <v>0</v>
      </c>
      <c r="CG73" s="2">
        <v>0</v>
      </c>
      <c r="CH73" s="2">
        <v>0</v>
      </c>
      <c r="CI73" s="2">
        <v>0</v>
      </c>
      <c r="CJ73" s="2">
        <v>0</v>
      </c>
      <c r="CK73" s="2">
        <v>0</v>
      </c>
      <c r="CL73" s="2">
        <v>1</v>
      </c>
      <c r="CM73" s="2">
        <v>0</v>
      </c>
      <c r="CN73" s="2">
        <v>0</v>
      </c>
      <c r="CO73" s="2">
        <v>0</v>
      </c>
      <c r="CP73" s="2">
        <v>0</v>
      </c>
      <c r="CQ73" s="2">
        <v>1</v>
      </c>
      <c r="CR73" s="2">
        <v>0</v>
      </c>
      <c r="CS73" s="2">
        <v>0</v>
      </c>
      <c r="CT73" s="2">
        <v>0</v>
      </c>
      <c r="CU73" s="2">
        <v>0</v>
      </c>
      <c r="CV73" s="2">
        <v>0</v>
      </c>
      <c r="CW73" s="2">
        <v>0</v>
      </c>
      <c r="CX73" s="2">
        <v>0</v>
      </c>
      <c r="CY73" s="2">
        <v>0</v>
      </c>
      <c r="CZ73" s="2">
        <v>0</v>
      </c>
      <c r="DA73" s="2">
        <v>1</v>
      </c>
      <c r="DB73" s="2">
        <v>0</v>
      </c>
      <c r="DC73" s="2">
        <v>0</v>
      </c>
      <c r="DD73" s="2">
        <v>0</v>
      </c>
      <c r="DE73" s="2">
        <v>1</v>
      </c>
      <c r="DF73" s="2">
        <v>1</v>
      </c>
      <c r="DG73" s="2">
        <v>0</v>
      </c>
      <c r="DH73" s="2">
        <v>1</v>
      </c>
      <c r="DI73" s="2">
        <v>0</v>
      </c>
      <c r="DJ73" s="2">
        <v>0</v>
      </c>
      <c r="DK73" s="2">
        <v>1</v>
      </c>
      <c r="DL73" s="2">
        <v>0</v>
      </c>
      <c r="DM73" s="2">
        <v>0</v>
      </c>
      <c r="DN73" s="2">
        <v>0</v>
      </c>
      <c r="DO73" s="2">
        <v>0</v>
      </c>
      <c r="DP73" s="2">
        <v>1</v>
      </c>
      <c r="DQ73" s="2">
        <v>0</v>
      </c>
      <c r="DR73" s="2">
        <v>0</v>
      </c>
      <c r="DS73" s="2">
        <v>0</v>
      </c>
      <c r="DT73" s="2">
        <v>0</v>
      </c>
      <c r="DU73" s="2">
        <v>0</v>
      </c>
      <c r="DV73" s="2">
        <v>0</v>
      </c>
      <c r="DW73" s="2">
        <v>0</v>
      </c>
      <c r="DX73" s="2">
        <v>0</v>
      </c>
      <c r="DY73" s="2">
        <v>0</v>
      </c>
      <c r="DZ73" s="2">
        <v>0</v>
      </c>
      <c r="EA73" s="2">
        <v>0</v>
      </c>
      <c r="EB73" s="2">
        <v>0</v>
      </c>
      <c r="EC73" s="2">
        <v>1</v>
      </c>
      <c r="ED73" s="2">
        <v>0</v>
      </c>
      <c r="EE73" s="2">
        <v>0</v>
      </c>
      <c r="EF73" s="2">
        <v>0</v>
      </c>
      <c r="EG73" s="2">
        <v>0</v>
      </c>
      <c r="EH73" s="2">
        <v>0</v>
      </c>
      <c r="EI73" s="2">
        <v>0</v>
      </c>
      <c r="EJ73" s="2">
        <v>0</v>
      </c>
      <c r="EK73" s="2">
        <v>1</v>
      </c>
      <c r="EL73" s="2">
        <v>0</v>
      </c>
      <c r="EM73" s="2">
        <v>0</v>
      </c>
      <c r="EN73" s="2">
        <v>0</v>
      </c>
      <c r="EO73" s="2">
        <v>0</v>
      </c>
      <c r="EP73" s="2">
        <v>0</v>
      </c>
      <c r="EQ73" s="2">
        <v>0</v>
      </c>
      <c r="ER73" s="2">
        <v>0</v>
      </c>
      <c r="ES73" s="2">
        <v>0</v>
      </c>
      <c r="ET73" s="2">
        <v>0</v>
      </c>
      <c r="EU73" s="2">
        <v>0</v>
      </c>
      <c r="EV73" s="2">
        <v>0</v>
      </c>
      <c r="EW73" s="2">
        <v>2</v>
      </c>
      <c r="EX73" s="2">
        <v>2</v>
      </c>
      <c r="EY73" s="2">
        <v>0</v>
      </c>
      <c r="EZ73" s="2">
        <v>0</v>
      </c>
      <c r="FA73" s="2">
        <v>0</v>
      </c>
      <c r="FB73" s="2">
        <v>0</v>
      </c>
      <c r="FC73" s="2">
        <v>0</v>
      </c>
      <c r="FD73" s="2">
        <v>0</v>
      </c>
      <c r="FE73" s="2">
        <v>0</v>
      </c>
      <c r="FF73" s="2">
        <v>0</v>
      </c>
      <c r="FG73" s="2">
        <v>0</v>
      </c>
      <c r="FH73" s="2">
        <v>0</v>
      </c>
      <c r="FI73" s="2">
        <v>0</v>
      </c>
      <c r="FJ73" s="2">
        <v>0</v>
      </c>
      <c r="FK73" s="2">
        <v>0</v>
      </c>
      <c r="FL73" s="2">
        <v>2</v>
      </c>
      <c r="FM73" s="2">
        <v>1</v>
      </c>
      <c r="FN73" s="2">
        <v>0</v>
      </c>
      <c r="FO73" s="2">
        <v>0</v>
      </c>
      <c r="FP73" s="2">
        <v>0</v>
      </c>
      <c r="FQ73" s="2">
        <v>1</v>
      </c>
      <c r="FR73" s="2">
        <v>1</v>
      </c>
      <c r="FS73" s="2">
        <v>0</v>
      </c>
      <c r="FT73" s="2">
        <v>0</v>
      </c>
      <c r="FU73" s="2">
        <v>0</v>
      </c>
      <c r="FV73" s="2">
        <v>0</v>
      </c>
      <c r="FW73" s="2">
        <v>0</v>
      </c>
      <c r="FX73" s="2">
        <v>0</v>
      </c>
      <c r="FY73" s="2">
        <v>0</v>
      </c>
      <c r="FZ73" s="2">
        <v>0</v>
      </c>
      <c r="GA73" s="2">
        <v>0</v>
      </c>
      <c r="GB73" s="2">
        <v>0</v>
      </c>
      <c r="GC73" s="2" t="s">
        <v>652</v>
      </c>
      <c r="GD73" s="2">
        <v>3</v>
      </c>
      <c r="GE73" s="2">
        <v>1</v>
      </c>
      <c r="GF73" s="2">
        <v>1</v>
      </c>
      <c r="GG73" s="2">
        <v>0</v>
      </c>
      <c r="GH73" s="2">
        <v>1</v>
      </c>
      <c r="GI73" s="2">
        <v>2</v>
      </c>
      <c r="GJ73" s="2">
        <v>0</v>
      </c>
      <c r="GK73" s="2">
        <v>0</v>
      </c>
      <c r="GL73" s="2">
        <v>0</v>
      </c>
      <c r="GM73" s="2">
        <v>0</v>
      </c>
      <c r="GN73" s="3">
        <v>1</v>
      </c>
      <c r="GO73" s="3">
        <v>1</v>
      </c>
      <c r="GP73" s="3">
        <v>0</v>
      </c>
      <c r="GQ73" s="3">
        <v>2</v>
      </c>
      <c r="GR73" s="3">
        <v>0</v>
      </c>
      <c r="GS73" s="3">
        <v>1</v>
      </c>
      <c r="GT73" s="3">
        <v>1</v>
      </c>
      <c r="GU73" s="3">
        <v>0</v>
      </c>
      <c r="GV73" s="3">
        <v>0</v>
      </c>
      <c r="GW73" s="3">
        <v>0</v>
      </c>
      <c r="GX73" s="3">
        <v>0</v>
      </c>
      <c r="GY73" s="3">
        <v>1</v>
      </c>
      <c r="GZ73" s="3">
        <v>0</v>
      </c>
      <c r="HA73" s="3">
        <v>0</v>
      </c>
      <c r="HB73" s="3">
        <v>0</v>
      </c>
      <c r="HC73" s="3">
        <v>0</v>
      </c>
      <c r="HD73" s="3">
        <v>0</v>
      </c>
      <c r="HE73" s="3">
        <v>0</v>
      </c>
      <c r="HF73" s="3">
        <v>0</v>
      </c>
      <c r="HG73" s="3">
        <v>0</v>
      </c>
      <c r="HH73" s="3">
        <v>1</v>
      </c>
      <c r="HI73" s="3">
        <v>0</v>
      </c>
      <c r="HJ73" s="3">
        <v>0</v>
      </c>
      <c r="HK73" s="3">
        <v>1</v>
      </c>
      <c r="HL73" s="3">
        <v>0</v>
      </c>
      <c r="HM73" s="3">
        <v>0</v>
      </c>
      <c r="HN73" s="3">
        <v>0</v>
      </c>
      <c r="HO73" s="3">
        <v>0</v>
      </c>
      <c r="HP73" s="3">
        <v>0</v>
      </c>
      <c r="HQ73" s="3">
        <v>0</v>
      </c>
      <c r="HR73" s="3">
        <v>1</v>
      </c>
      <c r="HS73" s="3">
        <v>0</v>
      </c>
      <c r="HT73" s="3">
        <v>0</v>
      </c>
      <c r="HU73" s="3">
        <v>0</v>
      </c>
      <c r="HV73" s="3">
        <v>2</v>
      </c>
      <c r="HW73" s="3">
        <v>0</v>
      </c>
      <c r="HX73" s="3">
        <v>0</v>
      </c>
      <c r="HY73" s="3">
        <v>0</v>
      </c>
      <c r="HZ73" s="3">
        <v>0</v>
      </c>
      <c r="IA73" s="3">
        <v>1</v>
      </c>
      <c r="IB73" s="3">
        <v>0</v>
      </c>
      <c r="IC73" s="3">
        <v>0</v>
      </c>
      <c r="ID73" s="3">
        <v>0</v>
      </c>
      <c r="IE73" s="3">
        <v>0</v>
      </c>
      <c r="IF73" s="3">
        <v>0</v>
      </c>
      <c r="IG73" s="3">
        <v>0</v>
      </c>
      <c r="IH73" s="3">
        <v>0</v>
      </c>
      <c r="II73" s="3">
        <v>0</v>
      </c>
      <c r="IJ73" s="3">
        <v>0</v>
      </c>
      <c r="IK73" s="3">
        <v>0</v>
      </c>
      <c r="IL73" s="3">
        <v>0</v>
      </c>
      <c r="IM73" s="3">
        <v>0</v>
      </c>
      <c r="IN73" s="3">
        <v>0</v>
      </c>
      <c r="IO73" s="3">
        <v>0</v>
      </c>
      <c r="IP73" s="3">
        <v>0</v>
      </c>
      <c r="IQ73" s="3">
        <v>0</v>
      </c>
      <c r="IR73" s="3" t="s">
        <v>653</v>
      </c>
      <c r="IS73" s="3">
        <v>3</v>
      </c>
      <c r="IT73" s="3">
        <v>3</v>
      </c>
      <c r="IU73" s="3">
        <v>1</v>
      </c>
      <c r="IV73" s="3">
        <v>1</v>
      </c>
      <c r="IW73" s="3">
        <v>0</v>
      </c>
      <c r="IX73" s="3">
        <v>0</v>
      </c>
      <c r="IY73" s="3">
        <v>1</v>
      </c>
      <c r="IZ73" s="2" t="s">
        <v>268</v>
      </c>
      <c r="JA73" s="2" t="s">
        <v>274</v>
      </c>
    </row>
    <row r="74" spans="1:261" ht="13.2" x14ac:dyDescent="0.25">
      <c r="A74" s="10" t="s">
        <v>274</v>
      </c>
      <c r="B74" s="2" t="s">
        <v>654</v>
      </c>
      <c r="C74" s="2" t="s">
        <v>276</v>
      </c>
      <c r="D74" s="2" t="s">
        <v>270</v>
      </c>
      <c r="E74" s="2">
        <v>14</v>
      </c>
      <c r="F74" s="11" t="s">
        <v>655</v>
      </c>
      <c r="G74" s="11" t="s">
        <v>649</v>
      </c>
      <c r="H74" s="2" t="s">
        <v>656</v>
      </c>
      <c r="I74" s="3">
        <v>4</v>
      </c>
      <c r="J74" s="3">
        <v>2</v>
      </c>
      <c r="K74" s="3">
        <v>4</v>
      </c>
      <c r="L74" s="3">
        <v>3</v>
      </c>
      <c r="M74" s="3">
        <v>3</v>
      </c>
      <c r="N74" s="3">
        <v>3</v>
      </c>
      <c r="O74" s="3">
        <v>3</v>
      </c>
      <c r="P74" s="3">
        <v>2</v>
      </c>
      <c r="Q74" s="3">
        <v>4</v>
      </c>
      <c r="R74" s="3">
        <v>2</v>
      </c>
      <c r="S74" s="3">
        <v>3</v>
      </c>
      <c r="T74" s="3">
        <v>2</v>
      </c>
      <c r="U74" s="3">
        <v>3</v>
      </c>
      <c r="V74" s="3">
        <v>1</v>
      </c>
      <c r="W74" s="3">
        <v>2</v>
      </c>
      <c r="X74" s="3">
        <v>3</v>
      </c>
      <c r="Y74" s="3">
        <v>3</v>
      </c>
      <c r="Z74" s="3">
        <v>3</v>
      </c>
      <c r="AA74" s="3">
        <v>3</v>
      </c>
      <c r="AB74" s="3">
        <v>4</v>
      </c>
      <c r="AC74" s="3">
        <v>2</v>
      </c>
      <c r="AD74" s="3">
        <v>3</v>
      </c>
      <c r="AE74" s="3">
        <v>3</v>
      </c>
      <c r="AF74" s="3">
        <v>3</v>
      </c>
      <c r="AG74" s="3">
        <v>3</v>
      </c>
      <c r="AH74" s="3">
        <v>1</v>
      </c>
      <c r="AI74" s="3">
        <v>3</v>
      </c>
      <c r="AJ74" s="3">
        <v>3</v>
      </c>
      <c r="AK74" s="3">
        <v>4</v>
      </c>
      <c r="AL74" s="3">
        <v>3</v>
      </c>
      <c r="AM74" s="3">
        <v>3</v>
      </c>
      <c r="AN74" s="3">
        <v>2</v>
      </c>
      <c r="AO74" s="3">
        <v>2</v>
      </c>
      <c r="AP74" s="3">
        <v>3</v>
      </c>
      <c r="AQ74" s="3">
        <v>3</v>
      </c>
      <c r="AR74" s="3">
        <v>3</v>
      </c>
      <c r="AS74" s="3">
        <v>3</v>
      </c>
      <c r="AT74" s="3">
        <v>3</v>
      </c>
      <c r="AU74" s="3">
        <v>4</v>
      </c>
      <c r="AV74" s="3">
        <v>4</v>
      </c>
      <c r="AW74" s="3">
        <v>0</v>
      </c>
      <c r="AX74" s="3">
        <v>2</v>
      </c>
      <c r="AY74" s="3">
        <v>2</v>
      </c>
      <c r="AZ74" s="3">
        <v>2</v>
      </c>
      <c r="BA74" s="3">
        <v>2</v>
      </c>
      <c r="BB74" s="3">
        <v>4</v>
      </c>
      <c r="BC74" s="3">
        <v>2</v>
      </c>
      <c r="BD74" s="3">
        <v>4</v>
      </c>
      <c r="BE74" s="3">
        <v>1</v>
      </c>
      <c r="BF74" s="3">
        <v>1</v>
      </c>
      <c r="BG74" s="3">
        <v>2</v>
      </c>
      <c r="BH74" s="3">
        <v>2</v>
      </c>
      <c r="BI74" s="3">
        <v>1</v>
      </c>
      <c r="BJ74" s="3">
        <v>3</v>
      </c>
      <c r="BK74" s="3">
        <v>3</v>
      </c>
      <c r="BL74" s="3">
        <v>3</v>
      </c>
      <c r="BM74" s="3" t="s">
        <v>657</v>
      </c>
      <c r="BN74" s="3">
        <v>4</v>
      </c>
      <c r="BO74" s="3">
        <v>4</v>
      </c>
      <c r="BP74" s="3">
        <v>3</v>
      </c>
      <c r="BQ74" s="3">
        <v>2</v>
      </c>
      <c r="BR74" s="3">
        <v>2</v>
      </c>
      <c r="BS74" s="3">
        <v>3</v>
      </c>
      <c r="BT74" s="3">
        <v>4</v>
      </c>
      <c r="BU74" s="2">
        <v>4</v>
      </c>
      <c r="BV74" s="2">
        <v>1</v>
      </c>
      <c r="BW74" s="2">
        <v>2</v>
      </c>
      <c r="BX74" s="2">
        <v>1</v>
      </c>
      <c r="BY74" s="2">
        <v>2</v>
      </c>
      <c r="BZ74" s="2">
        <v>2</v>
      </c>
      <c r="CA74" s="2">
        <v>3</v>
      </c>
      <c r="CB74" s="2">
        <v>3</v>
      </c>
      <c r="CC74" s="2">
        <v>3</v>
      </c>
      <c r="CD74" s="2">
        <v>4</v>
      </c>
      <c r="CE74" s="2">
        <v>1</v>
      </c>
      <c r="CF74" s="2">
        <v>2</v>
      </c>
      <c r="CG74" s="2">
        <v>1</v>
      </c>
      <c r="CH74" s="2">
        <v>0</v>
      </c>
      <c r="CI74" s="2">
        <v>2</v>
      </c>
      <c r="CJ74" s="2">
        <v>3</v>
      </c>
      <c r="CK74" s="2">
        <v>4</v>
      </c>
      <c r="CL74" s="2">
        <v>0</v>
      </c>
      <c r="CM74" s="2">
        <v>1</v>
      </c>
      <c r="CN74" s="2">
        <v>1</v>
      </c>
      <c r="CO74" s="2">
        <v>1</v>
      </c>
      <c r="CP74" s="2">
        <v>0</v>
      </c>
      <c r="CQ74" s="2">
        <v>1</v>
      </c>
      <c r="CR74" s="2">
        <v>1</v>
      </c>
      <c r="CS74" s="2">
        <v>0</v>
      </c>
      <c r="CT74" s="2">
        <v>1</v>
      </c>
      <c r="CU74" s="2">
        <v>0</v>
      </c>
      <c r="CV74" s="2">
        <v>1</v>
      </c>
      <c r="CW74" s="2">
        <v>2</v>
      </c>
      <c r="CX74" s="2">
        <v>2</v>
      </c>
      <c r="CY74" s="2">
        <v>1</v>
      </c>
      <c r="CZ74" s="2">
        <v>3</v>
      </c>
      <c r="DA74" s="2">
        <v>3</v>
      </c>
      <c r="DB74" s="2">
        <v>3</v>
      </c>
      <c r="DC74" s="2">
        <v>2</v>
      </c>
      <c r="DD74" s="2">
        <v>1</v>
      </c>
      <c r="DE74" s="2">
        <v>3</v>
      </c>
      <c r="DF74" s="2">
        <v>3</v>
      </c>
      <c r="DG74" s="2">
        <v>0</v>
      </c>
      <c r="DH74" s="2">
        <v>2</v>
      </c>
      <c r="DI74" s="2">
        <v>2</v>
      </c>
      <c r="DJ74" s="2">
        <v>0</v>
      </c>
      <c r="DK74" s="2">
        <v>0</v>
      </c>
      <c r="DL74" s="2">
        <v>4</v>
      </c>
      <c r="DM74" s="2">
        <v>1</v>
      </c>
      <c r="DN74" s="2">
        <v>0</v>
      </c>
      <c r="DO74" s="2">
        <v>0</v>
      </c>
      <c r="DP74" s="2">
        <v>2</v>
      </c>
      <c r="DQ74" s="2">
        <v>4</v>
      </c>
      <c r="DR74" s="2">
        <v>0</v>
      </c>
      <c r="DS74" s="2">
        <v>2</v>
      </c>
      <c r="DT74" s="2">
        <v>1</v>
      </c>
      <c r="DU74" s="2">
        <v>1</v>
      </c>
      <c r="DV74" s="2">
        <v>0</v>
      </c>
      <c r="DW74" s="2">
        <v>2</v>
      </c>
      <c r="DX74" s="2">
        <v>2</v>
      </c>
      <c r="DY74" s="2">
        <v>2</v>
      </c>
      <c r="DZ74" s="2">
        <v>3</v>
      </c>
      <c r="EA74" s="2">
        <v>3</v>
      </c>
      <c r="EB74" s="2">
        <v>2</v>
      </c>
      <c r="EC74" s="2">
        <v>3</v>
      </c>
      <c r="ED74" s="2">
        <v>0</v>
      </c>
      <c r="EE74" s="2">
        <v>2</v>
      </c>
      <c r="EF74" s="2">
        <v>1</v>
      </c>
      <c r="EG74" s="2">
        <v>1</v>
      </c>
      <c r="EH74" s="2">
        <v>0</v>
      </c>
      <c r="EI74" s="2">
        <v>4</v>
      </c>
      <c r="EJ74" s="2">
        <v>4</v>
      </c>
      <c r="EK74" s="2">
        <v>0</v>
      </c>
      <c r="EL74" s="2">
        <v>2</v>
      </c>
      <c r="EM74" s="2">
        <v>3</v>
      </c>
      <c r="EN74" s="2">
        <v>0</v>
      </c>
      <c r="EO74" s="2">
        <v>2</v>
      </c>
      <c r="EP74" s="2">
        <v>2</v>
      </c>
      <c r="EQ74" s="2">
        <v>4</v>
      </c>
      <c r="ER74" s="2">
        <v>0</v>
      </c>
      <c r="ES74" s="2">
        <v>1</v>
      </c>
      <c r="ET74" s="2">
        <v>0</v>
      </c>
      <c r="EU74" s="2">
        <v>3</v>
      </c>
      <c r="EV74" s="2">
        <v>3</v>
      </c>
      <c r="EW74" s="2">
        <v>0</v>
      </c>
      <c r="EX74" s="2">
        <v>1</v>
      </c>
      <c r="EY74" s="2">
        <v>0</v>
      </c>
      <c r="EZ74" s="2">
        <v>0</v>
      </c>
      <c r="FA74" s="2">
        <v>1</v>
      </c>
      <c r="FB74" s="2">
        <v>3</v>
      </c>
      <c r="FC74" s="2">
        <v>4</v>
      </c>
      <c r="FD74" s="2">
        <v>0</v>
      </c>
      <c r="FE74" s="2">
        <v>1</v>
      </c>
      <c r="FF74" s="2">
        <v>3</v>
      </c>
      <c r="FG74" s="2">
        <v>4</v>
      </c>
      <c r="FH74" s="2">
        <v>0</v>
      </c>
      <c r="FI74" s="2">
        <v>2</v>
      </c>
      <c r="FJ74" s="2">
        <v>0</v>
      </c>
      <c r="FK74" s="2">
        <v>2</v>
      </c>
      <c r="FL74" s="2">
        <v>2</v>
      </c>
      <c r="FM74" s="2">
        <v>1</v>
      </c>
      <c r="FN74" s="2">
        <v>1</v>
      </c>
      <c r="FO74" s="2">
        <v>0</v>
      </c>
      <c r="FP74" s="2">
        <v>2</v>
      </c>
      <c r="FQ74" s="2">
        <v>4</v>
      </c>
      <c r="FR74" s="2">
        <v>3</v>
      </c>
      <c r="FS74" s="2">
        <v>3</v>
      </c>
      <c r="FT74" s="2">
        <v>0</v>
      </c>
      <c r="FU74" s="2">
        <v>4</v>
      </c>
      <c r="FV74" s="2">
        <v>0</v>
      </c>
      <c r="FW74" s="2">
        <v>4</v>
      </c>
      <c r="FX74" s="2">
        <v>2</v>
      </c>
      <c r="FY74" s="2">
        <v>2</v>
      </c>
      <c r="FZ74" s="2">
        <v>4</v>
      </c>
      <c r="GA74" s="2">
        <v>4</v>
      </c>
      <c r="GB74" s="2">
        <v>1</v>
      </c>
      <c r="GC74" s="2" t="s">
        <v>658</v>
      </c>
      <c r="GD74" s="2">
        <v>3</v>
      </c>
      <c r="GE74" s="2">
        <v>3</v>
      </c>
      <c r="GF74" s="2">
        <v>4</v>
      </c>
      <c r="GG74" s="2">
        <v>0</v>
      </c>
      <c r="GH74" s="2">
        <v>0</v>
      </c>
      <c r="GI74" s="2">
        <v>2</v>
      </c>
      <c r="GJ74" s="2">
        <v>2</v>
      </c>
      <c r="GK74" s="2">
        <v>0</v>
      </c>
      <c r="GL74" s="2">
        <v>0</v>
      </c>
      <c r="GM74" s="2">
        <v>3</v>
      </c>
      <c r="GN74" s="3">
        <v>4</v>
      </c>
      <c r="GO74" s="3">
        <v>4</v>
      </c>
      <c r="GP74" s="3">
        <v>4</v>
      </c>
      <c r="GQ74" s="3">
        <v>4</v>
      </c>
      <c r="GR74" s="3">
        <v>2</v>
      </c>
      <c r="GS74" s="3">
        <v>0</v>
      </c>
      <c r="GT74" s="3">
        <v>2</v>
      </c>
      <c r="GU74" s="3">
        <v>0</v>
      </c>
      <c r="GV74" s="3">
        <v>2</v>
      </c>
      <c r="GW74" s="3">
        <v>2</v>
      </c>
      <c r="GX74" s="3">
        <v>2</v>
      </c>
      <c r="GY74" s="3">
        <v>3</v>
      </c>
      <c r="GZ74" s="3">
        <v>3</v>
      </c>
      <c r="HA74" s="3">
        <v>3</v>
      </c>
      <c r="HB74" s="3">
        <v>0</v>
      </c>
      <c r="HC74" s="3">
        <v>1</v>
      </c>
      <c r="HD74" s="3">
        <v>2</v>
      </c>
      <c r="HE74" s="3">
        <v>1</v>
      </c>
      <c r="HF74" s="3">
        <v>2</v>
      </c>
      <c r="HG74" s="3">
        <v>0</v>
      </c>
      <c r="HH74" s="3">
        <v>4</v>
      </c>
      <c r="HI74" s="3">
        <v>0</v>
      </c>
      <c r="HJ74" s="3">
        <v>1</v>
      </c>
      <c r="HK74" s="3">
        <v>4</v>
      </c>
      <c r="HL74" s="3">
        <v>0</v>
      </c>
      <c r="HM74" s="3">
        <v>1</v>
      </c>
      <c r="HN74" s="3">
        <v>0</v>
      </c>
      <c r="HO74" s="3">
        <v>3</v>
      </c>
      <c r="HP74" s="3">
        <v>1</v>
      </c>
      <c r="HQ74" s="3">
        <v>4</v>
      </c>
      <c r="HR74" s="3">
        <v>4</v>
      </c>
      <c r="HS74" s="3">
        <v>2</v>
      </c>
      <c r="HT74" s="3">
        <v>4</v>
      </c>
      <c r="HU74" s="3">
        <v>2</v>
      </c>
      <c r="HV74" s="3">
        <v>0</v>
      </c>
      <c r="HW74" s="3">
        <v>0</v>
      </c>
      <c r="HX74" s="3">
        <v>1</v>
      </c>
      <c r="HY74" s="3">
        <v>2</v>
      </c>
      <c r="HZ74" s="3">
        <v>2</v>
      </c>
      <c r="IA74" s="3">
        <v>3</v>
      </c>
      <c r="IB74" s="3">
        <v>0</v>
      </c>
      <c r="IC74" s="3">
        <v>0</v>
      </c>
      <c r="ID74" s="3">
        <v>2</v>
      </c>
      <c r="IE74" s="3">
        <v>0</v>
      </c>
      <c r="IF74" s="3">
        <v>2</v>
      </c>
      <c r="IG74" s="3">
        <v>2</v>
      </c>
      <c r="IH74" s="3">
        <v>0</v>
      </c>
      <c r="II74" s="3">
        <v>1</v>
      </c>
      <c r="IJ74" s="3">
        <v>2</v>
      </c>
      <c r="IK74" s="3">
        <v>3</v>
      </c>
      <c r="IL74" s="3">
        <v>4</v>
      </c>
      <c r="IM74" s="3">
        <v>3</v>
      </c>
      <c r="IN74" s="3">
        <v>0</v>
      </c>
      <c r="IO74" s="3">
        <v>4</v>
      </c>
      <c r="IP74" s="3">
        <v>0</v>
      </c>
      <c r="IQ74" s="3">
        <v>4</v>
      </c>
      <c r="IR74" s="3" t="s">
        <v>659</v>
      </c>
      <c r="IS74" s="3">
        <v>0</v>
      </c>
      <c r="IT74" s="3">
        <v>3</v>
      </c>
      <c r="IU74" s="3">
        <v>2</v>
      </c>
      <c r="IV74" s="3">
        <v>1</v>
      </c>
      <c r="IW74" s="3">
        <v>4</v>
      </c>
      <c r="IX74" s="3">
        <v>2</v>
      </c>
      <c r="IY74" s="3">
        <v>2</v>
      </c>
      <c r="IZ74" s="2" t="s">
        <v>268</v>
      </c>
      <c r="JA74" s="2" t="s">
        <v>274</v>
      </c>
    </row>
    <row r="75" spans="1:261" ht="13.2" x14ac:dyDescent="0.25">
      <c r="A75" s="10" t="s">
        <v>274</v>
      </c>
      <c r="B75" s="2" t="s">
        <v>660</v>
      </c>
      <c r="C75" s="2" t="s">
        <v>261</v>
      </c>
      <c r="D75" s="2" t="s">
        <v>262</v>
      </c>
      <c r="E75" s="2">
        <v>47</v>
      </c>
      <c r="F75" s="11" t="s">
        <v>661</v>
      </c>
      <c r="G75" s="11" t="s">
        <v>661</v>
      </c>
      <c r="H75" s="2" t="s">
        <v>662</v>
      </c>
      <c r="I75" s="3">
        <v>0</v>
      </c>
      <c r="J75" s="3">
        <v>0</v>
      </c>
      <c r="K75" s="3">
        <v>4</v>
      </c>
      <c r="L75" s="3">
        <v>4</v>
      </c>
      <c r="M75" s="3">
        <v>3</v>
      </c>
      <c r="N75" s="3">
        <v>3</v>
      </c>
      <c r="O75" s="3">
        <v>2</v>
      </c>
      <c r="P75" s="3">
        <v>2</v>
      </c>
      <c r="Q75" s="3">
        <v>0</v>
      </c>
      <c r="R75" s="3">
        <v>3</v>
      </c>
      <c r="S75" s="3">
        <v>0</v>
      </c>
      <c r="T75" s="3">
        <v>2</v>
      </c>
      <c r="U75" s="3">
        <v>2</v>
      </c>
      <c r="V75" s="3">
        <v>2</v>
      </c>
      <c r="W75" s="3">
        <v>0</v>
      </c>
      <c r="X75" s="3">
        <v>2</v>
      </c>
      <c r="Y75" s="3">
        <v>2</v>
      </c>
      <c r="Z75" s="3">
        <v>2</v>
      </c>
      <c r="AA75" s="3">
        <v>2</v>
      </c>
      <c r="AB75" s="3">
        <v>2</v>
      </c>
      <c r="AC75" s="3">
        <v>2</v>
      </c>
      <c r="AD75" s="3">
        <v>2</v>
      </c>
      <c r="AE75" s="3">
        <v>2</v>
      </c>
      <c r="AF75" s="3">
        <v>2</v>
      </c>
      <c r="AG75" s="3">
        <v>4</v>
      </c>
      <c r="AH75" s="3">
        <v>4</v>
      </c>
      <c r="AI75" s="3">
        <v>4</v>
      </c>
      <c r="AJ75" s="3">
        <v>4</v>
      </c>
      <c r="AK75" s="3">
        <v>2</v>
      </c>
      <c r="AL75" s="3">
        <v>2</v>
      </c>
      <c r="AM75" s="3">
        <v>4</v>
      </c>
      <c r="AN75" s="3">
        <v>2</v>
      </c>
      <c r="AO75" s="3">
        <v>2</v>
      </c>
      <c r="AP75" s="3">
        <v>3</v>
      </c>
      <c r="AQ75" s="3">
        <v>0</v>
      </c>
      <c r="AR75" s="3">
        <v>2</v>
      </c>
      <c r="AS75" s="3">
        <v>2</v>
      </c>
      <c r="AT75" s="3">
        <v>2</v>
      </c>
      <c r="AU75" s="3">
        <v>0</v>
      </c>
      <c r="AV75" s="3">
        <v>2</v>
      </c>
      <c r="AW75" s="3">
        <v>4</v>
      </c>
      <c r="AX75" s="3">
        <v>4</v>
      </c>
      <c r="AY75" s="3">
        <v>4</v>
      </c>
      <c r="AZ75" s="3">
        <v>4</v>
      </c>
      <c r="BA75" s="3">
        <v>4</v>
      </c>
      <c r="BB75" s="3">
        <v>4</v>
      </c>
      <c r="BC75" s="3">
        <v>4</v>
      </c>
      <c r="BD75" s="3">
        <v>4</v>
      </c>
      <c r="BE75" s="3">
        <v>0</v>
      </c>
      <c r="BF75" s="3">
        <v>0</v>
      </c>
      <c r="BG75" s="3">
        <v>2</v>
      </c>
      <c r="BH75" s="3">
        <v>3</v>
      </c>
      <c r="BI75" s="3">
        <v>3</v>
      </c>
      <c r="BJ75" s="3">
        <v>4</v>
      </c>
      <c r="BK75" s="3">
        <v>4</v>
      </c>
      <c r="BL75" s="3">
        <v>4</v>
      </c>
      <c r="BM75" s="3" t="s">
        <v>663</v>
      </c>
      <c r="BN75" s="3">
        <v>4</v>
      </c>
      <c r="BO75" s="3">
        <v>2</v>
      </c>
      <c r="BP75" s="3">
        <v>2</v>
      </c>
      <c r="BQ75" s="3">
        <v>4</v>
      </c>
      <c r="BR75" s="3">
        <v>2</v>
      </c>
      <c r="BS75" s="3">
        <v>2</v>
      </c>
      <c r="BT75" s="3">
        <v>2</v>
      </c>
      <c r="BU75" s="2">
        <v>2</v>
      </c>
      <c r="BV75" s="2">
        <v>2</v>
      </c>
      <c r="BW75" s="2">
        <v>2</v>
      </c>
      <c r="BX75" s="2">
        <v>3</v>
      </c>
      <c r="BY75" s="2">
        <v>0</v>
      </c>
      <c r="BZ75" s="2">
        <v>3</v>
      </c>
      <c r="CA75" s="2">
        <v>2</v>
      </c>
      <c r="CB75" s="2">
        <v>2</v>
      </c>
      <c r="CC75" s="2">
        <v>3</v>
      </c>
      <c r="CD75" s="2">
        <v>2</v>
      </c>
      <c r="CE75" s="2">
        <v>2</v>
      </c>
      <c r="CF75" s="2">
        <v>3</v>
      </c>
      <c r="CG75" s="2">
        <v>3</v>
      </c>
      <c r="CH75" s="2">
        <v>2</v>
      </c>
      <c r="CI75" s="2">
        <v>2</v>
      </c>
      <c r="CJ75" s="2">
        <v>2</v>
      </c>
      <c r="CK75" s="2">
        <v>2</v>
      </c>
      <c r="CL75" s="2">
        <v>3</v>
      </c>
      <c r="CM75" s="2">
        <v>2</v>
      </c>
      <c r="CN75" s="2">
        <v>3</v>
      </c>
      <c r="CO75" s="2">
        <v>2</v>
      </c>
      <c r="CP75" s="2">
        <v>2</v>
      </c>
      <c r="CQ75" s="2">
        <v>3</v>
      </c>
      <c r="CR75" s="2">
        <v>2</v>
      </c>
      <c r="CS75" s="2">
        <v>2</v>
      </c>
      <c r="CT75" s="2">
        <v>2</v>
      </c>
      <c r="CU75" s="2">
        <v>2</v>
      </c>
      <c r="CV75" s="2">
        <v>2</v>
      </c>
      <c r="CW75" s="2">
        <v>2</v>
      </c>
      <c r="CX75" s="2">
        <v>2</v>
      </c>
      <c r="CY75" s="2">
        <v>2</v>
      </c>
      <c r="CZ75" s="2">
        <v>2</v>
      </c>
      <c r="DA75" s="2">
        <v>2</v>
      </c>
      <c r="DB75" s="2">
        <v>2</v>
      </c>
      <c r="DC75" s="2">
        <v>0</v>
      </c>
      <c r="DD75" s="2">
        <v>2</v>
      </c>
      <c r="DE75" s="2">
        <v>2</v>
      </c>
      <c r="DF75" s="2">
        <v>2</v>
      </c>
      <c r="DG75" s="2">
        <v>2</v>
      </c>
      <c r="DH75" s="2">
        <v>2</v>
      </c>
      <c r="DI75" s="2">
        <v>2</v>
      </c>
      <c r="DJ75" s="2">
        <v>0</v>
      </c>
      <c r="DK75" s="2">
        <v>2</v>
      </c>
      <c r="DL75" s="2">
        <v>2</v>
      </c>
      <c r="DM75" s="2">
        <v>2</v>
      </c>
      <c r="DN75" s="2">
        <v>0</v>
      </c>
      <c r="DO75" s="2">
        <v>2</v>
      </c>
      <c r="DP75" s="2">
        <v>2</v>
      </c>
      <c r="DQ75" s="2">
        <v>2</v>
      </c>
      <c r="DR75" s="2">
        <v>2</v>
      </c>
      <c r="DS75" s="2">
        <v>2</v>
      </c>
      <c r="DT75" s="2">
        <v>2</v>
      </c>
      <c r="DU75" s="2">
        <v>0</v>
      </c>
      <c r="DV75" s="2">
        <v>2</v>
      </c>
      <c r="DW75" s="2">
        <v>2</v>
      </c>
      <c r="DX75" s="2">
        <v>2</v>
      </c>
      <c r="DY75" s="2">
        <v>2</v>
      </c>
      <c r="DZ75" s="2">
        <v>2</v>
      </c>
      <c r="EA75" s="2">
        <v>2</v>
      </c>
      <c r="EB75" s="2">
        <v>3</v>
      </c>
      <c r="EC75" s="2">
        <v>3</v>
      </c>
      <c r="ED75" s="2">
        <v>3</v>
      </c>
      <c r="EE75" s="2">
        <v>3</v>
      </c>
      <c r="EF75" s="2">
        <v>3</v>
      </c>
      <c r="EG75" s="2">
        <v>3</v>
      </c>
      <c r="EH75" s="2">
        <v>3</v>
      </c>
      <c r="EI75" s="2">
        <v>2</v>
      </c>
      <c r="EJ75" s="2">
        <v>2</v>
      </c>
      <c r="EK75" s="2">
        <v>2</v>
      </c>
      <c r="EL75" s="2">
        <v>2</v>
      </c>
      <c r="EM75" s="2">
        <v>2</v>
      </c>
      <c r="EN75" s="2">
        <v>4</v>
      </c>
      <c r="EO75" s="2">
        <v>4</v>
      </c>
      <c r="EP75" s="2">
        <v>4</v>
      </c>
      <c r="EQ75" s="2">
        <v>2</v>
      </c>
      <c r="ER75" s="2">
        <v>2</v>
      </c>
      <c r="ES75" s="2">
        <v>2</v>
      </c>
      <c r="ET75" s="2">
        <v>2</v>
      </c>
      <c r="EU75" s="2">
        <v>2</v>
      </c>
      <c r="EV75" s="2">
        <v>2</v>
      </c>
      <c r="EW75" s="2">
        <v>2</v>
      </c>
      <c r="EX75" s="2">
        <v>2</v>
      </c>
      <c r="EY75" s="2">
        <v>2</v>
      </c>
      <c r="EZ75" s="2">
        <v>2</v>
      </c>
      <c r="FA75" s="2">
        <v>2</v>
      </c>
      <c r="FB75" s="2">
        <v>2</v>
      </c>
      <c r="FC75" s="2">
        <v>2</v>
      </c>
      <c r="FD75" s="2">
        <v>2</v>
      </c>
      <c r="FE75" s="2">
        <v>2</v>
      </c>
      <c r="FF75" s="2">
        <v>2</v>
      </c>
      <c r="FG75" s="2">
        <v>2</v>
      </c>
      <c r="FH75" s="2">
        <v>2</v>
      </c>
      <c r="FI75" s="2">
        <v>2</v>
      </c>
      <c r="FJ75" s="2">
        <v>2</v>
      </c>
      <c r="FK75" s="2">
        <v>2</v>
      </c>
      <c r="FL75" s="2">
        <v>4</v>
      </c>
      <c r="FM75" s="2">
        <v>4</v>
      </c>
      <c r="FN75" s="2">
        <v>4</v>
      </c>
      <c r="FO75" s="2">
        <v>4</v>
      </c>
      <c r="FP75" s="2">
        <v>4</v>
      </c>
      <c r="FQ75" s="2">
        <v>4</v>
      </c>
      <c r="FR75" s="2">
        <v>4</v>
      </c>
      <c r="FS75" s="2">
        <v>4</v>
      </c>
      <c r="FT75" s="2">
        <v>4</v>
      </c>
      <c r="FU75" s="2">
        <v>0</v>
      </c>
      <c r="FV75" s="2">
        <v>0</v>
      </c>
      <c r="FW75" s="2">
        <v>0</v>
      </c>
      <c r="FX75" s="2">
        <v>0</v>
      </c>
      <c r="FY75" s="2">
        <v>2</v>
      </c>
      <c r="FZ75" s="2">
        <v>0</v>
      </c>
      <c r="GA75" s="2">
        <v>0</v>
      </c>
      <c r="GB75" s="2">
        <v>2</v>
      </c>
      <c r="GC75" s="2" t="s">
        <v>274</v>
      </c>
      <c r="GD75" s="2">
        <v>2</v>
      </c>
      <c r="GE75" s="2">
        <v>2</v>
      </c>
      <c r="GF75" s="2">
        <v>0</v>
      </c>
      <c r="GG75" s="2">
        <v>3</v>
      </c>
      <c r="GH75" s="2">
        <v>3</v>
      </c>
      <c r="GI75" s="2">
        <v>2</v>
      </c>
      <c r="GJ75" s="2">
        <v>3</v>
      </c>
      <c r="GK75" s="2">
        <v>0</v>
      </c>
      <c r="GL75" s="2">
        <v>2</v>
      </c>
      <c r="GM75" s="2">
        <v>0</v>
      </c>
      <c r="GN75" s="3">
        <v>3</v>
      </c>
      <c r="GO75" s="3">
        <v>3</v>
      </c>
      <c r="GP75" s="3">
        <v>2</v>
      </c>
      <c r="GQ75" s="3">
        <v>3</v>
      </c>
      <c r="GR75" s="3">
        <v>3</v>
      </c>
      <c r="GS75" s="3">
        <v>4</v>
      </c>
      <c r="GT75" s="3">
        <v>3</v>
      </c>
      <c r="GU75" s="3">
        <v>3</v>
      </c>
      <c r="GV75" s="3">
        <v>3</v>
      </c>
      <c r="GW75" s="3">
        <v>2</v>
      </c>
      <c r="GX75" s="3">
        <v>2</v>
      </c>
      <c r="GY75" s="3">
        <v>3</v>
      </c>
      <c r="GZ75" s="3">
        <v>3</v>
      </c>
      <c r="HA75" s="3">
        <v>3</v>
      </c>
      <c r="HB75" s="3">
        <v>3</v>
      </c>
      <c r="HC75" s="3">
        <v>3</v>
      </c>
      <c r="HD75" s="3">
        <v>2</v>
      </c>
      <c r="HE75" s="3">
        <v>3</v>
      </c>
      <c r="HF75" s="3">
        <v>3</v>
      </c>
      <c r="HG75" s="3">
        <v>3</v>
      </c>
      <c r="HH75" s="3">
        <v>3</v>
      </c>
      <c r="HI75" s="3">
        <v>3</v>
      </c>
      <c r="HJ75" s="3">
        <v>2</v>
      </c>
      <c r="HK75" s="3">
        <v>3</v>
      </c>
      <c r="HL75" s="3">
        <v>3</v>
      </c>
      <c r="HM75" s="3">
        <v>2</v>
      </c>
      <c r="HN75" s="3">
        <v>3</v>
      </c>
      <c r="HO75" s="3">
        <v>3</v>
      </c>
      <c r="HP75" s="3">
        <v>3</v>
      </c>
      <c r="HQ75" s="3">
        <v>3</v>
      </c>
      <c r="HR75" s="3">
        <v>3</v>
      </c>
      <c r="HS75" s="3">
        <v>3</v>
      </c>
      <c r="HT75" s="3">
        <v>3</v>
      </c>
      <c r="HU75" s="3">
        <v>2</v>
      </c>
      <c r="HV75" s="3">
        <v>4</v>
      </c>
      <c r="HW75" s="3">
        <v>3</v>
      </c>
      <c r="HX75" s="3">
        <v>4</v>
      </c>
      <c r="HY75" s="3">
        <v>4</v>
      </c>
      <c r="HZ75" s="3">
        <v>2</v>
      </c>
      <c r="IA75" s="3">
        <v>4</v>
      </c>
      <c r="IB75" s="3">
        <v>3</v>
      </c>
      <c r="IC75" s="3">
        <v>3</v>
      </c>
      <c r="ID75" s="3">
        <v>3</v>
      </c>
      <c r="IE75" s="3">
        <v>3</v>
      </c>
      <c r="IF75" s="3">
        <v>3</v>
      </c>
      <c r="IG75" s="3">
        <v>2</v>
      </c>
      <c r="IH75" s="3">
        <v>2</v>
      </c>
      <c r="II75" s="3">
        <v>3</v>
      </c>
      <c r="IJ75" s="3">
        <v>2</v>
      </c>
      <c r="IK75" s="3">
        <v>2</v>
      </c>
      <c r="IL75" s="3">
        <v>2</v>
      </c>
      <c r="IM75" s="3">
        <v>4</v>
      </c>
      <c r="IN75" s="3">
        <v>4</v>
      </c>
      <c r="IO75" s="3">
        <v>4</v>
      </c>
      <c r="IP75" s="3">
        <v>2</v>
      </c>
      <c r="IQ75" s="3">
        <v>4</v>
      </c>
      <c r="IR75" s="3" t="s">
        <v>274</v>
      </c>
      <c r="IS75" s="3">
        <v>4</v>
      </c>
      <c r="IT75" s="3">
        <v>4</v>
      </c>
      <c r="IU75" s="3">
        <v>4</v>
      </c>
      <c r="IV75" s="3">
        <v>4</v>
      </c>
      <c r="IW75" s="3">
        <v>4</v>
      </c>
      <c r="IX75" s="3">
        <v>2</v>
      </c>
      <c r="IY75" s="3">
        <v>2</v>
      </c>
      <c r="IZ75" s="2" t="s">
        <v>268</v>
      </c>
      <c r="JA75" s="2" t="s">
        <v>274</v>
      </c>
    </row>
    <row r="76" spans="1:261" ht="13.2" x14ac:dyDescent="0.25">
      <c r="A76" s="10" t="s">
        <v>274</v>
      </c>
      <c r="B76" s="2" t="s">
        <v>664</v>
      </c>
      <c r="C76" s="2" t="s">
        <v>276</v>
      </c>
      <c r="D76" s="2" t="s">
        <v>270</v>
      </c>
      <c r="E76" s="2">
        <v>21</v>
      </c>
      <c r="F76" s="11" t="s">
        <v>665</v>
      </c>
      <c r="G76" s="11" t="s">
        <v>666</v>
      </c>
      <c r="H76" s="2" t="s">
        <v>667</v>
      </c>
      <c r="I76" s="3">
        <v>3</v>
      </c>
      <c r="J76" s="3">
        <v>3</v>
      </c>
      <c r="K76" s="3">
        <v>3</v>
      </c>
      <c r="L76" s="3">
        <v>4</v>
      </c>
      <c r="M76" s="3">
        <v>4</v>
      </c>
      <c r="N76" s="3">
        <v>4</v>
      </c>
      <c r="O76" s="3">
        <v>4</v>
      </c>
      <c r="P76" s="3">
        <v>3</v>
      </c>
      <c r="Q76" s="3">
        <v>4</v>
      </c>
      <c r="R76" s="3">
        <v>3</v>
      </c>
      <c r="S76" s="3">
        <v>2</v>
      </c>
      <c r="T76" s="3">
        <v>3</v>
      </c>
      <c r="U76" s="3">
        <v>3</v>
      </c>
      <c r="V76" s="3">
        <v>2</v>
      </c>
      <c r="W76" s="3">
        <v>1</v>
      </c>
      <c r="X76" s="3">
        <v>3</v>
      </c>
      <c r="Y76" s="3">
        <v>3</v>
      </c>
      <c r="Z76" s="3">
        <v>3</v>
      </c>
      <c r="AA76" s="3">
        <v>2</v>
      </c>
      <c r="AB76" s="3">
        <v>1</v>
      </c>
      <c r="AC76" s="3">
        <v>2</v>
      </c>
      <c r="AD76" s="3">
        <v>2</v>
      </c>
      <c r="AE76" s="3">
        <v>4</v>
      </c>
      <c r="AF76" s="3">
        <v>2</v>
      </c>
      <c r="AG76" s="3">
        <v>2</v>
      </c>
      <c r="AH76" s="3">
        <v>2</v>
      </c>
      <c r="AI76" s="3">
        <v>2</v>
      </c>
      <c r="AJ76" s="3">
        <v>3</v>
      </c>
      <c r="AK76" s="3">
        <v>2</v>
      </c>
      <c r="AL76" s="3">
        <v>3</v>
      </c>
      <c r="AM76" s="3">
        <v>3</v>
      </c>
      <c r="AN76" s="3">
        <v>1</v>
      </c>
      <c r="AO76" s="3">
        <v>4</v>
      </c>
      <c r="AP76" s="3">
        <v>2</v>
      </c>
      <c r="AQ76" s="3">
        <v>2</v>
      </c>
      <c r="AR76" s="3">
        <v>3</v>
      </c>
      <c r="AS76" s="3">
        <v>3</v>
      </c>
      <c r="AT76" s="3">
        <v>2</v>
      </c>
      <c r="AU76" s="3">
        <v>2</v>
      </c>
      <c r="AV76" s="3">
        <v>2</v>
      </c>
      <c r="AW76" s="3">
        <v>4</v>
      </c>
      <c r="AX76" s="3">
        <v>4</v>
      </c>
      <c r="AY76" s="3">
        <v>4</v>
      </c>
      <c r="AZ76" s="3">
        <v>4</v>
      </c>
      <c r="BA76" s="3">
        <v>1</v>
      </c>
      <c r="BB76" s="3">
        <v>4</v>
      </c>
      <c r="BC76" s="3">
        <v>4</v>
      </c>
      <c r="BD76" s="3">
        <v>4</v>
      </c>
      <c r="BE76" s="3">
        <v>4</v>
      </c>
      <c r="BF76" s="3">
        <v>3</v>
      </c>
      <c r="BG76" s="3">
        <v>3</v>
      </c>
      <c r="BH76" s="3">
        <v>3</v>
      </c>
      <c r="BI76" s="3">
        <v>3</v>
      </c>
      <c r="BJ76" s="3">
        <v>3</v>
      </c>
      <c r="BK76" s="3">
        <v>3</v>
      </c>
      <c r="BL76" s="3">
        <v>2</v>
      </c>
      <c r="BM76" s="3" t="s">
        <v>668</v>
      </c>
      <c r="BN76" s="3">
        <v>3</v>
      </c>
      <c r="BO76" s="3">
        <v>3</v>
      </c>
      <c r="BP76" s="3">
        <v>3</v>
      </c>
      <c r="BQ76" s="3">
        <v>3</v>
      </c>
      <c r="BR76" s="3">
        <v>4</v>
      </c>
      <c r="BS76" s="3">
        <v>3</v>
      </c>
      <c r="BT76" s="3">
        <v>3</v>
      </c>
      <c r="BU76" s="2">
        <v>3</v>
      </c>
      <c r="BV76" s="2">
        <v>4</v>
      </c>
      <c r="BW76" s="2">
        <v>4</v>
      </c>
      <c r="BX76" s="2">
        <v>4</v>
      </c>
      <c r="BY76" s="2">
        <v>4</v>
      </c>
      <c r="BZ76" s="2">
        <v>2</v>
      </c>
      <c r="CA76" s="2">
        <v>2</v>
      </c>
      <c r="CB76" s="2">
        <v>4</v>
      </c>
      <c r="CC76" s="2">
        <v>2</v>
      </c>
      <c r="CD76" s="2">
        <v>3</v>
      </c>
      <c r="CE76" s="2">
        <v>2</v>
      </c>
      <c r="CF76" s="2">
        <v>4</v>
      </c>
      <c r="CG76" s="2">
        <v>3</v>
      </c>
      <c r="CH76" s="2">
        <v>2</v>
      </c>
      <c r="CI76" s="2">
        <v>4</v>
      </c>
      <c r="CJ76" s="2">
        <v>1</v>
      </c>
      <c r="CK76" s="2">
        <v>2</v>
      </c>
      <c r="CL76" s="2">
        <v>3</v>
      </c>
      <c r="CM76" s="2">
        <v>3</v>
      </c>
      <c r="CN76" s="2">
        <v>3</v>
      </c>
      <c r="CO76" s="2">
        <v>4</v>
      </c>
      <c r="CP76" s="2">
        <v>3</v>
      </c>
      <c r="CQ76" s="2">
        <v>2</v>
      </c>
      <c r="CR76" s="2">
        <v>4</v>
      </c>
      <c r="CS76" s="2">
        <v>3</v>
      </c>
      <c r="CT76" s="2">
        <v>3</v>
      </c>
      <c r="CU76" s="2">
        <v>3</v>
      </c>
      <c r="CV76" s="2">
        <v>2</v>
      </c>
      <c r="CW76" s="2">
        <v>2</v>
      </c>
      <c r="CX76" s="2">
        <v>2</v>
      </c>
      <c r="CY76" s="2">
        <v>2</v>
      </c>
      <c r="CZ76" s="2">
        <v>3</v>
      </c>
      <c r="DA76" s="2">
        <v>3</v>
      </c>
      <c r="DB76" s="2">
        <v>1</v>
      </c>
      <c r="DC76" s="2">
        <v>2</v>
      </c>
      <c r="DD76" s="2">
        <v>2</v>
      </c>
      <c r="DE76" s="2">
        <v>4</v>
      </c>
      <c r="DF76" s="2">
        <v>2</v>
      </c>
      <c r="DG76" s="2">
        <v>3</v>
      </c>
      <c r="DH76" s="2">
        <v>3</v>
      </c>
      <c r="DI76" s="2">
        <v>3</v>
      </c>
      <c r="DJ76" s="2">
        <v>3</v>
      </c>
      <c r="DK76" s="2">
        <v>2</v>
      </c>
      <c r="DL76" s="2">
        <v>2</v>
      </c>
      <c r="DM76" s="2">
        <v>1</v>
      </c>
      <c r="DN76" s="2">
        <v>1</v>
      </c>
      <c r="DO76" s="2">
        <v>1</v>
      </c>
      <c r="DP76" s="2">
        <v>1</v>
      </c>
      <c r="DQ76" s="2">
        <v>2</v>
      </c>
      <c r="DR76" s="2">
        <v>1</v>
      </c>
      <c r="DS76" s="2">
        <v>2</v>
      </c>
      <c r="DT76" s="2">
        <v>2</v>
      </c>
      <c r="DU76" s="2">
        <v>1</v>
      </c>
      <c r="DV76" s="2">
        <v>1</v>
      </c>
      <c r="DW76" s="2">
        <v>1</v>
      </c>
      <c r="DX76" s="2">
        <v>4</v>
      </c>
      <c r="DY76" s="2">
        <v>4</v>
      </c>
      <c r="DZ76" s="2">
        <v>4</v>
      </c>
      <c r="EA76" s="2">
        <v>4</v>
      </c>
      <c r="EB76" s="2">
        <v>1</v>
      </c>
      <c r="EC76" s="2">
        <v>1</v>
      </c>
      <c r="ED76" s="2">
        <v>1</v>
      </c>
      <c r="EE76" s="2">
        <v>1</v>
      </c>
      <c r="EF76" s="2">
        <v>1</v>
      </c>
      <c r="EG76" s="2">
        <v>1</v>
      </c>
      <c r="EH76" s="2">
        <v>1</v>
      </c>
      <c r="EI76" s="2">
        <v>2</v>
      </c>
      <c r="EJ76" s="2">
        <v>2</v>
      </c>
      <c r="EK76" s="2">
        <v>2</v>
      </c>
      <c r="EL76" s="2">
        <v>2</v>
      </c>
      <c r="EM76" s="2">
        <v>2</v>
      </c>
      <c r="EN76" s="2">
        <v>1</v>
      </c>
      <c r="EO76" s="2">
        <v>3</v>
      </c>
      <c r="EP76" s="2">
        <v>1</v>
      </c>
      <c r="EQ76" s="2">
        <v>1</v>
      </c>
      <c r="ER76" s="2">
        <v>1</v>
      </c>
      <c r="ES76" s="2">
        <v>1</v>
      </c>
      <c r="ET76" s="2">
        <v>0</v>
      </c>
      <c r="EU76" s="2">
        <v>3</v>
      </c>
      <c r="EV76" s="2">
        <v>3</v>
      </c>
      <c r="EW76" s="2">
        <v>3</v>
      </c>
      <c r="EX76" s="2">
        <v>4</v>
      </c>
      <c r="EY76" s="2">
        <v>3</v>
      </c>
      <c r="EZ76" s="2">
        <v>3</v>
      </c>
      <c r="FA76" s="2">
        <v>2</v>
      </c>
      <c r="FB76" s="2">
        <v>2</v>
      </c>
      <c r="FC76" s="2">
        <v>2</v>
      </c>
      <c r="FD76" s="2">
        <v>2</v>
      </c>
      <c r="FE76" s="2">
        <v>2</v>
      </c>
      <c r="FF76" s="2">
        <v>3</v>
      </c>
      <c r="FG76" s="2">
        <v>2</v>
      </c>
      <c r="FH76" s="2">
        <v>2</v>
      </c>
      <c r="FI76" s="2">
        <v>2</v>
      </c>
      <c r="FJ76" s="2">
        <v>2</v>
      </c>
      <c r="FK76" s="2">
        <v>3</v>
      </c>
      <c r="FL76" s="2">
        <v>3</v>
      </c>
      <c r="FM76" s="2">
        <v>3</v>
      </c>
      <c r="FN76" s="2">
        <v>3</v>
      </c>
      <c r="FO76" s="2">
        <v>3</v>
      </c>
      <c r="FP76" s="2">
        <v>3</v>
      </c>
      <c r="FQ76" s="2">
        <v>4</v>
      </c>
      <c r="FR76" s="2">
        <v>4</v>
      </c>
      <c r="FS76" s="2">
        <v>4</v>
      </c>
      <c r="FT76" s="2">
        <v>4</v>
      </c>
      <c r="FU76" s="2">
        <v>4</v>
      </c>
      <c r="FV76" s="2">
        <v>2</v>
      </c>
      <c r="FW76" s="2">
        <v>3</v>
      </c>
      <c r="FX76" s="2">
        <v>3</v>
      </c>
      <c r="FY76" s="2">
        <v>3</v>
      </c>
      <c r="FZ76" s="2">
        <v>2</v>
      </c>
      <c r="GA76" s="2">
        <v>3</v>
      </c>
      <c r="GB76" s="2">
        <v>1</v>
      </c>
      <c r="GC76" s="2" t="s">
        <v>669</v>
      </c>
      <c r="GD76" s="2">
        <v>4</v>
      </c>
      <c r="GE76" s="2">
        <v>3</v>
      </c>
      <c r="GF76" s="2">
        <v>4</v>
      </c>
      <c r="GG76" s="2">
        <v>4</v>
      </c>
      <c r="GH76" s="2">
        <v>4</v>
      </c>
      <c r="GI76" s="2">
        <v>4</v>
      </c>
      <c r="GJ76" s="2">
        <v>4</v>
      </c>
      <c r="GK76" s="2">
        <v>3</v>
      </c>
      <c r="GL76" s="2">
        <v>3</v>
      </c>
      <c r="GM76" s="2">
        <v>3</v>
      </c>
      <c r="GN76" s="3">
        <v>4</v>
      </c>
      <c r="GO76" s="3">
        <v>4</v>
      </c>
      <c r="GP76" s="3">
        <v>2</v>
      </c>
      <c r="GQ76" s="3">
        <v>3</v>
      </c>
      <c r="GR76" s="3">
        <v>3</v>
      </c>
      <c r="GS76" s="3">
        <v>4</v>
      </c>
      <c r="GT76" s="3">
        <v>4</v>
      </c>
      <c r="GU76" s="3">
        <v>4</v>
      </c>
      <c r="GV76" s="3">
        <v>3</v>
      </c>
      <c r="GW76" s="3">
        <v>3</v>
      </c>
      <c r="GX76" s="3">
        <v>1</v>
      </c>
      <c r="GY76" s="3">
        <v>4</v>
      </c>
      <c r="GZ76" s="3">
        <v>3</v>
      </c>
      <c r="HA76" s="3">
        <v>1</v>
      </c>
      <c r="HB76" s="3">
        <v>3</v>
      </c>
      <c r="HC76" s="3">
        <v>4</v>
      </c>
      <c r="HD76" s="3">
        <v>3</v>
      </c>
      <c r="HE76" s="3">
        <v>1</v>
      </c>
      <c r="HF76" s="3">
        <v>3</v>
      </c>
      <c r="HG76" s="3">
        <v>1</v>
      </c>
      <c r="HH76" s="3">
        <v>2</v>
      </c>
      <c r="HI76" s="3">
        <v>3</v>
      </c>
      <c r="HJ76" s="3">
        <v>2</v>
      </c>
      <c r="HK76" s="3">
        <v>4</v>
      </c>
      <c r="HL76" s="3">
        <v>3</v>
      </c>
      <c r="HM76" s="3">
        <v>1</v>
      </c>
      <c r="HN76" s="3">
        <v>2</v>
      </c>
      <c r="HO76" s="3">
        <v>4</v>
      </c>
      <c r="HP76" s="3">
        <v>2</v>
      </c>
      <c r="HQ76" s="3">
        <v>2</v>
      </c>
      <c r="HR76" s="3">
        <v>1</v>
      </c>
      <c r="HS76" s="3">
        <v>1</v>
      </c>
      <c r="HT76" s="3">
        <v>1</v>
      </c>
      <c r="HU76" s="3">
        <v>1</v>
      </c>
      <c r="HV76" s="3">
        <v>3</v>
      </c>
      <c r="HW76" s="3">
        <v>3</v>
      </c>
      <c r="HX76" s="3">
        <v>2</v>
      </c>
      <c r="HY76" s="3">
        <v>1</v>
      </c>
      <c r="HZ76" s="3">
        <v>3</v>
      </c>
      <c r="IA76" s="3">
        <v>4</v>
      </c>
      <c r="IB76" s="3">
        <v>4</v>
      </c>
      <c r="IC76" s="3">
        <v>2</v>
      </c>
      <c r="ID76" s="3">
        <v>2</v>
      </c>
      <c r="IE76" s="3">
        <v>3</v>
      </c>
      <c r="IF76" s="3">
        <v>3</v>
      </c>
      <c r="IG76" s="3">
        <v>1</v>
      </c>
      <c r="IH76" s="3">
        <v>2</v>
      </c>
      <c r="II76" s="3">
        <v>2</v>
      </c>
      <c r="IJ76" s="3">
        <v>2</v>
      </c>
      <c r="IK76" s="3">
        <v>2</v>
      </c>
      <c r="IL76" s="3">
        <v>2</v>
      </c>
      <c r="IM76" s="3">
        <v>2</v>
      </c>
      <c r="IN76" s="3">
        <v>3</v>
      </c>
      <c r="IO76" s="3">
        <v>3</v>
      </c>
      <c r="IP76" s="3">
        <v>1</v>
      </c>
      <c r="IQ76" s="3">
        <v>2</v>
      </c>
      <c r="IR76" s="3" t="s">
        <v>670</v>
      </c>
      <c r="IS76" s="3">
        <v>4</v>
      </c>
      <c r="IT76" s="3">
        <v>3</v>
      </c>
      <c r="IU76" s="3">
        <v>4</v>
      </c>
      <c r="IV76" s="3">
        <v>3</v>
      </c>
      <c r="IW76" s="3">
        <v>3</v>
      </c>
      <c r="IX76" s="3">
        <v>2</v>
      </c>
      <c r="IY76" s="3">
        <v>1</v>
      </c>
      <c r="IZ76" s="2" t="s">
        <v>268</v>
      </c>
      <c r="JA76" s="2" t="s">
        <v>274</v>
      </c>
    </row>
    <row r="77" spans="1:261" ht="13.2" x14ac:dyDescent="0.25">
      <c r="A77" s="10" t="s">
        <v>274</v>
      </c>
      <c r="B77" s="2" t="s">
        <v>671</v>
      </c>
      <c r="C77" s="2" t="s">
        <v>261</v>
      </c>
      <c r="D77" s="2" t="s">
        <v>262</v>
      </c>
      <c r="E77" s="2">
        <v>35</v>
      </c>
      <c r="F77" s="11" t="s">
        <v>672</v>
      </c>
      <c r="G77" s="11" t="s">
        <v>673</v>
      </c>
      <c r="H77" s="2" t="s">
        <v>674</v>
      </c>
      <c r="I77" s="3">
        <v>1</v>
      </c>
      <c r="J77" s="3">
        <v>1</v>
      </c>
      <c r="K77" s="3">
        <v>1</v>
      </c>
      <c r="L77" s="3">
        <v>2</v>
      </c>
      <c r="M77" s="3">
        <v>1</v>
      </c>
      <c r="N77" s="3">
        <v>2</v>
      </c>
      <c r="O77" s="3">
        <v>1</v>
      </c>
      <c r="P77" s="3">
        <v>1</v>
      </c>
      <c r="Q77" s="3">
        <v>1</v>
      </c>
      <c r="R77" s="3">
        <v>0</v>
      </c>
      <c r="S77" s="3">
        <v>0</v>
      </c>
      <c r="T77" s="3">
        <v>0</v>
      </c>
      <c r="U77" s="3">
        <v>0</v>
      </c>
      <c r="V77" s="3">
        <v>0</v>
      </c>
      <c r="W77" s="3">
        <v>0</v>
      </c>
      <c r="X77" s="3">
        <v>1</v>
      </c>
      <c r="Y77" s="3">
        <v>0</v>
      </c>
      <c r="Z77" s="3">
        <v>0</v>
      </c>
      <c r="AA77" s="3">
        <v>0</v>
      </c>
      <c r="AB77" s="3">
        <v>0</v>
      </c>
      <c r="AC77" s="3">
        <v>0</v>
      </c>
      <c r="AD77" s="3">
        <v>0</v>
      </c>
      <c r="AE77" s="3">
        <v>1</v>
      </c>
      <c r="AF77" s="3">
        <v>1</v>
      </c>
      <c r="AG77" s="3">
        <v>0</v>
      </c>
      <c r="AH77" s="3">
        <v>0</v>
      </c>
      <c r="AI77" s="3">
        <v>0</v>
      </c>
      <c r="AJ77" s="3">
        <v>1</v>
      </c>
      <c r="AK77" s="3">
        <v>1</v>
      </c>
      <c r="AL77" s="3">
        <v>1</v>
      </c>
      <c r="AM77" s="3">
        <v>1</v>
      </c>
      <c r="AN77" s="3">
        <v>0</v>
      </c>
      <c r="AO77" s="3">
        <v>2</v>
      </c>
      <c r="AP77" s="3">
        <v>0</v>
      </c>
      <c r="AQ77" s="3">
        <v>0</v>
      </c>
      <c r="AR77" s="3">
        <v>0</v>
      </c>
      <c r="AS77" s="3">
        <v>1</v>
      </c>
      <c r="AT77" s="3">
        <v>0</v>
      </c>
      <c r="AU77" s="3">
        <v>0</v>
      </c>
      <c r="AV77" s="3">
        <v>1</v>
      </c>
      <c r="AW77" s="3">
        <v>1</v>
      </c>
      <c r="AX77" s="3">
        <v>1</v>
      </c>
      <c r="AY77" s="3">
        <v>1</v>
      </c>
      <c r="AZ77" s="3">
        <v>1</v>
      </c>
      <c r="BA77" s="3">
        <v>1</v>
      </c>
      <c r="BB77" s="3">
        <v>1</v>
      </c>
      <c r="BC77" s="3">
        <v>1</v>
      </c>
      <c r="BD77" s="3">
        <v>1</v>
      </c>
      <c r="BE77" s="3">
        <v>1</v>
      </c>
      <c r="BF77" s="3">
        <v>0</v>
      </c>
      <c r="BG77" s="3">
        <v>0</v>
      </c>
      <c r="BH77" s="3">
        <v>0</v>
      </c>
      <c r="BI77" s="3">
        <v>0</v>
      </c>
      <c r="BJ77" s="3">
        <v>1</v>
      </c>
      <c r="BK77" s="3">
        <v>1</v>
      </c>
      <c r="BL77" s="3">
        <v>1</v>
      </c>
      <c r="BM77" s="3" t="s">
        <v>675</v>
      </c>
      <c r="BN77" s="3">
        <v>3</v>
      </c>
      <c r="BO77" s="3">
        <v>2</v>
      </c>
      <c r="BP77" s="3">
        <v>2</v>
      </c>
      <c r="BQ77" s="3">
        <v>3</v>
      </c>
      <c r="BR77" s="3">
        <v>4</v>
      </c>
      <c r="BS77" s="3">
        <v>1</v>
      </c>
      <c r="BT77" s="3">
        <v>1</v>
      </c>
      <c r="BU77" s="2">
        <v>1</v>
      </c>
      <c r="BV77" s="2">
        <v>1</v>
      </c>
      <c r="BW77" s="2">
        <v>1</v>
      </c>
      <c r="BX77" s="2">
        <v>1</v>
      </c>
      <c r="BY77" s="2">
        <v>1</v>
      </c>
      <c r="BZ77" s="2">
        <v>1</v>
      </c>
      <c r="CA77" s="2">
        <v>1</v>
      </c>
      <c r="CB77" s="2">
        <v>2</v>
      </c>
      <c r="CC77" s="2">
        <v>2</v>
      </c>
      <c r="CD77" s="2">
        <v>1</v>
      </c>
      <c r="CE77" s="2">
        <v>1</v>
      </c>
      <c r="CF77" s="2">
        <v>1</v>
      </c>
      <c r="CG77" s="2">
        <v>1</v>
      </c>
      <c r="CH77" s="2">
        <v>1</v>
      </c>
      <c r="CI77" s="2">
        <v>1</v>
      </c>
      <c r="CJ77" s="2">
        <v>1</v>
      </c>
      <c r="CK77" s="2">
        <v>1</v>
      </c>
      <c r="CL77" s="2">
        <v>3</v>
      </c>
      <c r="CM77" s="2">
        <v>1</v>
      </c>
      <c r="CN77" s="2">
        <v>1</v>
      </c>
      <c r="CO77" s="2">
        <v>1</v>
      </c>
      <c r="CP77" s="2">
        <v>1</v>
      </c>
      <c r="CQ77" s="2">
        <v>1</v>
      </c>
      <c r="CR77" s="2">
        <v>1</v>
      </c>
      <c r="CS77" s="2">
        <v>1</v>
      </c>
      <c r="CT77" s="2">
        <v>1</v>
      </c>
      <c r="CU77" s="2">
        <v>1</v>
      </c>
      <c r="CV77" s="2">
        <v>1</v>
      </c>
      <c r="CW77" s="2">
        <v>1</v>
      </c>
      <c r="CX77" s="2">
        <v>1</v>
      </c>
      <c r="CY77" s="2">
        <v>1</v>
      </c>
      <c r="CZ77" s="2">
        <v>1</v>
      </c>
      <c r="DA77" s="2">
        <v>1</v>
      </c>
      <c r="DB77" s="2">
        <v>1</v>
      </c>
      <c r="DC77" s="2">
        <v>1</v>
      </c>
      <c r="DD77" s="2">
        <v>1</v>
      </c>
      <c r="DE77" s="2">
        <v>3</v>
      </c>
      <c r="DF77" s="2">
        <v>1</v>
      </c>
      <c r="DG77" s="2">
        <v>3</v>
      </c>
      <c r="DH77" s="2">
        <v>1</v>
      </c>
      <c r="DI77" s="2">
        <v>3</v>
      </c>
      <c r="DJ77" s="2">
        <v>1</v>
      </c>
      <c r="DK77" s="2">
        <v>1</v>
      </c>
      <c r="DL77" s="2">
        <v>1</v>
      </c>
      <c r="DM77" s="2">
        <v>1</v>
      </c>
      <c r="DN77" s="2">
        <v>1</v>
      </c>
      <c r="DO77" s="2">
        <v>1</v>
      </c>
      <c r="DP77" s="2">
        <v>1</v>
      </c>
      <c r="DQ77" s="2">
        <v>1</v>
      </c>
      <c r="DR77" s="2">
        <v>0</v>
      </c>
      <c r="DS77" s="2">
        <v>2</v>
      </c>
      <c r="DT77" s="2">
        <v>2</v>
      </c>
      <c r="DU77" s="2">
        <v>1</v>
      </c>
      <c r="DV77" s="2">
        <v>1</v>
      </c>
      <c r="DW77" s="2">
        <v>1</v>
      </c>
      <c r="DX77" s="2">
        <v>1</v>
      </c>
      <c r="DY77" s="2">
        <v>1</v>
      </c>
      <c r="DZ77" s="2">
        <v>1</v>
      </c>
      <c r="EA77" s="2">
        <v>1</v>
      </c>
      <c r="EB77" s="2">
        <v>1</v>
      </c>
      <c r="EC77" s="2">
        <v>1</v>
      </c>
      <c r="ED77" s="2">
        <v>1</v>
      </c>
      <c r="EE77" s="2">
        <v>1</v>
      </c>
      <c r="EF77" s="2">
        <v>1</v>
      </c>
      <c r="EG77" s="2">
        <v>1</v>
      </c>
      <c r="EH77" s="2">
        <v>1</v>
      </c>
      <c r="EI77" s="2">
        <v>1</v>
      </c>
      <c r="EJ77" s="2">
        <v>1</v>
      </c>
      <c r="EK77" s="2">
        <v>1</v>
      </c>
      <c r="EL77" s="2">
        <v>1</v>
      </c>
      <c r="EM77" s="2">
        <v>1</v>
      </c>
      <c r="EN77" s="2">
        <v>0</v>
      </c>
      <c r="EO77" s="2">
        <v>0</v>
      </c>
      <c r="EP77" s="2">
        <v>0</v>
      </c>
      <c r="EQ77" s="2">
        <v>0</v>
      </c>
      <c r="ER77" s="2">
        <v>0</v>
      </c>
      <c r="ES77" s="2">
        <v>0</v>
      </c>
      <c r="ET77" s="2">
        <v>0</v>
      </c>
      <c r="EU77" s="2">
        <v>3</v>
      </c>
      <c r="EV77" s="2">
        <v>3</v>
      </c>
      <c r="EW77" s="2">
        <v>3</v>
      </c>
      <c r="EX77" s="2">
        <v>1</v>
      </c>
      <c r="EY77" s="2">
        <v>1</v>
      </c>
      <c r="EZ77" s="2">
        <v>1</v>
      </c>
      <c r="FA77" s="2">
        <v>0</v>
      </c>
      <c r="FB77" s="2">
        <v>1</v>
      </c>
      <c r="FC77" s="2">
        <v>1</v>
      </c>
      <c r="FD77" s="2">
        <v>1</v>
      </c>
      <c r="FE77" s="2">
        <v>1</v>
      </c>
      <c r="FF77" s="2">
        <v>1</v>
      </c>
      <c r="FG77" s="2">
        <v>1</v>
      </c>
      <c r="FH77" s="2">
        <v>1</v>
      </c>
      <c r="FI77" s="2">
        <v>1</v>
      </c>
      <c r="FJ77" s="2">
        <v>1</v>
      </c>
      <c r="FK77" s="2">
        <v>1</v>
      </c>
      <c r="FL77" s="2">
        <v>1</v>
      </c>
      <c r="FM77" s="2">
        <v>1</v>
      </c>
      <c r="FN77" s="2">
        <v>1</v>
      </c>
      <c r="FO77" s="2">
        <v>1</v>
      </c>
      <c r="FP77" s="2">
        <v>1</v>
      </c>
      <c r="FQ77" s="2">
        <v>1</v>
      </c>
      <c r="FR77" s="2">
        <v>1</v>
      </c>
      <c r="FS77" s="2">
        <v>1</v>
      </c>
      <c r="FT77" s="2">
        <v>1</v>
      </c>
      <c r="FU77" s="2">
        <v>1</v>
      </c>
      <c r="FV77" s="2">
        <v>1</v>
      </c>
      <c r="FW77" s="2">
        <v>1</v>
      </c>
      <c r="FX77" s="2">
        <v>1</v>
      </c>
      <c r="FY77" s="2">
        <v>1</v>
      </c>
      <c r="FZ77" s="2">
        <v>1</v>
      </c>
      <c r="GA77" s="2">
        <v>1</v>
      </c>
      <c r="GB77" s="2">
        <v>1</v>
      </c>
      <c r="GC77" s="2" t="s">
        <v>676</v>
      </c>
      <c r="GD77" s="2">
        <v>2</v>
      </c>
      <c r="GE77" s="2">
        <v>1</v>
      </c>
      <c r="GF77" s="2">
        <v>1</v>
      </c>
      <c r="GG77" s="2">
        <v>3</v>
      </c>
      <c r="GH77" s="2">
        <v>3</v>
      </c>
      <c r="GI77" s="2">
        <v>3</v>
      </c>
      <c r="GJ77" s="2">
        <v>3</v>
      </c>
      <c r="GK77" s="2">
        <v>1</v>
      </c>
      <c r="GL77" s="2">
        <v>1</v>
      </c>
      <c r="GM77" s="2">
        <v>1</v>
      </c>
      <c r="GN77" s="3">
        <v>1</v>
      </c>
      <c r="GO77" s="3">
        <v>1</v>
      </c>
      <c r="GP77" s="3">
        <v>1</v>
      </c>
      <c r="GQ77" s="3">
        <v>2</v>
      </c>
      <c r="GR77" s="3">
        <v>1</v>
      </c>
      <c r="GS77" s="3">
        <v>1</v>
      </c>
      <c r="GT77" s="3">
        <v>2</v>
      </c>
      <c r="GU77" s="3">
        <v>0</v>
      </c>
      <c r="GV77" s="3">
        <v>1</v>
      </c>
      <c r="GW77" s="3">
        <v>1</v>
      </c>
      <c r="GX77" s="3">
        <v>1</v>
      </c>
      <c r="GY77" s="3">
        <v>1</v>
      </c>
      <c r="GZ77" s="3">
        <v>1</v>
      </c>
      <c r="HA77" s="3">
        <v>1</v>
      </c>
      <c r="HB77" s="3">
        <v>1</v>
      </c>
      <c r="HC77" s="3">
        <v>1</v>
      </c>
      <c r="HD77" s="3">
        <v>1</v>
      </c>
      <c r="HE77" s="3">
        <v>1</v>
      </c>
      <c r="HF77" s="3">
        <v>1</v>
      </c>
      <c r="HG77" s="3">
        <v>0</v>
      </c>
      <c r="HH77" s="3">
        <v>1</v>
      </c>
      <c r="HI77" s="3">
        <v>1</v>
      </c>
      <c r="HJ77" s="3">
        <v>1</v>
      </c>
      <c r="HK77" s="3">
        <v>1</v>
      </c>
      <c r="HL77" s="3">
        <v>1</v>
      </c>
      <c r="HM77" s="3">
        <v>1</v>
      </c>
      <c r="HN77" s="3">
        <v>1</v>
      </c>
      <c r="HO77" s="3">
        <v>1</v>
      </c>
      <c r="HP77" s="3">
        <v>1</v>
      </c>
      <c r="HQ77" s="3">
        <v>1</v>
      </c>
      <c r="HR77" s="3">
        <v>1</v>
      </c>
      <c r="HS77" s="3">
        <v>1</v>
      </c>
      <c r="HT77" s="3">
        <v>1</v>
      </c>
      <c r="HU77" s="3">
        <v>1</v>
      </c>
      <c r="HV77" s="3">
        <v>1</v>
      </c>
      <c r="HW77" s="3">
        <v>1</v>
      </c>
      <c r="HX77" s="3">
        <v>1</v>
      </c>
      <c r="HY77" s="3">
        <v>1</v>
      </c>
      <c r="HZ77" s="3">
        <v>1</v>
      </c>
      <c r="IA77" s="3">
        <v>1</v>
      </c>
      <c r="IB77" s="3">
        <v>1</v>
      </c>
      <c r="IC77" s="3">
        <v>0</v>
      </c>
      <c r="ID77" s="3">
        <v>0</v>
      </c>
      <c r="IE77" s="3">
        <v>0</v>
      </c>
      <c r="IF77" s="3">
        <v>0</v>
      </c>
      <c r="IG77" s="3">
        <v>0</v>
      </c>
      <c r="IH77" s="3">
        <v>0</v>
      </c>
      <c r="II77" s="3">
        <v>1</v>
      </c>
      <c r="IJ77" s="3">
        <v>1</v>
      </c>
      <c r="IK77" s="3">
        <v>1</v>
      </c>
      <c r="IL77" s="3">
        <v>1</v>
      </c>
      <c r="IM77" s="3">
        <v>1</v>
      </c>
      <c r="IN77" s="3">
        <v>1</v>
      </c>
      <c r="IO77" s="3">
        <v>1</v>
      </c>
      <c r="IP77" s="3">
        <v>1</v>
      </c>
      <c r="IQ77" s="3">
        <v>1</v>
      </c>
      <c r="IR77" s="3" t="s">
        <v>677</v>
      </c>
      <c r="IS77" s="3">
        <v>1</v>
      </c>
      <c r="IT77" s="3">
        <v>3</v>
      </c>
      <c r="IU77" s="3">
        <v>3</v>
      </c>
      <c r="IV77" s="3">
        <v>1</v>
      </c>
      <c r="IW77" s="3">
        <v>1</v>
      </c>
      <c r="IX77" s="3">
        <v>1</v>
      </c>
      <c r="IY77" s="3">
        <v>3</v>
      </c>
      <c r="IZ77" s="2" t="s">
        <v>268</v>
      </c>
      <c r="JA77" s="2" t="s">
        <v>274</v>
      </c>
    </row>
    <row r="78" spans="1:261" ht="13.2" x14ac:dyDescent="0.25">
      <c r="A78" s="10" t="s">
        <v>274</v>
      </c>
      <c r="B78" s="2" t="s">
        <v>678</v>
      </c>
      <c r="C78" s="2" t="s">
        <v>276</v>
      </c>
      <c r="D78" s="2" t="s">
        <v>270</v>
      </c>
      <c r="E78" s="2">
        <v>20</v>
      </c>
      <c r="F78" s="11" t="s">
        <v>679</v>
      </c>
      <c r="G78" s="11" t="s">
        <v>680</v>
      </c>
      <c r="H78" s="2" t="s">
        <v>681</v>
      </c>
      <c r="I78" s="3">
        <v>3</v>
      </c>
      <c r="J78" s="3">
        <v>3</v>
      </c>
      <c r="K78" s="3">
        <v>3</v>
      </c>
      <c r="L78" s="3">
        <v>3</v>
      </c>
      <c r="M78" s="3">
        <v>3</v>
      </c>
      <c r="N78" s="3">
        <v>3</v>
      </c>
      <c r="O78" s="3">
        <v>3</v>
      </c>
      <c r="P78" s="3">
        <v>3</v>
      </c>
      <c r="Q78" s="3">
        <v>3</v>
      </c>
      <c r="R78" s="3">
        <v>3</v>
      </c>
      <c r="S78" s="3">
        <v>3</v>
      </c>
      <c r="T78" s="3">
        <v>3</v>
      </c>
      <c r="U78" s="3">
        <v>3</v>
      </c>
      <c r="V78" s="3">
        <v>3</v>
      </c>
      <c r="W78" s="3">
        <v>3</v>
      </c>
      <c r="X78" s="3">
        <v>3</v>
      </c>
      <c r="Y78" s="3">
        <v>4</v>
      </c>
      <c r="Z78" s="3">
        <v>4</v>
      </c>
      <c r="AA78" s="3">
        <v>3</v>
      </c>
      <c r="AB78" s="3">
        <v>4</v>
      </c>
      <c r="AC78" s="3">
        <v>2</v>
      </c>
      <c r="AD78" s="3">
        <v>2</v>
      </c>
      <c r="AE78" s="3">
        <v>2</v>
      </c>
      <c r="AF78" s="3">
        <v>2</v>
      </c>
      <c r="AG78" s="3">
        <v>3</v>
      </c>
      <c r="AH78" s="3">
        <v>3</v>
      </c>
      <c r="AI78" s="3">
        <v>3</v>
      </c>
      <c r="AJ78" s="3">
        <v>3</v>
      </c>
      <c r="AK78" s="3">
        <v>2</v>
      </c>
      <c r="AL78" s="3">
        <v>2</v>
      </c>
      <c r="AM78" s="3">
        <v>3</v>
      </c>
      <c r="AN78" s="3">
        <v>2</v>
      </c>
      <c r="AO78" s="3">
        <v>3</v>
      </c>
      <c r="AP78" s="3">
        <v>3</v>
      </c>
      <c r="AQ78" s="3">
        <v>3</v>
      </c>
      <c r="AR78" s="3">
        <v>3</v>
      </c>
      <c r="AS78" s="3">
        <v>2</v>
      </c>
      <c r="AT78" s="3">
        <v>2</v>
      </c>
      <c r="AU78" s="3">
        <v>3</v>
      </c>
      <c r="AV78" s="3">
        <v>2</v>
      </c>
      <c r="AW78" s="3">
        <v>3</v>
      </c>
      <c r="AX78" s="3">
        <v>3</v>
      </c>
      <c r="AY78" s="3">
        <v>3</v>
      </c>
      <c r="AZ78" s="3">
        <v>3</v>
      </c>
      <c r="BA78" s="3">
        <v>2</v>
      </c>
      <c r="BB78" s="3">
        <v>2</v>
      </c>
      <c r="BC78" s="3">
        <v>2</v>
      </c>
      <c r="BD78" s="3">
        <v>2</v>
      </c>
      <c r="BE78" s="3">
        <v>2</v>
      </c>
      <c r="BF78" s="3">
        <v>2</v>
      </c>
      <c r="BG78" s="3">
        <v>3</v>
      </c>
      <c r="BH78" s="3">
        <v>2</v>
      </c>
      <c r="BI78" s="3">
        <v>3</v>
      </c>
      <c r="BJ78" s="3">
        <v>3</v>
      </c>
      <c r="BK78" s="3">
        <v>3</v>
      </c>
      <c r="BL78" s="3">
        <v>3</v>
      </c>
      <c r="BM78" s="3" t="s">
        <v>274</v>
      </c>
      <c r="BN78" s="3" t="s">
        <v>274</v>
      </c>
      <c r="BO78" s="3">
        <v>3</v>
      </c>
      <c r="BP78" s="3">
        <v>3</v>
      </c>
      <c r="BQ78" s="3">
        <v>3</v>
      </c>
      <c r="BR78" s="3">
        <v>3</v>
      </c>
      <c r="BS78" s="3">
        <v>4</v>
      </c>
      <c r="BT78" s="3">
        <v>4</v>
      </c>
      <c r="BU78" s="2">
        <v>4</v>
      </c>
      <c r="BV78" s="2">
        <v>2</v>
      </c>
      <c r="BW78" s="2">
        <v>4</v>
      </c>
      <c r="BX78" s="2">
        <v>4</v>
      </c>
      <c r="BY78" s="2">
        <v>1</v>
      </c>
      <c r="BZ78" s="2">
        <v>1</v>
      </c>
      <c r="CA78" s="2">
        <v>4</v>
      </c>
      <c r="CB78" s="2">
        <v>3</v>
      </c>
      <c r="CC78" s="2">
        <v>4</v>
      </c>
      <c r="CD78" s="2">
        <v>4</v>
      </c>
      <c r="CE78" s="2">
        <v>2</v>
      </c>
      <c r="CF78" s="2">
        <v>4</v>
      </c>
      <c r="CG78" s="2">
        <v>4</v>
      </c>
      <c r="CH78" s="2">
        <v>1</v>
      </c>
      <c r="CI78" s="2">
        <v>3</v>
      </c>
      <c r="CJ78" s="2">
        <v>4</v>
      </c>
      <c r="CK78" s="2">
        <v>4</v>
      </c>
      <c r="CL78" s="2">
        <v>2</v>
      </c>
      <c r="CM78" s="2">
        <v>3</v>
      </c>
      <c r="CN78" s="2">
        <v>4</v>
      </c>
      <c r="CO78" s="2">
        <v>1</v>
      </c>
      <c r="CP78" s="2">
        <v>1</v>
      </c>
      <c r="CQ78" s="2">
        <v>1</v>
      </c>
      <c r="CR78" s="2">
        <v>4</v>
      </c>
      <c r="CS78" s="2">
        <v>4</v>
      </c>
      <c r="CT78" s="2">
        <v>4</v>
      </c>
      <c r="CU78" s="2">
        <v>1</v>
      </c>
      <c r="CV78" s="2">
        <v>3</v>
      </c>
      <c r="CW78" s="2">
        <v>4</v>
      </c>
      <c r="CX78" s="2">
        <v>4</v>
      </c>
      <c r="CY78" s="2">
        <v>1</v>
      </c>
      <c r="CZ78" s="2">
        <v>2</v>
      </c>
      <c r="DA78" s="2">
        <v>4</v>
      </c>
      <c r="DB78" s="2">
        <v>4</v>
      </c>
      <c r="DC78" s="2">
        <v>4</v>
      </c>
      <c r="DD78" s="2">
        <v>2</v>
      </c>
      <c r="DE78" s="2">
        <v>2</v>
      </c>
      <c r="DF78" s="2">
        <v>4</v>
      </c>
      <c r="DG78" s="2">
        <v>2</v>
      </c>
      <c r="DH78" s="2">
        <v>4</v>
      </c>
      <c r="DI78" s="2">
        <v>2</v>
      </c>
      <c r="DJ78" s="2">
        <v>1</v>
      </c>
      <c r="DK78" s="2">
        <v>0</v>
      </c>
      <c r="DL78" s="2">
        <v>4</v>
      </c>
      <c r="DM78" s="2">
        <v>2</v>
      </c>
      <c r="DN78" s="2">
        <v>4</v>
      </c>
      <c r="DO78" s="2">
        <v>0</v>
      </c>
      <c r="DP78" s="2">
        <v>4</v>
      </c>
      <c r="DQ78" s="2">
        <v>4</v>
      </c>
      <c r="DR78" s="2">
        <v>2</v>
      </c>
      <c r="DS78" s="2">
        <v>4</v>
      </c>
      <c r="DT78" s="2">
        <v>2</v>
      </c>
      <c r="DU78" s="2">
        <v>2</v>
      </c>
      <c r="DV78" s="2">
        <v>0</v>
      </c>
      <c r="DW78" s="2">
        <v>1</v>
      </c>
      <c r="DX78" s="2">
        <v>4</v>
      </c>
      <c r="DY78" s="2">
        <v>4</v>
      </c>
      <c r="DZ78" s="2">
        <v>4</v>
      </c>
      <c r="EA78" s="2">
        <v>2</v>
      </c>
      <c r="EB78" s="2">
        <v>4</v>
      </c>
      <c r="EC78" s="2">
        <v>3</v>
      </c>
      <c r="ED78" s="2">
        <v>2</v>
      </c>
      <c r="EE78" s="2">
        <v>3</v>
      </c>
      <c r="EF78" s="2">
        <v>3</v>
      </c>
      <c r="EG78" s="2">
        <v>4</v>
      </c>
      <c r="EH78" s="2">
        <v>1</v>
      </c>
      <c r="EI78" s="2">
        <v>4</v>
      </c>
      <c r="EJ78" s="2">
        <v>2</v>
      </c>
      <c r="EK78" s="2">
        <v>2</v>
      </c>
      <c r="EL78" s="2">
        <v>2</v>
      </c>
      <c r="EM78" s="2">
        <v>2</v>
      </c>
      <c r="EN78" s="2">
        <v>4</v>
      </c>
      <c r="EO78" s="2">
        <v>2</v>
      </c>
      <c r="EP78" s="2">
        <v>2</v>
      </c>
      <c r="EQ78" s="2">
        <v>4</v>
      </c>
      <c r="ER78" s="2">
        <v>2</v>
      </c>
      <c r="ES78" s="2">
        <v>4</v>
      </c>
      <c r="ET78" s="2">
        <v>0</v>
      </c>
      <c r="EU78" s="2">
        <v>4</v>
      </c>
      <c r="EV78" s="2">
        <v>2</v>
      </c>
      <c r="EW78" s="2">
        <v>2</v>
      </c>
      <c r="EX78" s="2">
        <v>4</v>
      </c>
      <c r="EY78" s="2">
        <v>1</v>
      </c>
      <c r="EZ78" s="2">
        <v>1</v>
      </c>
      <c r="FA78" s="2">
        <v>2</v>
      </c>
      <c r="FB78" s="2">
        <v>2</v>
      </c>
      <c r="FC78" s="2">
        <v>4</v>
      </c>
      <c r="FD78" s="2">
        <v>2</v>
      </c>
      <c r="FE78" s="2">
        <v>2</v>
      </c>
      <c r="FF78" s="2">
        <v>4</v>
      </c>
      <c r="FG78" s="2">
        <v>4</v>
      </c>
      <c r="FH78" s="2">
        <v>4</v>
      </c>
      <c r="FI78" s="2">
        <v>2</v>
      </c>
      <c r="FJ78" s="2">
        <v>1</v>
      </c>
      <c r="FK78" s="2">
        <v>3</v>
      </c>
      <c r="FL78" s="2">
        <v>3</v>
      </c>
      <c r="FM78" s="2">
        <v>3</v>
      </c>
      <c r="FN78" s="2">
        <v>3</v>
      </c>
      <c r="FO78" s="2">
        <v>2</v>
      </c>
      <c r="FP78" s="2">
        <v>4</v>
      </c>
      <c r="FQ78" s="2">
        <v>2</v>
      </c>
      <c r="FR78" s="2">
        <v>4</v>
      </c>
      <c r="FS78" s="2">
        <v>2</v>
      </c>
      <c r="FT78" s="2">
        <v>1</v>
      </c>
      <c r="FU78" s="2">
        <v>4</v>
      </c>
      <c r="FV78" s="2">
        <v>2</v>
      </c>
      <c r="FW78" s="2">
        <v>4</v>
      </c>
      <c r="FX78" s="2">
        <v>4</v>
      </c>
      <c r="FY78" s="2">
        <v>4</v>
      </c>
      <c r="FZ78" s="2">
        <v>2</v>
      </c>
      <c r="GA78" s="2">
        <v>2</v>
      </c>
      <c r="GB78" s="2">
        <v>3</v>
      </c>
      <c r="GC78" s="2" t="s">
        <v>274</v>
      </c>
      <c r="GD78" s="2">
        <v>2</v>
      </c>
      <c r="GE78" s="2">
        <v>4</v>
      </c>
      <c r="GF78" s="2">
        <v>2</v>
      </c>
      <c r="GG78" s="2">
        <v>4</v>
      </c>
      <c r="GH78" s="2">
        <v>4</v>
      </c>
      <c r="GI78" s="2">
        <v>3</v>
      </c>
      <c r="GJ78" s="2">
        <v>4</v>
      </c>
      <c r="GK78" s="2">
        <v>2</v>
      </c>
      <c r="GL78" s="2">
        <v>2</v>
      </c>
      <c r="GM78" s="2">
        <v>4</v>
      </c>
      <c r="GN78" s="3">
        <v>4</v>
      </c>
      <c r="GO78" s="3">
        <v>4</v>
      </c>
      <c r="GP78" s="3">
        <v>1</v>
      </c>
      <c r="GQ78" s="3">
        <v>4</v>
      </c>
      <c r="GR78" s="3">
        <v>4</v>
      </c>
      <c r="GS78" s="3">
        <v>2</v>
      </c>
      <c r="GT78" s="3">
        <v>4</v>
      </c>
      <c r="GU78" s="3">
        <v>4</v>
      </c>
      <c r="GV78" s="3">
        <v>2</v>
      </c>
      <c r="GW78" s="3">
        <v>0</v>
      </c>
      <c r="GX78" s="3">
        <v>1</v>
      </c>
      <c r="GY78" s="3">
        <v>3</v>
      </c>
      <c r="GZ78" s="3">
        <v>4</v>
      </c>
      <c r="HA78" s="3">
        <v>2</v>
      </c>
      <c r="HB78" s="3">
        <v>4</v>
      </c>
      <c r="HC78" s="3">
        <v>3</v>
      </c>
      <c r="HD78" s="3">
        <v>0</v>
      </c>
      <c r="HE78" s="3">
        <v>2</v>
      </c>
      <c r="HF78" s="3">
        <v>2</v>
      </c>
      <c r="HG78" s="3">
        <v>4</v>
      </c>
      <c r="HH78" s="3">
        <v>4</v>
      </c>
      <c r="HI78" s="3">
        <v>4</v>
      </c>
      <c r="HJ78" s="3">
        <v>0</v>
      </c>
      <c r="HK78" s="3">
        <v>4</v>
      </c>
      <c r="HL78" s="3">
        <v>2</v>
      </c>
      <c r="HM78" s="3">
        <v>1</v>
      </c>
      <c r="HN78" s="3">
        <v>2</v>
      </c>
      <c r="HO78" s="3">
        <v>4</v>
      </c>
      <c r="HP78" s="3">
        <v>2</v>
      </c>
      <c r="HQ78" s="3">
        <v>2</v>
      </c>
      <c r="HR78" s="3">
        <v>2</v>
      </c>
      <c r="HS78" s="3">
        <v>2</v>
      </c>
      <c r="HT78" s="3">
        <v>2</v>
      </c>
      <c r="HU78" s="3">
        <v>1</v>
      </c>
      <c r="HV78" s="3">
        <v>4</v>
      </c>
      <c r="HW78" s="3">
        <v>4</v>
      </c>
      <c r="HX78" s="3">
        <v>4</v>
      </c>
      <c r="HY78" s="3">
        <v>2</v>
      </c>
      <c r="HZ78" s="3">
        <v>2</v>
      </c>
      <c r="IA78" s="3">
        <v>4</v>
      </c>
      <c r="IB78" s="3">
        <v>3</v>
      </c>
      <c r="IC78" s="3">
        <v>2</v>
      </c>
      <c r="ID78" s="3">
        <v>4</v>
      </c>
      <c r="IE78" s="3">
        <v>2</v>
      </c>
      <c r="IF78" s="3">
        <v>4</v>
      </c>
      <c r="IG78" s="3">
        <v>2</v>
      </c>
      <c r="IH78" s="3">
        <v>1</v>
      </c>
      <c r="II78" s="3">
        <v>4</v>
      </c>
      <c r="IJ78" s="3">
        <v>2</v>
      </c>
      <c r="IK78" s="3">
        <v>1</v>
      </c>
      <c r="IL78" s="3">
        <v>2</v>
      </c>
      <c r="IM78" s="3">
        <v>4</v>
      </c>
      <c r="IN78" s="3">
        <v>2</v>
      </c>
      <c r="IO78" s="3">
        <v>4</v>
      </c>
      <c r="IP78" s="3">
        <v>2</v>
      </c>
      <c r="IQ78" s="3">
        <v>3</v>
      </c>
      <c r="IR78" s="3" t="s">
        <v>274</v>
      </c>
      <c r="IS78" s="3">
        <v>3</v>
      </c>
      <c r="IT78" s="3">
        <v>4</v>
      </c>
      <c r="IU78" s="3">
        <v>3</v>
      </c>
      <c r="IV78" s="3">
        <v>4</v>
      </c>
      <c r="IW78" s="3">
        <v>4</v>
      </c>
      <c r="IX78" s="3">
        <v>1</v>
      </c>
      <c r="IY78" s="3">
        <v>2</v>
      </c>
      <c r="IZ78" s="2" t="s">
        <v>268</v>
      </c>
      <c r="JA78" s="2" t="s">
        <v>274</v>
      </c>
    </row>
    <row r="79" spans="1:261" ht="13.2" x14ac:dyDescent="0.25">
      <c r="A79" s="10" t="s">
        <v>274</v>
      </c>
      <c r="B79" s="2" t="s">
        <v>682</v>
      </c>
      <c r="C79" s="2" t="s">
        <v>261</v>
      </c>
      <c r="D79" s="2" t="s">
        <v>270</v>
      </c>
      <c r="E79" s="2">
        <v>24</v>
      </c>
      <c r="F79" s="11" t="s">
        <v>683</v>
      </c>
      <c r="G79" s="11" t="s">
        <v>684</v>
      </c>
      <c r="H79" s="2" t="s">
        <v>685</v>
      </c>
      <c r="I79" s="3">
        <v>3</v>
      </c>
      <c r="J79" s="3">
        <v>2</v>
      </c>
      <c r="K79" s="3">
        <v>4</v>
      </c>
      <c r="L79" s="3">
        <v>3</v>
      </c>
      <c r="M79" s="3">
        <v>3</v>
      </c>
      <c r="N79" s="3">
        <v>3</v>
      </c>
      <c r="O79" s="3">
        <v>2</v>
      </c>
      <c r="P79" s="3">
        <v>2</v>
      </c>
      <c r="Q79" s="3">
        <v>1</v>
      </c>
      <c r="R79" s="3">
        <v>3</v>
      </c>
      <c r="S79" s="3">
        <v>2</v>
      </c>
      <c r="T79" s="3">
        <v>1</v>
      </c>
      <c r="U79" s="3">
        <v>1</v>
      </c>
      <c r="V79" s="3">
        <v>2</v>
      </c>
      <c r="W79" s="3">
        <v>2</v>
      </c>
      <c r="X79" s="3">
        <v>1</v>
      </c>
      <c r="Y79" s="3">
        <v>2</v>
      </c>
      <c r="Z79" s="3">
        <v>1</v>
      </c>
      <c r="AA79" s="3">
        <v>3</v>
      </c>
      <c r="AB79" s="3">
        <v>2</v>
      </c>
      <c r="AC79" s="3">
        <v>3</v>
      </c>
      <c r="AD79" s="3">
        <v>3</v>
      </c>
      <c r="AE79" s="3">
        <v>4</v>
      </c>
      <c r="AF79" s="3">
        <v>4</v>
      </c>
      <c r="AG79" s="3">
        <v>4</v>
      </c>
      <c r="AH79" s="3">
        <v>4</v>
      </c>
      <c r="AI79" s="3">
        <v>3</v>
      </c>
      <c r="AJ79" s="3">
        <v>4</v>
      </c>
      <c r="AK79" s="3">
        <v>4</v>
      </c>
      <c r="AL79" s="3">
        <v>3</v>
      </c>
      <c r="AM79" s="3">
        <v>2</v>
      </c>
      <c r="AN79" s="3">
        <v>4</v>
      </c>
      <c r="AO79" s="3">
        <v>3</v>
      </c>
      <c r="AP79" s="3">
        <v>2</v>
      </c>
      <c r="AQ79" s="3">
        <v>2</v>
      </c>
      <c r="AR79" s="3">
        <v>2</v>
      </c>
      <c r="AS79" s="3">
        <v>3</v>
      </c>
      <c r="AT79" s="3">
        <v>3</v>
      </c>
      <c r="AU79" s="3">
        <v>4</v>
      </c>
      <c r="AV79" s="3">
        <v>4</v>
      </c>
      <c r="AW79" s="3">
        <v>4</v>
      </c>
      <c r="AX79" s="3">
        <v>4</v>
      </c>
      <c r="AY79" s="3">
        <v>4</v>
      </c>
      <c r="AZ79" s="3">
        <v>4</v>
      </c>
      <c r="BA79" s="3">
        <v>4</v>
      </c>
      <c r="BB79" s="3">
        <v>1</v>
      </c>
      <c r="BC79" s="3">
        <v>0</v>
      </c>
      <c r="BD79" s="3">
        <v>1</v>
      </c>
      <c r="BE79" s="3">
        <v>2</v>
      </c>
      <c r="BF79" s="3">
        <v>1</v>
      </c>
      <c r="BG79" s="3">
        <v>2</v>
      </c>
      <c r="BH79" s="3">
        <v>3</v>
      </c>
      <c r="BI79" s="3">
        <v>2</v>
      </c>
      <c r="BJ79" s="3">
        <v>2</v>
      </c>
      <c r="BK79" s="3">
        <v>1</v>
      </c>
      <c r="BL79" s="3">
        <v>0</v>
      </c>
      <c r="BM79" s="3" t="s">
        <v>274</v>
      </c>
      <c r="BN79" s="3">
        <v>4</v>
      </c>
      <c r="BO79" s="3">
        <v>2</v>
      </c>
      <c r="BP79" s="3">
        <v>3</v>
      </c>
      <c r="BQ79" s="3">
        <v>2</v>
      </c>
      <c r="BR79" s="3">
        <v>3</v>
      </c>
      <c r="BS79" s="3">
        <v>3</v>
      </c>
      <c r="BT79" s="3">
        <v>3</v>
      </c>
      <c r="BU79" s="2">
        <v>3</v>
      </c>
      <c r="BV79" s="2">
        <v>3</v>
      </c>
      <c r="BW79" s="2">
        <v>3</v>
      </c>
      <c r="BX79" s="2">
        <v>3</v>
      </c>
      <c r="BY79" s="2">
        <v>0</v>
      </c>
      <c r="BZ79" s="2">
        <v>3</v>
      </c>
      <c r="CA79" s="2">
        <v>2</v>
      </c>
      <c r="CB79" s="2">
        <v>4</v>
      </c>
      <c r="CC79" s="2">
        <v>4</v>
      </c>
      <c r="CD79" s="2">
        <v>2</v>
      </c>
      <c r="CE79" s="2">
        <v>2</v>
      </c>
      <c r="CF79" s="2">
        <v>3</v>
      </c>
      <c r="CG79" s="2">
        <v>3</v>
      </c>
      <c r="CH79" s="2">
        <v>3</v>
      </c>
      <c r="CI79" s="2">
        <v>3</v>
      </c>
      <c r="CJ79" s="2">
        <v>2</v>
      </c>
      <c r="CK79" s="2">
        <v>1</v>
      </c>
      <c r="CL79" s="2">
        <v>2</v>
      </c>
      <c r="CM79" s="2">
        <v>1</v>
      </c>
      <c r="CN79" s="2">
        <v>2</v>
      </c>
      <c r="CO79" s="2">
        <v>0</v>
      </c>
      <c r="CP79" s="2">
        <v>1</v>
      </c>
      <c r="CQ79" s="2">
        <v>2</v>
      </c>
      <c r="CR79" s="2">
        <v>2</v>
      </c>
      <c r="CS79" s="2">
        <v>2</v>
      </c>
      <c r="CT79" s="2">
        <v>1</v>
      </c>
      <c r="CU79" s="2">
        <v>1</v>
      </c>
      <c r="CV79" s="2">
        <v>3</v>
      </c>
      <c r="CW79" s="2">
        <v>3</v>
      </c>
      <c r="CX79" s="2">
        <v>2</v>
      </c>
      <c r="CY79" s="2">
        <v>1</v>
      </c>
      <c r="CZ79" s="2">
        <v>2</v>
      </c>
      <c r="DA79" s="2">
        <v>2</v>
      </c>
      <c r="DB79" s="2">
        <v>2</v>
      </c>
      <c r="DC79" s="2">
        <v>0</v>
      </c>
      <c r="DD79" s="2">
        <v>1</v>
      </c>
      <c r="DE79" s="2">
        <v>3</v>
      </c>
      <c r="DF79" s="2">
        <v>3</v>
      </c>
      <c r="DG79" s="2">
        <v>3</v>
      </c>
      <c r="DH79" s="2">
        <v>2</v>
      </c>
      <c r="DI79" s="2">
        <v>3</v>
      </c>
      <c r="DJ79" s="2">
        <v>0</v>
      </c>
      <c r="DK79" s="2">
        <v>1</v>
      </c>
      <c r="DL79" s="2">
        <v>1</v>
      </c>
      <c r="DM79" s="2">
        <v>1</v>
      </c>
      <c r="DN79" s="2">
        <v>1</v>
      </c>
      <c r="DO79" s="2">
        <v>1</v>
      </c>
      <c r="DP79" s="2">
        <v>2</v>
      </c>
      <c r="DQ79" s="2">
        <v>2</v>
      </c>
      <c r="DR79" s="2">
        <v>2</v>
      </c>
      <c r="DS79" s="2">
        <v>1</v>
      </c>
      <c r="DT79" s="2">
        <v>2</v>
      </c>
      <c r="DU79" s="2">
        <v>1</v>
      </c>
      <c r="DV79" s="2">
        <v>1</v>
      </c>
      <c r="DW79" s="2">
        <v>1</v>
      </c>
      <c r="DX79" s="2">
        <v>3</v>
      </c>
      <c r="DY79" s="2">
        <v>2</v>
      </c>
      <c r="DZ79" s="2">
        <v>3</v>
      </c>
      <c r="EA79" s="2">
        <v>2</v>
      </c>
      <c r="EB79" s="2">
        <v>4</v>
      </c>
      <c r="EC79" s="2">
        <v>4</v>
      </c>
      <c r="ED79" s="2">
        <v>4</v>
      </c>
      <c r="EE79" s="2">
        <v>4</v>
      </c>
      <c r="EF79" s="2">
        <v>4</v>
      </c>
      <c r="EG79" s="2">
        <v>4</v>
      </c>
      <c r="EH79" s="2">
        <v>4</v>
      </c>
      <c r="EI79" s="2">
        <v>4</v>
      </c>
      <c r="EJ79" s="2">
        <v>2</v>
      </c>
      <c r="EK79" s="2">
        <v>3</v>
      </c>
      <c r="EL79" s="2">
        <v>3</v>
      </c>
      <c r="EM79" s="2">
        <v>2</v>
      </c>
      <c r="EN79" s="2">
        <v>2</v>
      </c>
      <c r="EO79" s="2">
        <v>1</v>
      </c>
      <c r="EP79" s="2">
        <v>0</v>
      </c>
      <c r="EQ79" s="2">
        <v>2</v>
      </c>
      <c r="ER79" s="2">
        <v>2</v>
      </c>
      <c r="ES79" s="2">
        <v>2</v>
      </c>
      <c r="ET79" s="2">
        <v>2</v>
      </c>
      <c r="EU79" s="2">
        <v>3</v>
      </c>
      <c r="EV79" s="2">
        <v>2</v>
      </c>
      <c r="EW79" s="2">
        <v>3</v>
      </c>
      <c r="EX79" s="2">
        <v>3</v>
      </c>
      <c r="EY79" s="2">
        <v>3</v>
      </c>
      <c r="EZ79" s="2">
        <v>2</v>
      </c>
      <c r="FA79" s="2">
        <v>3</v>
      </c>
      <c r="FB79" s="2">
        <v>3</v>
      </c>
      <c r="FC79" s="2">
        <v>2</v>
      </c>
      <c r="FD79" s="2">
        <v>2</v>
      </c>
      <c r="FE79" s="2">
        <v>2</v>
      </c>
      <c r="FF79" s="2">
        <v>3</v>
      </c>
      <c r="FG79" s="2">
        <v>1</v>
      </c>
      <c r="FH79" s="2">
        <v>2</v>
      </c>
      <c r="FI79" s="2">
        <v>2</v>
      </c>
      <c r="FJ79" s="2">
        <v>1</v>
      </c>
      <c r="FK79" s="2">
        <v>4</v>
      </c>
      <c r="FL79" s="2">
        <v>4</v>
      </c>
      <c r="FM79" s="2">
        <v>4</v>
      </c>
      <c r="FN79" s="2">
        <v>4</v>
      </c>
      <c r="FO79" s="2">
        <v>4</v>
      </c>
      <c r="FP79" s="2">
        <v>4</v>
      </c>
      <c r="FQ79" s="2">
        <v>1</v>
      </c>
      <c r="FR79" s="2">
        <v>1</v>
      </c>
      <c r="FS79" s="2">
        <v>1</v>
      </c>
      <c r="FT79" s="2">
        <v>1</v>
      </c>
      <c r="FU79" s="2">
        <v>2</v>
      </c>
      <c r="FV79" s="2">
        <v>1</v>
      </c>
      <c r="FW79" s="2">
        <v>2</v>
      </c>
      <c r="FX79" s="2">
        <v>2</v>
      </c>
      <c r="FY79" s="2">
        <v>2</v>
      </c>
      <c r="FZ79" s="2">
        <v>0</v>
      </c>
      <c r="GA79" s="2">
        <v>0</v>
      </c>
      <c r="GB79" s="2">
        <v>1</v>
      </c>
      <c r="GC79" s="2" t="s">
        <v>274</v>
      </c>
      <c r="GD79" s="2">
        <v>2</v>
      </c>
      <c r="GE79" s="2">
        <v>2</v>
      </c>
      <c r="GF79" s="2">
        <v>2</v>
      </c>
      <c r="GG79" s="2">
        <v>2</v>
      </c>
      <c r="GH79" s="2">
        <v>3</v>
      </c>
      <c r="GI79" s="2">
        <v>2</v>
      </c>
      <c r="GJ79" s="2">
        <v>2</v>
      </c>
      <c r="GK79" s="2">
        <v>0</v>
      </c>
      <c r="GL79" s="2">
        <v>1</v>
      </c>
      <c r="GM79" s="2">
        <v>2</v>
      </c>
      <c r="GN79" s="3">
        <v>4</v>
      </c>
      <c r="GO79" s="3">
        <v>2</v>
      </c>
      <c r="GP79" s="3">
        <v>1</v>
      </c>
      <c r="GQ79" s="3">
        <v>3</v>
      </c>
      <c r="GR79" s="3">
        <v>1</v>
      </c>
      <c r="GS79" s="3">
        <v>1</v>
      </c>
      <c r="GT79" s="3">
        <v>3</v>
      </c>
      <c r="GU79" s="3">
        <v>3</v>
      </c>
      <c r="GV79" s="3">
        <v>1</v>
      </c>
      <c r="GW79" s="3">
        <v>1</v>
      </c>
      <c r="GX79" s="3">
        <v>2</v>
      </c>
      <c r="GY79" s="3">
        <v>3</v>
      </c>
      <c r="GZ79" s="3">
        <v>1</v>
      </c>
      <c r="HA79" s="3">
        <v>1</v>
      </c>
      <c r="HB79" s="3">
        <v>0</v>
      </c>
      <c r="HC79" s="3">
        <v>2</v>
      </c>
      <c r="HD79" s="3">
        <v>0</v>
      </c>
      <c r="HE79" s="3">
        <v>0</v>
      </c>
      <c r="HF79" s="3">
        <v>2</v>
      </c>
      <c r="HG79" s="3">
        <v>1</v>
      </c>
      <c r="HH79" s="3">
        <v>2</v>
      </c>
      <c r="HI79" s="3">
        <v>0</v>
      </c>
      <c r="HJ79" s="3">
        <v>0</v>
      </c>
      <c r="HK79" s="3">
        <v>2</v>
      </c>
      <c r="HL79" s="3">
        <v>0</v>
      </c>
      <c r="HM79" s="3">
        <v>0</v>
      </c>
      <c r="HN79" s="3">
        <v>0</v>
      </c>
      <c r="HO79" s="3">
        <v>3</v>
      </c>
      <c r="HP79" s="3">
        <v>2</v>
      </c>
      <c r="HQ79" s="3">
        <v>1</v>
      </c>
      <c r="HR79" s="3">
        <v>4</v>
      </c>
      <c r="HS79" s="3">
        <v>4</v>
      </c>
      <c r="HT79" s="3">
        <v>4</v>
      </c>
      <c r="HU79" s="3">
        <v>4</v>
      </c>
      <c r="HV79" s="3">
        <v>3</v>
      </c>
      <c r="HW79" s="3">
        <v>3</v>
      </c>
      <c r="HX79" s="3">
        <v>0</v>
      </c>
      <c r="HY79" s="3">
        <v>0</v>
      </c>
      <c r="HZ79" s="3">
        <v>2</v>
      </c>
      <c r="IA79" s="3">
        <v>3</v>
      </c>
      <c r="IB79" s="3">
        <v>2</v>
      </c>
      <c r="IC79" s="3">
        <v>0</v>
      </c>
      <c r="ID79" s="3">
        <v>0</v>
      </c>
      <c r="IE79" s="3">
        <v>0</v>
      </c>
      <c r="IF79" s="3">
        <v>0</v>
      </c>
      <c r="IG79" s="3">
        <v>0</v>
      </c>
      <c r="IH79" s="3">
        <v>0</v>
      </c>
      <c r="II79" s="3">
        <v>1</v>
      </c>
      <c r="IJ79" s="3">
        <v>3</v>
      </c>
      <c r="IK79" s="3">
        <v>2</v>
      </c>
      <c r="IL79" s="3">
        <v>2</v>
      </c>
      <c r="IM79" s="3">
        <v>4</v>
      </c>
      <c r="IN79" s="3">
        <v>0</v>
      </c>
      <c r="IO79" s="3">
        <v>0</v>
      </c>
      <c r="IP79" s="3">
        <v>1</v>
      </c>
      <c r="IQ79" s="3">
        <v>2</v>
      </c>
      <c r="IR79" s="3" t="s">
        <v>686</v>
      </c>
      <c r="IS79" s="3">
        <v>1</v>
      </c>
      <c r="IT79" s="3">
        <v>4</v>
      </c>
      <c r="IU79" s="3">
        <v>3</v>
      </c>
      <c r="IV79" s="3">
        <v>3</v>
      </c>
      <c r="IW79" s="3">
        <v>2</v>
      </c>
      <c r="IX79" s="3">
        <v>2</v>
      </c>
      <c r="IY79" s="3">
        <v>2</v>
      </c>
      <c r="IZ79" s="2" t="s">
        <v>268</v>
      </c>
      <c r="JA79" s="2" t="s">
        <v>274</v>
      </c>
    </row>
    <row r="80" spans="1:261" ht="13.2" x14ac:dyDescent="0.25">
      <c r="A80" s="10" t="s">
        <v>274</v>
      </c>
      <c r="B80" s="2" t="s">
        <v>687</v>
      </c>
      <c r="C80" s="2" t="s">
        <v>261</v>
      </c>
      <c r="D80" s="2" t="s">
        <v>270</v>
      </c>
      <c r="E80" s="2">
        <v>25</v>
      </c>
      <c r="F80" s="11" t="s">
        <v>688</v>
      </c>
      <c r="G80" s="11" t="s">
        <v>689</v>
      </c>
      <c r="H80" s="2" t="s">
        <v>690</v>
      </c>
      <c r="I80" s="3">
        <v>2</v>
      </c>
      <c r="J80" s="3">
        <v>1</v>
      </c>
      <c r="K80" s="3">
        <v>2</v>
      </c>
      <c r="L80" s="3">
        <v>2</v>
      </c>
      <c r="M80" s="3">
        <v>2</v>
      </c>
      <c r="N80" s="3">
        <v>2</v>
      </c>
      <c r="O80" s="3">
        <v>2</v>
      </c>
      <c r="P80" s="3">
        <v>2</v>
      </c>
      <c r="Q80" s="3">
        <v>2</v>
      </c>
      <c r="R80" s="3">
        <v>2</v>
      </c>
      <c r="S80" s="3">
        <v>2</v>
      </c>
      <c r="T80" s="3">
        <v>2</v>
      </c>
      <c r="U80" s="3">
        <v>3</v>
      </c>
      <c r="V80" s="3">
        <v>2</v>
      </c>
      <c r="W80" s="3">
        <v>2</v>
      </c>
      <c r="X80" s="3">
        <v>3</v>
      </c>
      <c r="Y80" s="3">
        <v>3</v>
      </c>
      <c r="Z80" s="3">
        <v>2</v>
      </c>
      <c r="AA80" s="3">
        <v>3</v>
      </c>
      <c r="AB80" s="3">
        <v>3</v>
      </c>
      <c r="AC80" s="3">
        <v>3</v>
      </c>
      <c r="AD80" s="3">
        <v>3</v>
      </c>
      <c r="AE80" s="3">
        <v>3</v>
      </c>
      <c r="AF80" s="3">
        <v>1</v>
      </c>
      <c r="AG80" s="3">
        <v>1</v>
      </c>
      <c r="AH80" s="3">
        <v>0</v>
      </c>
      <c r="AI80" s="3">
        <v>2</v>
      </c>
      <c r="AJ80" s="3">
        <v>2</v>
      </c>
      <c r="AK80" s="3">
        <v>2</v>
      </c>
      <c r="AL80" s="3">
        <v>2</v>
      </c>
      <c r="AM80" s="3">
        <v>3</v>
      </c>
      <c r="AN80" s="3">
        <v>2</v>
      </c>
      <c r="AO80" s="3">
        <v>1</v>
      </c>
      <c r="AP80" s="3">
        <v>2</v>
      </c>
      <c r="AQ80" s="3">
        <v>2</v>
      </c>
      <c r="AR80" s="3">
        <v>1</v>
      </c>
      <c r="AS80" s="3">
        <v>1</v>
      </c>
      <c r="AT80" s="3">
        <v>1</v>
      </c>
      <c r="AU80" s="3">
        <v>3</v>
      </c>
      <c r="AV80" s="3">
        <v>2</v>
      </c>
      <c r="AW80" s="3">
        <v>3</v>
      </c>
      <c r="AX80" s="3">
        <v>1</v>
      </c>
      <c r="AY80" s="3">
        <v>2</v>
      </c>
      <c r="AZ80" s="3">
        <v>3</v>
      </c>
      <c r="BA80" s="3">
        <v>2</v>
      </c>
      <c r="BB80" s="3">
        <v>2</v>
      </c>
      <c r="BC80" s="3">
        <v>1</v>
      </c>
      <c r="BD80" s="3">
        <v>3</v>
      </c>
      <c r="BE80" s="3">
        <v>3</v>
      </c>
      <c r="BF80" s="3">
        <v>2</v>
      </c>
      <c r="BG80" s="3">
        <v>2</v>
      </c>
      <c r="BH80" s="3">
        <v>2</v>
      </c>
      <c r="BI80" s="3">
        <v>2</v>
      </c>
      <c r="BJ80" s="3">
        <v>1</v>
      </c>
      <c r="BK80" s="3">
        <v>1</v>
      </c>
      <c r="BL80" s="3">
        <v>1</v>
      </c>
      <c r="BM80" s="3" t="s">
        <v>691</v>
      </c>
      <c r="BN80" s="3">
        <v>2</v>
      </c>
      <c r="BO80" s="3">
        <v>2</v>
      </c>
      <c r="BP80" s="3">
        <v>2</v>
      </c>
      <c r="BQ80" s="3">
        <v>2</v>
      </c>
      <c r="BR80" s="3">
        <v>2</v>
      </c>
      <c r="BS80" s="3">
        <v>2</v>
      </c>
      <c r="BT80" s="3">
        <v>2</v>
      </c>
      <c r="BU80" s="2">
        <v>2</v>
      </c>
      <c r="BV80" s="2">
        <v>1</v>
      </c>
      <c r="BW80" s="2">
        <v>2</v>
      </c>
      <c r="BX80" s="2">
        <v>1</v>
      </c>
      <c r="BY80" s="2">
        <v>0</v>
      </c>
      <c r="BZ80" s="2">
        <v>1</v>
      </c>
      <c r="CA80" s="2">
        <v>1</v>
      </c>
      <c r="CB80" s="2">
        <v>3</v>
      </c>
      <c r="CC80" s="2">
        <v>2</v>
      </c>
      <c r="CD80" s="2">
        <v>3</v>
      </c>
      <c r="CE80" s="2">
        <v>0</v>
      </c>
      <c r="CF80" s="2">
        <v>3</v>
      </c>
      <c r="CG80" s="2">
        <v>1</v>
      </c>
      <c r="CH80" s="2">
        <v>2</v>
      </c>
      <c r="CI80" s="2">
        <v>1</v>
      </c>
      <c r="CJ80" s="2">
        <v>2</v>
      </c>
      <c r="CK80" s="2">
        <v>4</v>
      </c>
      <c r="CL80" s="2">
        <v>1</v>
      </c>
      <c r="CM80" s="2">
        <v>1</v>
      </c>
      <c r="CN80" s="2">
        <v>1</v>
      </c>
      <c r="CO80" s="2">
        <v>0</v>
      </c>
      <c r="CP80" s="2">
        <v>2</v>
      </c>
      <c r="CQ80" s="2">
        <v>0</v>
      </c>
      <c r="CR80" s="2">
        <v>1</v>
      </c>
      <c r="CS80" s="2">
        <v>2</v>
      </c>
      <c r="CT80" s="2">
        <v>2</v>
      </c>
      <c r="CU80" s="2">
        <v>3</v>
      </c>
      <c r="CV80" s="2">
        <v>0</v>
      </c>
      <c r="CW80" s="2">
        <v>2</v>
      </c>
      <c r="CX80" s="2">
        <v>0</v>
      </c>
      <c r="CY80" s="2">
        <v>1</v>
      </c>
      <c r="CZ80" s="2">
        <v>2</v>
      </c>
      <c r="DA80" s="2">
        <v>3</v>
      </c>
      <c r="DB80" s="2">
        <v>1</v>
      </c>
      <c r="DC80" s="2">
        <v>0</v>
      </c>
      <c r="DD80" s="2">
        <v>0</v>
      </c>
      <c r="DE80" s="2">
        <v>0</v>
      </c>
      <c r="DF80" s="2">
        <v>3</v>
      </c>
      <c r="DG80" s="2">
        <v>0</v>
      </c>
      <c r="DH80" s="2">
        <v>2</v>
      </c>
      <c r="DI80" s="2">
        <v>2</v>
      </c>
      <c r="DJ80" s="2">
        <v>0</v>
      </c>
      <c r="DK80" s="2">
        <v>2</v>
      </c>
      <c r="DL80" s="2">
        <v>3</v>
      </c>
      <c r="DM80" s="2">
        <v>3</v>
      </c>
      <c r="DN80" s="2">
        <v>0</v>
      </c>
      <c r="DO80" s="2">
        <v>0</v>
      </c>
      <c r="DP80" s="2">
        <v>1</v>
      </c>
      <c r="DQ80" s="2">
        <v>2</v>
      </c>
      <c r="DR80" s="2">
        <v>0</v>
      </c>
      <c r="DS80" s="2">
        <v>1</v>
      </c>
      <c r="DT80" s="2">
        <v>1</v>
      </c>
      <c r="DU80" s="2">
        <v>0</v>
      </c>
      <c r="DV80" s="2">
        <v>1</v>
      </c>
      <c r="DW80" s="2">
        <v>1</v>
      </c>
      <c r="DX80" s="2">
        <v>3</v>
      </c>
      <c r="DY80" s="2">
        <v>3</v>
      </c>
      <c r="DZ80" s="2">
        <v>3</v>
      </c>
      <c r="EA80" s="2">
        <v>2</v>
      </c>
      <c r="EB80" s="2">
        <v>1</v>
      </c>
      <c r="EC80" s="2">
        <v>2</v>
      </c>
      <c r="ED80" s="2">
        <v>0</v>
      </c>
      <c r="EE80" s="2">
        <v>1</v>
      </c>
      <c r="EF80" s="2">
        <v>0</v>
      </c>
      <c r="EG80" s="2">
        <v>1</v>
      </c>
      <c r="EH80" s="2">
        <v>1</v>
      </c>
      <c r="EI80" s="2">
        <v>2</v>
      </c>
      <c r="EJ80" s="2">
        <v>2</v>
      </c>
      <c r="EK80" s="2">
        <v>0</v>
      </c>
      <c r="EL80" s="2">
        <v>1</v>
      </c>
      <c r="EM80" s="2">
        <v>0</v>
      </c>
      <c r="EN80" s="2">
        <v>1</v>
      </c>
      <c r="EO80" s="2">
        <v>2</v>
      </c>
      <c r="EP80" s="2">
        <v>2</v>
      </c>
      <c r="EQ80" s="2">
        <v>2</v>
      </c>
      <c r="ER80" s="2">
        <v>0</v>
      </c>
      <c r="ES80" s="2">
        <v>0</v>
      </c>
      <c r="ET80" s="2">
        <v>1</v>
      </c>
      <c r="EU80" s="2">
        <v>1</v>
      </c>
      <c r="EV80" s="2">
        <v>2</v>
      </c>
      <c r="EW80" s="2">
        <v>0</v>
      </c>
      <c r="EX80" s="2">
        <v>1</v>
      </c>
      <c r="EY80" s="2">
        <v>1</v>
      </c>
      <c r="EZ80" s="2">
        <v>1</v>
      </c>
      <c r="FA80" s="2">
        <v>0</v>
      </c>
      <c r="FB80" s="2">
        <v>0</v>
      </c>
      <c r="FC80" s="2">
        <v>2</v>
      </c>
      <c r="FD80" s="2">
        <v>0</v>
      </c>
      <c r="FE80" s="2">
        <v>1</v>
      </c>
      <c r="FF80" s="2">
        <v>2</v>
      </c>
      <c r="FG80" s="2">
        <v>2</v>
      </c>
      <c r="FH80" s="2">
        <v>0</v>
      </c>
      <c r="FI80" s="2">
        <v>1</v>
      </c>
      <c r="FJ80" s="2">
        <v>1</v>
      </c>
      <c r="FK80" s="2">
        <v>1</v>
      </c>
      <c r="FL80" s="2">
        <v>2</v>
      </c>
      <c r="FM80" s="2">
        <v>1</v>
      </c>
      <c r="FN80" s="2">
        <v>1</v>
      </c>
      <c r="FO80" s="2">
        <v>0</v>
      </c>
      <c r="FP80" s="2">
        <v>2</v>
      </c>
      <c r="FQ80" s="2">
        <v>0</v>
      </c>
      <c r="FR80" s="2">
        <v>1</v>
      </c>
      <c r="FS80" s="2">
        <v>1</v>
      </c>
      <c r="FT80" s="2">
        <v>1</v>
      </c>
      <c r="FU80" s="2">
        <v>1</v>
      </c>
      <c r="FV80" s="2">
        <v>3</v>
      </c>
      <c r="FW80" s="2">
        <v>0</v>
      </c>
      <c r="FX80" s="2">
        <v>3</v>
      </c>
      <c r="FY80" s="2">
        <v>1</v>
      </c>
      <c r="FZ80" s="2">
        <v>0</v>
      </c>
      <c r="GA80" s="2">
        <v>0</v>
      </c>
      <c r="GB80" s="2">
        <v>0</v>
      </c>
      <c r="GC80" s="2" t="s">
        <v>692</v>
      </c>
      <c r="GD80" s="2">
        <v>0</v>
      </c>
      <c r="GE80" s="2">
        <v>0</v>
      </c>
      <c r="GF80" s="2">
        <v>3</v>
      </c>
      <c r="GG80" s="2">
        <v>0</v>
      </c>
      <c r="GH80" s="2">
        <v>2</v>
      </c>
      <c r="GI80" s="2">
        <v>3</v>
      </c>
      <c r="GJ80" s="2">
        <v>1</v>
      </c>
      <c r="GK80" s="2">
        <v>0</v>
      </c>
      <c r="GL80" s="2">
        <v>1</v>
      </c>
      <c r="GM80" s="2">
        <v>1</v>
      </c>
      <c r="GN80" s="3">
        <v>2</v>
      </c>
      <c r="GO80" s="3">
        <v>1</v>
      </c>
      <c r="GP80" s="3">
        <v>0</v>
      </c>
      <c r="GQ80" s="3">
        <v>1</v>
      </c>
      <c r="GR80" s="3">
        <v>0</v>
      </c>
      <c r="GS80" s="3">
        <v>2</v>
      </c>
      <c r="GT80" s="3">
        <v>2</v>
      </c>
      <c r="GU80" s="3">
        <v>0</v>
      </c>
      <c r="GV80" s="3">
        <v>2</v>
      </c>
      <c r="GW80" s="3">
        <v>1</v>
      </c>
      <c r="GX80" s="3">
        <v>3</v>
      </c>
      <c r="GY80" s="3">
        <v>0</v>
      </c>
      <c r="GZ80" s="3">
        <v>2</v>
      </c>
      <c r="HA80" s="3">
        <v>3</v>
      </c>
      <c r="HB80" s="3">
        <v>1</v>
      </c>
      <c r="HC80" s="3">
        <v>0</v>
      </c>
      <c r="HD80" s="3">
        <v>2</v>
      </c>
      <c r="HE80" s="3">
        <v>0</v>
      </c>
      <c r="HF80" s="3">
        <v>1</v>
      </c>
      <c r="HG80" s="3">
        <v>0</v>
      </c>
      <c r="HH80" s="3">
        <v>2</v>
      </c>
      <c r="HI80" s="3">
        <v>0</v>
      </c>
      <c r="HJ80" s="3">
        <v>2</v>
      </c>
      <c r="HK80" s="3">
        <v>3</v>
      </c>
      <c r="HL80" s="3">
        <v>0</v>
      </c>
      <c r="HM80" s="3">
        <v>3</v>
      </c>
      <c r="HN80" s="3">
        <v>0</v>
      </c>
      <c r="HO80" s="3">
        <v>3</v>
      </c>
      <c r="HP80" s="3">
        <v>0</v>
      </c>
      <c r="HQ80" s="3">
        <v>2</v>
      </c>
      <c r="HR80" s="3">
        <v>1</v>
      </c>
      <c r="HS80" s="3">
        <v>1</v>
      </c>
      <c r="HT80" s="3">
        <v>1</v>
      </c>
      <c r="HU80" s="3">
        <v>0</v>
      </c>
      <c r="HV80" s="3">
        <v>2</v>
      </c>
      <c r="HW80" s="3">
        <v>0</v>
      </c>
      <c r="HX80" s="3">
        <v>2</v>
      </c>
      <c r="HY80" s="3">
        <v>2</v>
      </c>
      <c r="HZ80" s="3">
        <v>1</v>
      </c>
      <c r="IA80" s="3">
        <v>2</v>
      </c>
      <c r="IB80" s="3">
        <v>0</v>
      </c>
      <c r="IC80" s="3">
        <v>0</v>
      </c>
      <c r="ID80" s="3">
        <v>2</v>
      </c>
      <c r="IE80" s="3">
        <v>0</v>
      </c>
      <c r="IF80" s="3">
        <v>2</v>
      </c>
      <c r="IG80" s="3">
        <v>1</v>
      </c>
      <c r="IH80" s="3">
        <v>0</v>
      </c>
      <c r="II80" s="3">
        <v>2</v>
      </c>
      <c r="IJ80" s="3">
        <v>2</v>
      </c>
      <c r="IK80" s="3">
        <v>1</v>
      </c>
      <c r="IL80" s="3">
        <v>2</v>
      </c>
      <c r="IM80" s="3">
        <v>2</v>
      </c>
      <c r="IN80" s="3">
        <v>0</v>
      </c>
      <c r="IO80" s="3">
        <v>0</v>
      </c>
      <c r="IP80" s="3">
        <v>2</v>
      </c>
      <c r="IQ80" s="3">
        <v>2</v>
      </c>
      <c r="IR80" s="3" t="s">
        <v>693</v>
      </c>
      <c r="IS80" s="3">
        <v>2</v>
      </c>
      <c r="IT80" s="3">
        <v>3</v>
      </c>
      <c r="IU80" s="3">
        <v>0</v>
      </c>
      <c r="IV80" s="3">
        <v>1</v>
      </c>
      <c r="IW80" s="3">
        <v>3</v>
      </c>
      <c r="IX80" s="3">
        <v>2</v>
      </c>
      <c r="IY80" s="3">
        <v>2</v>
      </c>
      <c r="IZ80" s="2" t="s">
        <v>268</v>
      </c>
      <c r="JA80" s="2" t="s">
        <v>274</v>
      </c>
    </row>
    <row r="81" spans="1:261" ht="13.2" x14ac:dyDescent="0.25">
      <c r="A81" s="10" t="s">
        <v>274</v>
      </c>
      <c r="B81" s="2" t="s">
        <v>694</v>
      </c>
      <c r="C81" s="2" t="s">
        <v>276</v>
      </c>
      <c r="D81" s="2" t="s">
        <v>325</v>
      </c>
      <c r="E81" s="2">
        <v>36</v>
      </c>
      <c r="F81" s="11" t="s">
        <v>695</v>
      </c>
      <c r="G81" s="11" t="s">
        <v>696</v>
      </c>
      <c r="H81" s="2" t="s">
        <v>697</v>
      </c>
      <c r="I81" s="3">
        <v>2</v>
      </c>
      <c r="J81" s="3">
        <v>2</v>
      </c>
      <c r="K81" s="3">
        <v>3</v>
      </c>
      <c r="L81" s="3">
        <v>2</v>
      </c>
      <c r="M81" s="3">
        <v>2</v>
      </c>
      <c r="N81" s="3">
        <v>3</v>
      </c>
      <c r="O81" s="3">
        <v>2</v>
      </c>
      <c r="P81" s="3">
        <v>2</v>
      </c>
      <c r="Q81" s="3">
        <v>2</v>
      </c>
      <c r="R81" s="3">
        <v>1</v>
      </c>
      <c r="S81" s="3">
        <v>1</v>
      </c>
      <c r="T81" s="3">
        <v>1</v>
      </c>
      <c r="U81" s="3">
        <v>1</v>
      </c>
      <c r="V81" s="3">
        <v>0</v>
      </c>
      <c r="W81" s="3">
        <v>2</v>
      </c>
      <c r="X81" s="3">
        <v>2</v>
      </c>
      <c r="Y81" s="3">
        <v>2</v>
      </c>
      <c r="Z81" s="3">
        <v>2</v>
      </c>
      <c r="AA81" s="3">
        <v>0</v>
      </c>
      <c r="AB81" s="3">
        <v>0</v>
      </c>
      <c r="AC81" s="3">
        <v>0</v>
      </c>
      <c r="AD81" s="3">
        <v>0</v>
      </c>
      <c r="AE81" s="3">
        <v>1</v>
      </c>
      <c r="AF81" s="3">
        <v>1</v>
      </c>
      <c r="AG81" s="3">
        <v>2</v>
      </c>
      <c r="AH81" s="3">
        <v>2</v>
      </c>
      <c r="AI81" s="3">
        <v>3</v>
      </c>
      <c r="AJ81" s="3">
        <v>2</v>
      </c>
      <c r="AK81" s="3">
        <v>3</v>
      </c>
      <c r="AL81" s="3">
        <v>2</v>
      </c>
      <c r="AM81" s="3">
        <v>0</v>
      </c>
      <c r="AN81" s="3">
        <v>2</v>
      </c>
      <c r="AO81" s="3">
        <v>3</v>
      </c>
      <c r="AP81" s="3">
        <v>2</v>
      </c>
      <c r="AQ81" s="3">
        <v>1</v>
      </c>
      <c r="AR81" s="3">
        <v>2</v>
      </c>
      <c r="AS81" s="3">
        <v>1</v>
      </c>
      <c r="AT81" s="3">
        <v>1</v>
      </c>
      <c r="AU81" s="3">
        <v>2</v>
      </c>
      <c r="AV81" s="3">
        <v>2</v>
      </c>
      <c r="AW81" s="3">
        <v>3</v>
      </c>
      <c r="AX81" s="3">
        <v>2</v>
      </c>
      <c r="AY81" s="3">
        <v>2</v>
      </c>
      <c r="AZ81" s="3">
        <v>3</v>
      </c>
      <c r="BA81" s="3">
        <v>1</v>
      </c>
      <c r="BB81" s="3">
        <v>3</v>
      </c>
      <c r="BC81" s="3">
        <v>2</v>
      </c>
      <c r="BD81" s="3">
        <v>3</v>
      </c>
      <c r="BE81" s="3">
        <v>3</v>
      </c>
      <c r="BF81" s="3">
        <v>3</v>
      </c>
      <c r="BG81" s="3">
        <v>3</v>
      </c>
      <c r="BH81" s="3">
        <v>2</v>
      </c>
      <c r="BI81" s="3">
        <v>3</v>
      </c>
      <c r="BJ81" s="3">
        <v>3</v>
      </c>
      <c r="BK81" s="3">
        <v>3</v>
      </c>
      <c r="BL81" s="3">
        <v>3</v>
      </c>
      <c r="BM81" s="3" t="s">
        <v>698</v>
      </c>
      <c r="BN81" s="3">
        <v>3</v>
      </c>
      <c r="BO81" s="3">
        <v>3</v>
      </c>
      <c r="BP81" s="3">
        <v>3</v>
      </c>
      <c r="BQ81" s="3">
        <v>2</v>
      </c>
      <c r="BR81" s="3">
        <v>3</v>
      </c>
      <c r="BS81" s="3">
        <v>1</v>
      </c>
      <c r="BT81" s="3">
        <v>2</v>
      </c>
      <c r="BU81" s="2">
        <v>1</v>
      </c>
      <c r="BV81" s="2">
        <v>2</v>
      </c>
      <c r="BW81" s="2">
        <v>3</v>
      </c>
      <c r="BX81" s="2">
        <v>2</v>
      </c>
      <c r="BY81" s="2">
        <v>3</v>
      </c>
      <c r="BZ81" s="2">
        <v>3</v>
      </c>
      <c r="CA81" s="2">
        <v>0</v>
      </c>
      <c r="CB81" s="2">
        <v>3</v>
      </c>
      <c r="CC81" s="2">
        <v>3</v>
      </c>
      <c r="CD81" s="2">
        <v>1</v>
      </c>
      <c r="CE81" s="2">
        <v>2</v>
      </c>
      <c r="CF81" s="2">
        <v>2</v>
      </c>
      <c r="CG81" s="2">
        <v>2</v>
      </c>
      <c r="CH81" s="2">
        <v>2</v>
      </c>
      <c r="CI81" s="2">
        <v>2</v>
      </c>
      <c r="CJ81" s="2">
        <v>2</v>
      </c>
      <c r="CK81" s="2">
        <v>1</v>
      </c>
      <c r="CL81" s="2">
        <v>2</v>
      </c>
      <c r="CM81" s="2">
        <v>1</v>
      </c>
      <c r="CN81" s="2">
        <v>1</v>
      </c>
      <c r="CO81" s="2">
        <v>1</v>
      </c>
      <c r="CP81" s="2">
        <v>1</v>
      </c>
      <c r="CQ81" s="2">
        <v>3</v>
      </c>
      <c r="CR81" s="2">
        <v>2</v>
      </c>
      <c r="CS81" s="2">
        <v>2</v>
      </c>
      <c r="CT81" s="2">
        <v>1</v>
      </c>
      <c r="CU81" s="2">
        <v>1</v>
      </c>
      <c r="CV81" s="2">
        <v>1</v>
      </c>
      <c r="CW81" s="2">
        <v>2</v>
      </c>
      <c r="CX81" s="2">
        <v>1</v>
      </c>
      <c r="CY81" s="2">
        <v>1</v>
      </c>
      <c r="CZ81" s="2">
        <v>2</v>
      </c>
      <c r="DA81" s="2">
        <v>2</v>
      </c>
      <c r="DB81" s="2">
        <v>2</v>
      </c>
      <c r="DC81" s="2">
        <v>0</v>
      </c>
      <c r="DD81" s="2">
        <v>0</v>
      </c>
      <c r="DE81" s="2">
        <v>3</v>
      </c>
      <c r="DF81" s="2">
        <v>3</v>
      </c>
      <c r="DG81" s="2">
        <v>3</v>
      </c>
      <c r="DH81" s="2">
        <v>3</v>
      </c>
      <c r="DI81" s="2">
        <v>3</v>
      </c>
      <c r="DJ81" s="2">
        <v>2</v>
      </c>
      <c r="DK81" s="2">
        <v>3</v>
      </c>
      <c r="DL81" s="2">
        <v>3</v>
      </c>
      <c r="DM81" s="2">
        <v>2</v>
      </c>
      <c r="DN81" s="2">
        <v>2</v>
      </c>
      <c r="DO81" s="2">
        <v>3</v>
      </c>
      <c r="DP81" s="2">
        <v>1</v>
      </c>
      <c r="DQ81" s="2">
        <v>1</v>
      </c>
      <c r="DR81" s="2">
        <v>0</v>
      </c>
      <c r="DS81" s="2">
        <v>0</v>
      </c>
      <c r="DT81" s="2">
        <v>1</v>
      </c>
      <c r="DU81" s="2">
        <v>0</v>
      </c>
      <c r="DV81" s="2">
        <v>0</v>
      </c>
      <c r="DW81" s="2">
        <v>0</v>
      </c>
      <c r="DX81" s="2">
        <v>3</v>
      </c>
      <c r="DY81" s="2">
        <v>2</v>
      </c>
      <c r="DZ81" s="2">
        <v>0</v>
      </c>
      <c r="EA81" s="2">
        <v>0</v>
      </c>
      <c r="EB81" s="2">
        <v>3</v>
      </c>
      <c r="EC81" s="2">
        <v>2</v>
      </c>
      <c r="ED81" s="2">
        <v>2</v>
      </c>
      <c r="EE81" s="2">
        <v>2</v>
      </c>
      <c r="EF81" s="2">
        <v>2</v>
      </c>
      <c r="EG81" s="2">
        <v>2</v>
      </c>
      <c r="EH81" s="2">
        <v>2</v>
      </c>
      <c r="EI81" s="2">
        <v>3</v>
      </c>
      <c r="EJ81" s="2">
        <v>2</v>
      </c>
      <c r="EK81" s="2">
        <v>3</v>
      </c>
      <c r="EL81" s="2">
        <v>2</v>
      </c>
      <c r="EM81" s="2">
        <v>1</v>
      </c>
      <c r="EN81" s="2">
        <v>0</v>
      </c>
      <c r="EO81" s="2">
        <v>1</v>
      </c>
      <c r="EP81" s="2">
        <v>0</v>
      </c>
      <c r="EQ81" s="2">
        <v>2</v>
      </c>
      <c r="ER81" s="2">
        <v>0</v>
      </c>
      <c r="ES81" s="2">
        <v>1</v>
      </c>
      <c r="ET81" s="2">
        <v>0</v>
      </c>
      <c r="EU81" s="2">
        <v>3</v>
      </c>
      <c r="EV81" s="2">
        <v>1</v>
      </c>
      <c r="EW81" s="2">
        <v>3</v>
      </c>
      <c r="EX81" s="2">
        <v>3</v>
      </c>
      <c r="EY81" s="2">
        <v>3</v>
      </c>
      <c r="EZ81" s="2">
        <v>3</v>
      </c>
      <c r="FA81" s="2">
        <v>1</v>
      </c>
      <c r="FB81" s="2">
        <v>2</v>
      </c>
      <c r="FC81" s="2">
        <v>1</v>
      </c>
      <c r="FD81" s="2">
        <v>2</v>
      </c>
      <c r="FE81" s="2">
        <v>1</v>
      </c>
      <c r="FF81" s="2">
        <v>3</v>
      </c>
      <c r="FG81" s="2">
        <v>1</v>
      </c>
      <c r="FH81" s="2">
        <v>1</v>
      </c>
      <c r="FI81" s="2">
        <v>1</v>
      </c>
      <c r="FJ81" s="2">
        <v>1</v>
      </c>
      <c r="FK81" s="2">
        <v>1</v>
      </c>
      <c r="FL81" s="2">
        <v>1</v>
      </c>
      <c r="FM81" s="2">
        <v>1</v>
      </c>
      <c r="FN81" s="2">
        <v>1</v>
      </c>
      <c r="FO81" s="2">
        <v>1</v>
      </c>
      <c r="FP81" s="2">
        <v>0</v>
      </c>
      <c r="FQ81" s="2">
        <v>3</v>
      </c>
      <c r="FR81" s="2">
        <v>3</v>
      </c>
      <c r="FS81" s="2">
        <v>2</v>
      </c>
      <c r="FT81" s="2">
        <v>1</v>
      </c>
      <c r="FU81" s="2">
        <v>2</v>
      </c>
      <c r="FV81" s="2">
        <v>1</v>
      </c>
      <c r="FW81" s="2">
        <v>3</v>
      </c>
      <c r="FX81" s="2">
        <v>3</v>
      </c>
      <c r="FY81" s="2">
        <v>3</v>
      </c>
      <c r="FZ81" s="2">
        <v>4</v>
      </c>
      <c r="GA81" s="2">
        <v>2</v>
      </c>
      <c r="GB81" s="2">
        <v>2</v>
      </c>
      <c r="GC81" s="2" t="s">
        <v>699</v>
      </c>
      <c r="GD81" s="2">
        <v>3</v>
      </c>
      <c r="GE81" s="2">
        <v>2</v>
      </c>
      <c r="GF81" s="2">
        <v>1</v>
      </c>
      <c r="GG81" s="2">
        <v>2</v>
      </c>
      <c r="GH81" s="2">
        <v>3</v>
      </c>
      <c r="GI81" s="2">
        <v>2</v>
      </c>
      <c r="GJ81" s="2">
        <v>2</v>
      </c>
      <c r="GK81" s="2">
        <v>1</v>
      </c>
      <c r="GL81" s="2">
        <v>2</v>
      </c>
      <c r="GM81" s="2">
        <v>2</v>
      </c>
      <c r="GN81" s="3">
        <v>3</v>
      </c>
      <c r="GO81" s="3">
        <v>2</v>
      </c>
      <c r="GP81" s="3">
        <v>1</v>
      </c>
      <c r="GQ81" s="3">
        <v>3</v>
      </c>
      <c r="GR81" s="3">
        <v>2</v>
      </c>
      <c r="GS81" s="3">
        <v>0</v>
      </c>
      <c r="GT81" s="3">
        <v>1</v>
      </c>
      <c r="GU81" s="3">
        <v>0</v>
      </c>
      <c r="GV81" s="3">
        <v>1</v>
      </c>
      <c r="GW81" s="3">
        <v>0</v>
      </c>
      <c r="GX81" s="3">
        <v>0</v>
      </c>
      <c r="GY81" s="3">
        <v>0</v>
      </c>
      <c r="GZ81" s="3">
        <v>0</v>
      </c>
      <c r="HA81" s="3">
        <v>0</v>
      </c>
      <c r="HB81" s="3">
        <v>1</v>
      </c>
      <c r="HC81" s="3">
        <v>0</v>
      </c>
      <c r="HD81" s="3">
        <v>2</v>
      </c>
      <c r="HE81" s="3">
        <v>0</v>
      </c>
      <c r="HF81" s="3">
        <v>0</v>
      </c>
      <c r="HG81" s="3">
        <v>0</v>
      </c>
      <c r="HH81" s="3">
        <v>3</v>
      </c>
      <c r="HI81" s="3">
        <v>0</v>
      </c>
      <c r="HJ81" s="3">
        <v>2</v>
      </c>
      <c r="HK81" s="3">
        <v>2</v>
      </c>
      <c r="HL81" s="3">
        <v>0</v>
      </c>
      <c r="HM81" s="3">
        <v>2</v>
      </c>
      <c r="HN81" s="3">
        <v>0</v>
      </c>
      <c r="HO81" s="3">
        <v>2</v>
      </c>
      <c r="HP81" s="3">
        <v>0</v>
      </c>
      <c r="HQ81" s="3">
        <v>2</v>
      </c>
      <c r="HR81" s="3">
        <v>3</v>
      </c>
      <c r="HS81" s="3">
        <v>1</v>
      </c>
      <c r="HT81" s="3">
        <v>3</v>
      </c>
      <c r="HU81" s="3">
        <v>0</v>
      </c>
      <c r="HV81" s="3">
        <v>2</v>
      </c>
      <c r="HW81" s="3">
        <v>0</v>
      </c>
      <c r="HX81" s="3">
        <v>0</v>
      </c>
      <c r="HY81" s="3">
        <v>0</v>
      </c>
      <c r="HZ81" s="3">
        <v>0</v>
      </c>
      <c r="IA81" s="3">
        <v>3</v>
      </c>
      <c r="IB81" s="3">
        <v>1</v>
      </c>
      <c r="IC81" s="3">
        <v>0</v>
      </c>
      <c r="ID81" s="3">
        <v>2</v>
      </c>
      <c r="IE81" s="3">
        <v>2</v>
      </c>
      <c r="IF81" s="3">
        <v>0</v>
      </c>
      <c r="IG81" s="3">
        <v>0</v>
      </c>
      <c r="IH81" s="3">
        <v>0</v>
      </c>
      <c r="II81" s="3">
        <v>0</v>
      </c>
      <c r="IJ81" s="3">
        <v>1</v>
      </c>
      <c r="IK81" s="3">
        <v>0</v>
      </c>
      <c r="IL81" s="3">
        <v>0</v>
      </c>
      <c r="IM81" s="3">
        <v>2</v>
      </c>
      <c r="IN81" s="3">
        <v>0</v>
      </c>
      <c r="IO81" s="3">
        <v>2</v>
      </c>
      <c r="IP81" s="3">
        <v>0</v>
      </c>
      <c r="IQ81" s="3">
        <v>1</v>
      </c>
      <c r="IR81" s="3" t="s">
        <v>700</v>
      </c>
      <c r="IS81" s="3">
        <v>2</v>
      </c>
      <c r="IT81" s="3">
        <v>2</v>
      </c>
      <c r="IU81" s="3">
        <v>1</v>
      </c>
      <c r="IV81" s="3">
        <v>1</v>
      </c>
      <c r="IW81" s="3">
        <v>1</v>
      </c>
      <c r="IX81" s="3">
        <v>2</v>
      </c>
      <c r="IY81" s="3">
        <v>0</v>
      </c>
      <c r="IZ81" s="2" t="s">
        <v>268</v>
      </c>
      <c r="JA81" s="2" t="s">
        <v>274</v>
      </c>
    </row>
    <row r="82" spans="1:261" ht="13.2" x14ac:dyDescent="0.25">
      <c r="A82" s="10" t="s">
        <v>274</v>
      </c>
      <c r="B82" s="2" t="s">
        <v>701</v>
      </c>
      <c r="C82" s="2" t="s">
        <v>261</v>
      </c>
      <c r="D82" s="2" t="s">
        <v>270</v>
      </c>
      <c r="E82" s="2">
        <v>26</v>
      </c>
      <c r="F82" s="11" t="s">
        <v>702</v>
      </c>
      <c r="G82" s="11" t="s">
        <v>703</v>
      </c>
      <c r="H82" s="2" t="s">
        <v>704</v>
      </c>
      <c r="I82" s="3">
        <v>3</v>
      </c>
      <c r="J82" s="3">
        <v>3</v>
      </c>
      <c r="K82" s="3">
        <v>4</v>
      </c>
      <c r="L82" s="3">
        <v>3</v>
      </c>
      <c r="M82" s="3">
        <v>3</v>
      </c>
      <c r="N82" s="3">
        <v>2</v>
      </c>
      <c r="O82" s="3">
        <v>3</v>
      </c>
      <c r="P82" s="3">
        <v>1</v>
      </c>
      <c r="Q82" s="3">
        <v>3</v>
      </c>
      <c r="R82" s="3">
        <v>3</v>
      </c>
      <c r="S82" s="3">
        <v>3</v>
      </c>
      <c r="T82" s="3">
        <v>3</v>
      </c>
      <c r="U82" s="3">
        <v>3</v>
      </c>
      <c r="V82" s="3">
        <v>3</v>
      </c>
      <c r="W82" s="3">
        <v>3</v>
      </c>
      <c r="X82" s="3">
        <v>1</v>
      </c>
      <c r="Y82" s="3">
        <v>2</v>
      </c>
      <c r="Z82" s="3">
        <v>2</v>
      </c>
      <c r="AA82" s="3">
        <v>1</v>
      </c>
      <c r="AB82" s="3">
        <v>1</v>
      </c>
      <c r="AC82" s="3">
        <v>2</v>
      </c>
      <c r="AD82" s="3">
        <v>1</v>
      </c>
      <c r="AE82" s="3">
        <v>1</v>
      </c>
      <c r="AF82" s="3">
        <v>0</v>
      </c>
      <c r="AG82" s="3">
        <v>0</v>
      </c>
      <c r="AH82" s="3">
        <v>0</v>
      </c>
      <c r="AI82" s="3">
        <v>1</v>
      </c>
      <c r="AJ82" s="3">
        <v>2</v>
      </c>
      <c r="AK82" s="3">
        <v>1</v>
      </c>
      <c r="AL82" s="3">
        <v>1</v>
      </c>
      <c r="AM82" s="3">
        <v>3</v>
      </c>
      <c r="AN82" s="3">
        <v>1</v>
      </c>
      <c r="AO82" s="3">
        <v>3</v>
      </c>
      <c r="AP82" s="3">
        <v>2</v>
      </c>
      <c r="AQ82" s="3">
        <v>2</v>
      </c>
      <c r="AR82" s="3">
        <v>2</v>
      </c>
      <c r="AS82" s="3">
        <v>2</v>
      </c>
      <c r="AT82" s="3">
        <v>2</v>
      </c>
      <c r="AU82" s="3">
        <v>1</v>
      </c>
      <c r="AV82" s="3">
        <v>0</v>
      </c>
      <c r="AW82" s="3">
        <v>0</v>
      </c>
      <c r="AX82" s="3">
        <v>0</v>
      </c>
      <c r="AY82" s="3">
        <v>0</v>
      </c>
      <c r="AZ82" s="3">
        <v>0</v>
      </c>
      <c r="BA82" s="3">
        <v>0</v>
      </c>
      <c r="BB82" s="3">
        <v>0</v>
      </c>
      <c r="BC82" s="3">
        <v>0</v>
      </c>
      <c r="BD82" s="3">
        <v>0</v>
      </c>
      <c r="BE82" s="3">
        <v>3</v>
      </c>
      <c r="BF82" s="3">
        <v>3</v>
      </c>
      <c r="BG82" s="3">
        <v>2</v>
      </c>
      <c r="BH82" s="3">
        <v>1</v>
      </c>
      <c r="BI82" s="3">
        <v>0</v>
      </c>
      <c r="BJ82" s="3">
        <v>3</v>
      </c>
      <c r="BK82" s="3">
        <v>3</v>
      </c>
      <c r="BL82" s="3">
        <v>3</v>
      </c>
      <c r="BM82" s="3" t="s">
        <v>274</v>
      </c>
      <c r="BN82" s="3" t="s">
        <v>274</v>
      </c>
      <c r="BO82" s="3" t="s">
        <v>274</v>
      </c>
      <c r="BP82" s="3" t="s">
        <v>274</v>
      </c>
      <c r="BQ82" s="3" t="s">
        <v>274</v>
      </c>
      <c r="BR82" s="3" t="s">
        <v>274</v>
      </c>
      <c r="BS82" s="3" t="s">
        <v>274</v>
      </c>
      <c r="BT82" s="3" t="s">
        <v>274</v>
      </c>
      <c r="BU82" s="2">
        <v>3</v>
      </c>
      <c r="BV82" s="2">
        <v>0</v>
      </c>
      <c r="BW82" s="2">
        <v>3</v>
      </c>
      <c r="BX82" s="2">
        <v>1</v>
      </c>
      <c r="BY82" s="2">
        <v>0</v>
      </c>
      <c r="BZ82" s="2">
        <v>0</v>
      </c>
      <c r="CA82" s="2">
        <v>0</v>
      </c>
      <c r="CB82" s="2">
        <v>0</v>
      </c>
      <c r="CC82" s="2">
        <v>0</v>
      </c>
      <c r="CD82" s="2">
        <v>3</v>
      </c>
      <c r="CE82" s="2">
        <v>0</v>
      </c>
      <c r="CF82" s="2">
        <v>3</v>
      </c>
      <c r="CG82" s="2">
        <v>3</v>
      </c>
      <c r="CH82" s="2">
        <v>1</v>
      </c>
      <c r="CI82" s="2">
        <v>0</v>
      </c>
      <c r="CJ82" s="2">
        <v>0</v>
      </c>
      <c r="CK82" s="2">
        <v>3</v>
      </c>
      <c r="CL82" s="2">
        <v>0</v>
      </c>
      <c r="CM82" s="2">
        <v>2</v>
      </c>
      <c r="CN82" s="2">
        <v>2</v>
      </c>
      <c r="CO82" s="2">
        <v>0</v>
      </c>
      <c r="CP82" s="2">
        <v>0</v>
      </c>
      <c r="CQ82" s="2">
        <v>1</v>
      </c>
      <c r="CR82" s="2">
        <v>0</v>
      </c>
      <c r="CS82" s="2">
        <v>2</v>
      </c>
      <c r="CT82" s="2">
        <v>1</v>
      </c>
      <c r="CU82" s="2">
        <v>0</v>
      </c>
      <c r="CV82" s="2">
        <v>0</v>
      </c>
      <c r="CW82" s="2">
        <v>1</v>
      </c>
      <c r="CX82" s="2">
        <v>3</v>
      </c>
      <c r="CY82" s="2">
        <v>0</v>
      </c>
      <c r="CZ82" s="2">
        <v>1</v>
      </c>
      <c r="DA82" s="2">
        <v>3</v>
      </c>
      <c r="DB82" s="2">
        <v>2</v>
      </c>
      <c r="DC82" s="2">
        <v>0</v>
      </c>
      <c r="DD82" s="2">
        <v>3</v>
      </c>
      <c r="DE82" s="2">
        <v>2</v>
      </c>
      <c r="DF82" s="2">
        <v>3</v>
      </c>
      <c r="DG82" s="2">
        <v>0</v>
      </c>
      <c r="DH82" s="2">
        <v>3</v>
      </c>
      <c r="DI82" s="2">
        <v>3</v>
      </c>
      <c r="DJ82" s="2">
        <v>0</v>
      </c>
      <c r="DK82" s="2">
        <v>2</v>
      </c>
      <c r="DL82" s="2">
        <v>3</v>
      </c>
      <c r="DM82" s="2">
        <v>0</v>
      </c>
      <c r="DN82" s="2">
        <v>0</v>
      </c>
      <c r="DO82" s="2">
        <v>3</v>
      </c>
      <c r="DP82" s="2">
        <v>0</v>
      </c>
      <c r="DQ82" s="2">
        <v>2</v>
      </c>
      <c r="DR82" s="2">
        <v>0</v>
      </c>
      <c r="DS82" s="2">
        <v>1</v>
      </c>
      <c r="DT82" s="2">
        <v>0</v>
      </c>
      <c r="DU82" s="2">
        <v>0</v>
      </c>
      <c r="DV82" s="2">
        <v>0</v>
      </c>
      <c r="DW82" s="2">
        <v>0</v>
      </c>
      <c r="DX82" s="2">
        <v>2</v>
      </c>
      <c r="DY82" s="2">
        <v>2</v>
      </c>
      <c r="DZ82" s="2">
        <v>2</v>
      </c>
      <c r="EA82" s="2">
        <v>2</v>
      </c>
      <c r="EB82" s="2">
        <v>0</v>
      </c>
      <c r="EC82" s="2">
        <v>0</v>
      </c>
      <c r="ED82" s="2">
        <v>0</v>
      </c>
      <c r="EE82" s="2">
        <v>0</v>
      </c>
      <c r="EF82" s="2">
        <v>0</v>
      </c>
      <c r="EG82" s="2">
        <v>0</v>
      </c>
      <c r="EH82" s="2">
        <v>0</v>
      </c>
      <c r="EI82" s="2">
        <v>0</v>
      </c>
      <c r="EJ82" s="2">
        <v>0</v>
      </c>
      <c r="EK82" s="2">
        <v>0</v>
      </c>
      <c r="EL82" s="2">
        <v>1</v>
      </c>
      <c r="EM82" s="2">
        <v>2</v>
      </c>
      <c r="EN82" s="2">
        <v>0</v>
      </c>
      <c r="EO82" s="2">
        <v>3</v>
      </c>
      <c r="EP82" s="2">
        <v>2</v>
      </c>
      <c r="EQ82" s="2">
        <v>1</v>
      </c>
      <c r="ER82" s="2">
        <v>0</v>
      </c>
      <c r="ES82" s="2">
        <v>0</v>
      </c>
      <c r="ET82" s="2">
        <v>2</v>
      </c>
      <c r="EU82" s="2">
        <v>3</v>
      </c>
      <c r="EV82" s="2">
        <v>3</v>
      </c>
      <c r="EW82" s="2">
        <v>0</v>
      </c>
      <c r="EX82" s="2">
        <v>2</v>
      </c>
      <c r="EY82" s="2">
        <v>1</v>
      </c>
      <c r="EZ82" s="2">
        <v>1</v>
      </c>
      <c r="FA82" s="2">
        <v>0</v>
      </c>
      <c r="FB82" s="2">
        <v>1</v>
      </c>
      <c r="FC82" s="2">
        <v>1</v>
      </c>
      <c r="FD82" s="2">
        <v>0</v>
      </c>
      <c r="FE82" s="2">
        <v>1</v>
      </c>
      <c r="FF82" s="2">
        <v>0</v>
      </c>
      <c r="FG82" s="2">
        <v>1</v>
      </c>
      <c r="FH82" s="2">
        <v>0</v>
      </c>
      <c r="FI82" s="2">
        <v>1</v>
      </c>
      <c r="FJ82" s="2">
        <v>1</v>
      </c>
      <c r="FK82" s="2">
        <v>0</v>
      </c>
      <c r="FL82" s="2">
        <v>0</v>
      </c>
      <c r="FM82" s="2">
        <v>0</v>
      </c>
      <c r="FN82" s="2">
        <v>0</v>
      </c>
      <c r="FO82" s="2">
        <v>0</v>
      </c>
      <c r="FP82" s="2">
        <v>0</v>
      </c>
      <c r="FQ82" s="2">
        <v>0</v>
      </c>
      <c r="FR82" s="2">
        <v>2</v>
      </c>
      <c r="FS82" s="2">
        <v>1</v>
      </c>
      <c r="FT82" s="2">
        <v>0</v>
      </c>
      <c r="FU82" s="2">
        <v>0</v>
      </c>
      <c r="FV82" s="2">
        <v>2</v>
      </c>
      <c r="FW82" s="2">
        <v>0</v>
      </c>
      <c r="FX82" s="2">
        <v>1</v>
      </c>
      <c r="FY82" s="2">
        <v>1</v>
      </c>
      <c r="FZ82" s="2">
        <v>0</v>
      </c>
      <c r="GA82" s="2">
        <v>0</v>
      </c>
      <c r="GB82" s="2">
        <v>0</v>
      </c>
      <c r="GC82" s="2" t="s">
        <v>274</v>
      </c>
      <c r="GD82" s="2" t="s">
        <v>274</v>
      </c>
      <c r="GE82" s="2" t="s">
        <v>274</v>
      </c>
      <c r="GF82" s="2" t="s">
        <v>274</v>
      </c>
      <c r="GG82" s="2" t="s">
        <v>274</v>
      </c>
      <c r="GH82" s="2" t="s">
        <v>274</v>
      </c>
      <c r="GI82" s="2" t="s">
        <v>274</v>
      </c>
      <c r="GJ82" s="2" t="s">
        <v>274</v>
      </c>
      <c r="GK82" s="2" t="s">
        <v>274</v>
      </c>
      <c r="GL82" s="2" t="s">
        <v>274</v>
      </c>
      <c r="GM82" s="2" t="s">
        <v>274</v>
      </c>
      <c r="GN82" s="3">
        <v>4</v>
      </c>
      <c r="GO82" s="3">
        <v>3</v>
      </c>
      <c r="GP82" s="3">
        <v>3</v>
      </c>
      <c r="GQ82" s="3">
        <v>4</v>
      </c>
      <c r="GR82" s="3">
        <v>4</v>
      </c>
      <c r="GS82" s="3">
        <v>0</v>
      </c>
      <c r="GT82" s="3">
        <v>4</v>
      </c>
      <c r="GU82" s="3">
        <v>1</v>
      </c>
      <c r="GV82" s="3">
        <v>3</v>
      </c>
      <c r="GW82" s="3">
        <v>2</v>
      </c>
      <c r="GX82" s="3">
        <v>1</v>
      </c>
      <c r="GY82" s="3">
        <v>1</v>
      </c>
      <c r="GZ82" s="3">
        <v>4</v>
      </c>
      <c r="HA82" s="3">
        <v>1</v>
      </c>
      <c r="HB82" s="3">
        <v>0</v>
      </c>
      <c r="HC82" s="3">
        <v>0</v>
      </c>
      <c r="HD82" s="3">
        <v>0</v>
      </c>
      <c r="HE82" s="3">
        <v>0</v>
      </c>
      <c r="HF82" s="3">
        <v>4</v>
      </c>
      <c r="HG82" s="3">
        <v>0</v>
      </c>
      <c r="HH82" s="3">
        <v>3</v>
      </c>
      <c r="HI82" s="3">
        <v>1</v>
      </c>
      <c r="HJ82" s="3">
        <v>3</v>
      </c>
      <c r="HK82" s="3">
        <v>3</v>
      </c>
      <c r="HL82" s="3">
        <v>0</v>
      </c>
      <c r="HM82" s="3">
        <v>3</v>
      </c>
      <c r="HN82" s="3">
        <v>0</v>
      </c>
      <c r="HO82" s="3">
        <v>2</v>
      </c>
      <c r="HP82" s="3">
        <v>0</v>
      </c>
      <c r="HQ82" s="3">
        <v>0</v>
      </c>
      <c r="HR82" s="3">
        <v>2</v>
      </c>
      <c r="HS82" s="3">
        <v>0</v>
      </c>
      <c r="HT82" s="3">
        <v>2</v>
      </c>
      <c r="HU82" s="3">
        <v>0</v>
      </c>
      <c r="HV82" s="3">
        <v>0</v>
      </c>
      <c r="HW82" s="3">
        <v>0</v>
      </c>
      <c r="HX82" s="3">
        <v>3</v>
      </c>
      <c r="HY82" s="3">
        <v>0</v>
      </c>
      <c r="HZ82" s="3">
        <v>0</v>
      </c>
      <c r="IA82" s="3">
        <v>3</v>
      </c>
      <c r="IB82" s="3">
        <v>1</v>
      </c>
      <c r="IC82" s="3">
        <v>0</v>
      </c>
      <c r="ID82" s="3">
        <v>3</v>
      </c>
      <c r="IE82" s="3">
        <v>0</v>
      </c>
      <c r="IF82" s="3">
        <v>3</v>
      </c>
      <c r="IG82" s="3">
        <v>1</v>
      </c>
      <c r="IH82" s="3">
        <v>0</v>
      </c>
      <c r="II82" s="3">
        <v>0</v>
      </c>
      <c r="IJ82" s="3">
        <v>1</v>
      </c>
      <c r="IK82" s="3">
        <v>1</v>
      </c>
      <c r="IL82" s="3">
        <v>1</v>
      </c>
      <c r="IM82" s="3">
        <v>0</v>
      </c>
      <c r="IN82" s="3">
        <v>0</v>
      </c>
      <c r="IO82" s="3">
        <v>1</v>
      </c>
      <c r="IP82" s="3">
        <v>0</v>
      </c>
      <c r="IQ82" s="3">
        <v>1</v>
      </c>
      <c r="IR82" s="3" t="s">
        <v>705</v>
      </c>
      <c r="IS82" s="3">
        <v>0</v>
      </c>
      <c r="IT82" s="3">
        <v>4</v>
      </c>
      <c r="IU82" s="3">
        <v>0</v>
      </c>
      <c r="IV82" s="3">
        <v>4</v>
      </c>
      <c r="IW82" s="3">
        <v>4</v>
      </c>
      <c r="IX82" s="3">
        <v>1</v>
      </c>
      <c r="IY82" s="3">
        <v>1</v>
      </c>
      <c r="IZ82" s="2" t="s">
        <v>268</v>
      </c>
      <c r="JA82" s="2" t="s">
        <v>274</v>
      </c>
    </row>
    <row r="83" spans="1:261" ht="13.2" x14ac:dyDescent="0.25">
      <c r="A83" s="10" t="s">
        <v>274</v>
      </c>
      <c r="B83" s="2" t="s">
        <v>706</v>
      </c>
      <c r="C83" s="2" t="s">
        <v>276</v>
      </c>
      <c r="D83" s="2" t="s">
        <v>373</v>
      </c>
      <c r="E83" s="2">
        <v>45</v>
      </c>
      <c r="F83" s="11" t="s">
        <v>707</v>
      </c>
      <c r="G83" s="11" t="s">
        <v>708</v>
      </c>
      <c r="H83" s="2" t="s">
        <v>709</v>
      </c>
      <c r="I83" s="3">
        <v>2</v>
      </c>
      <c r="J83" s="3">
        <v>3</v>
      </c>
      <c r="K83" s="3">
        <v>0</v>
      </c>
      <c r="L83" s="3">
        <v>3</v>
      </c>
      <c r="M83" s="3">
        <v>2</v>
      </c>
      <c r="N83" s="3">
        <v>3</v>
      </c>
      <c r="O83" s="3">
        <v>3</v>
      </c>
      <c r="P83" s="3">
        <v>3</v>
      </c>
      <c r="Q83" s="3">
        <v>3</v>
      </c>
      <c r="R83" s="3">
        <v>1</v>
      </c>
      <c r="S83" s="3">
        <v>2</v>
      </c>
      <c r="T83" s="3">
        <v>3</v>
      </c>
      <c r="U83" s="3">
        <v>0</v>
      </c>
      <c r="V83" s="3">
        <v>0</v>
      </c>
      <c r="W83" s="3">
        <v>3</v>
      </c>
      <c r="X83" s="3">
        <v>2</v>
      </c>
      <c r="Y83" s="3">
        <v>3</v>
      </c>
      <c r="Z83" s="3">
        <v>2</v>
      </c>
      <c r="AA83" s="3">
        <v>4</v>
      </c>
      <c r="AB83" s="3">
        <v>4</v>
      </c>
      <c r="AC83" s="3">
        <v>4</v>
      </c>
      <c r="AD83" s="3">
        <v>4</v>
      </c>
      <c r="AE83" s="3">
        <v>3</v>
      </c>
      <c r="AF83" s="3">
        <v>0</v>
      </c>
      <c r="AG83" s="3">
        <v>0</v>
      </c>
      <c r="AH83" s="3">
        <v>0</v>
      </c>
      <c r="AI83" s="3">
        <v>3</v>
      </c>
      <c r="AJ83" s="3">
        <v>4</v>
      </c>
      <c r="AK83" s="3">
        <v>4</v>
      </c>
      <c r="AL83" s="3">
        <v>4</v>
      </c>
      <c r="AM83" s="3">
        <v>0</v>
      </c>
      <c r="AN83" s="3">
        <v>1</v>
      </c>
      <c r="AO83" s="3">
        <v>3</v>
      </c>
      <c r="AP83" s="3">
        <v>1</v>
      </c>
      <c r="AQ83" s="3">
        <v>1</v>
      </c>
      <c r="AR83" s="3">
        <v>1</v>
      </c>
      <c r="AS83" s="3">
        <v>1</v>
      </c>
      <c r="AT83" s="3">
        <v>1</v>
      </c>
      <c r="AU83" s="3">
        <v>4</v>
      </c>
      <c r="AV83" s="3">
        <v>4</v>
      </c>
      <c r="AW83" s="3">
        <v>3</v>
      </c>
      <c r="AX83" s="3">
        <v>0</v>
      </c>
      <c r="AY83" s="3">
        <v>3</v>
      </c>
      <c r="AZ83" s="3">
        <v>3</v>
      </c>
      <c r="BA83" s="3">
        <v>0</v>
      </c>
      <c r="BB83" s="3">
        <v>2</v>
      </c>
      <c r="BC83" s="3">
        <v>0</v>
      </c>
      <c r="BD83" s="3">
        <v>2</v>
      </c>
      <c r="BE83" s="3">
        <v>2</v>
      </c>
      <c r="BF83" s="3">
        <v>2</v>
      </c>
      <c r="BG83" s="3">
        <v>4</v>
      </c>
      <c r="BH83" s="3">
        <v>4</v>
      </c>
      <c r="BI83" s="3">
        <v>3</v>
      </c>
      <c r="BJ83" s="3">
        <v>4</v>
      </c>
      <c r="BK83" s="3">
        <v>4</v>
      </c>
      <c r="BL83" s="3">
        <v>4</v>
      </c>
      <c r="BM83" s="3" t="s">
        <v>274</v>
      </c>
      <c r="BN83" s="3">
        <v>3</v>
      </c>
      <c r="BO83" s="3">
        <v>3</v>
      </c>
      <c r="BP83" s="3">
        <v>4</v>
      </c>
      <c r="BQ83" s="3">
        <v>4</v>
      </c>
      <c r="BR83" s="3">
        <v>3</v>
      </c>
      <c r="BS83" s="3">
        <v>3</v>
      </c>
      <c r="BT83" s="3">
        <v>3</v>
      </c>
      <c r="BU83" s="2">
        <v>2</v>
      </c>
      <c r="BV83" s="2">
        <v>3</v>
      </c>
      <c r="BW83" s="2">
        <v>3</v>
      </c>
      <c r="BX83" s="2">
        <v>1</v>
      </c>
      <c r="BY83" s="2">
        <v>1</v>
      </c>
      <c r="BZ83" s="2">
        <v>0</v>
      </c>
      <c r="CA83" s="2">
        <v>0</v>
      </c>
      <c r="CB83" s="2">
        <v>1</v>
      </c>
      <c r="CC83" s="2">
        <v>0</v>
      </c>
      <c r="CD83" s="2">
        <v>0</v>
      </c>
      <c r="CE83" s="2">
        <v>0</v>
      </c>
      <c r="CF83" s="2">
        <v>0</v>
      </c>
      <c r="CG83" s="2">
        <v>0</v>
      </c>
      <c r="CH83" s="2">
        <v>0</v>
      </c>
      <c r="CI83" s="2">
        <v>1</v>
      </c>
      <c r="CJ83" s="2">
        <v>0</v>
      </c>
      <c r="CK83" s="2">
        <v>1</v>
      </c>
      <c r="CL83" s="2">
        <v>3</v>
      </c>
      <c r="CM83" s="2">
        <v>0</v>
      </c>
      <c r="CN83" s="2">
        <v>1</v>
      </c>
      <c r="CO83" s="2">
        <v>2</v>
      </c>
      <c r="CP83" s="2">
        <v>0</v>
      </c>
      <c r="CQ83" s="2">
        <v>4</v>
      </c>
      <c r="CR83" s="2">
        <v>1</v>
      </c>
      <c r="CS83" s="2">
        <v>2</v>
      </c>
      <c r="CT83" s="2">
        <v>0</v>
      </c>
      <c r="CU83" s="2">
        <v>0</v>
      </c>
      <c r="CV83" s="2">
        <v>0</v>
      </c>
      <c r="CW83" s="2">
        <v>2</v>
      </c>
      <c r="CX83" s="2">
        <v>0</v>
      </c>
      <c r="CY83" s="2">
        <v>0</v>
      </c>
      <c r="CZ83" s="2">
        <v>1</v>
      </c>
      <c r="DA83" s="2">
        <v>0</v>
      </c>
      <c r="DB83" s="2">
        <v>0</v>
      </c>
      <c r="DC83" s="2">
        <v>0</v>
      </c>
      <c r="DD83" s="2">
        <v>0</v>
      </c>
      <c r="DE83" s="2">
        <v>2</v>
      </c>
      <c r="DF83" s="2">
        <v>3</v>
      </c>
      <c r="DG83" s="2">
        <v>3</v>
      </c>
      <c r="DH83" s="2">
        <v>3</v>
      </c>
      <c r="DI83" s="2">
        <v>3</v>
      </c>
      <c r="DJ83" s="2">
        <v>3</v>
      </c>
      <c r="DK83" s="2">
        <v>3</v>
      </c>
      <c r="DL83" s="2">
        <v>2</v>
      </c>
      <c r="DM83" s="2">
        <v>2</v>
      </c>
      <c r="DN83" s="2">
        <v>3</v>
      </c>
      <c r="DO83" s="2">
        <v>1</v>
      </c>
      <c r="DP83" s="2">
        <v>3</v>
      </c>
      <c r="DQ83" s="2">
        <v>3</v>
      </c>
      <c r="DR83" s="2">
        <v>3</v>
      </c>
      <c r="DS83" s="2">
        <v>3</v>
      </c>
      <c r="DT83" s="2">
        <v>2</v>
      </c>
      <c r="DU83" s="2">
        <v>2</v>
      </c>
      <c r="DV83" s="2">
        <v>1</v>
      </c>
      <c r="DW83" s="2">
        <v>1</v>
      </c>
      <c r="DX83" s="2">
        <v>3</v>
      </c>
      <c r="DY83" s="2">
        <v>3</v>
      </c>
      <c r="DZ83" s="2">
        <v>3</v>
      </c>
      <c r="EA83" s="2">
        <v>2</v>
      </c>
      <c r="EB83" s="2">
        <v>0</v>
      </c>
      <c r="EC83" s="2">
        <v>0</v>
      </c>
      <c r="ED83" s="2">
        <v>0</v>
      </c>
      <c r="EE83" s="2">
        <v>0</v>
      </c>
      <c r="EF83" s="2">
        <v>0</v>
      </c>
      <c r="EG83" s="2">
        <v>0</v>
      </c>
      <c r="EH83" s="2">
        <v>0</v>
      </c>
      <c r="EI83" s="2">
        <v>2</v>
      </c>
      <c r="EJ83" s="2">
        <v>2</v>
      </c>
      <c r="EK83" s="2">
        <v>3</v>
      </c>
      <c r="EL83" s="2">
        <v>2</v>
      </c>
      <c r="EM83" s="2">
        <v>2</v>
      </c>
      <c r="EN83" s="2">
        <v>0</v>
      </c>
      <c r="EO83" s="2">
        <v>0</v>
      </c>
      <c r="EP83" s="2">
        <v>0</v>
      </c>
      <c r="EQ83" s="2">
        <v>1</v>
      </c>
      <c r="ER83" s="2">
        <v>1</v>
      </c>
      <c r="ES83" s="2">
        <v>1</v>
      </c>
      <c r="ET83" s="2">
        <v>1</v>
      </c>
      <c r="EU83" s="2">
        <v>1</v>
      </c>
      <c r="EV83" s="2">
        <v>1</v>
      </c>
      <c r="EW83" s="2">
        <v>3</v>
      </c>
      <c r="EX83" s="2">
        <v>3</v>
      </c>
      <c r="EY83" s="2">
        <v>3</v>
      </c>
      <c r="EZ83" s="2">
        <v>3</v>
      </c>
      <c r="FA83" s="2">
        <v>0</v>
      </c>
      <c r="FB83" s="2">
        <v>0</v>
      </c>
      <c r="FC83" s="2">
        <v>1</v>
      </c>
      <c r="FD83" s="2">
        <v>1</v>
      </c>
      <c r="FE83" s="2">
        <v>1</v>
      </c>
      <c r="FF83" s="2">
        <v>1</v>
      </c>
      <c r="FG83" s="2">
        <v>1</v>
      </c>
      <c r="FH83" s="2">
        <v>1</v>
      </c>
      <c r="FI83" s="2">
        <v>1</v>
      </c>
      <c r="FJ83" s="2">
        <v>1</v>
      </c>
      <c r="FK83" s="2">
        <v>3</v>
      </c>
      <c r="FL83" s="2">
        <v>3</v>
      </c>
      <c r="FM83" s="2">
        <v>3</v>
      </c>
      <c r="FN83" s="2">
        <v>3</v>
      </c>
      <c r="FO83" s="2">
        <v>3</v>
      </c>
      <c r="FP83" s="2">
        <v>3</v>
      </c>
      <c r="FQ83" s="2">
        <v>3</v>
      </c>
      <c r="FR83" s="2">
        <v>3</v>
      </c>
      <c r="FS83" s="2">
        <v>3</v>
      </c>
      <c r="FT83" s="2">
        <v>3</v>
      </c>
      <c r="FU83" s="2">
        <v>1</v>
      </c>
      <c r="FV83" s="2">
        <v>1</v>
      </c>
      <c r="FW83" s="2">
        <v>3</v>
      </c>
      <c r="FX83" s="2">
        <v>2</v>
      </c>
      <c r="FY83" s="2">
        <v>1</v>
      </c>
      <c r="FZ83" s="2">
        <v>3</v>
      </c>
      <c r="GA83" s="2">
        <v>1</v>
      </c>
      <c r="GB83" s="2">
        <v>3</v>
      </c>
      <c r="GC83" s="2" t="s">
        <v>274</v>
      </c>
      <c r="GD83" s="2">
        <v>1</v>
      </c>
      <c r="GE83" s="2">
        <v>1</v>
      </c>
      <c r="GF83" s="2">
        <v>3</v>
      </c>
      <c r="GG83" s="2">
        <v>3</v>
      </c>
      <c r="GH83" s="2">
        <v>3</v>
      </c>
      <c r="GI83" s="2">
        <v>2</v>
      </c>
      <c r="GJ83" s="2">
        <v>2</v>
      </c>
      <c r="GK83" s="2">
        <v>3</v>
      </c>
      <c r="GL83" s="2">
        <v>2</v>
      </c>
      <c r="GM83" s="2">
        <v>2</v>
      </c>
      <c r="GN83" s="3">
        <v>3</v>
      </c>
      <c r="GO83" s="3">
        <v>3</v>
      </c>
      <c r="GP83" s="3">
        <v>2</v>
      </c>
      <c r="GQ83" s="3">
        <v>2</v>
      </c>
      <c r="GR83" s="3">
        <v>2</v>
      </c>
      <c r="GS83" s="3">
        <v>3</v>
      </c>
      <c r="GT83" s="3">
        <v>3</v>
      </c>
      <c r="GU83" s="3">
        <v>4</v>
      </c>
      <c r="GV83" s="3">
        <v>4</v>
      </c>
      <c r="GW83" s="3">
        <v>2</v>
      </c>
      <c r="GX83" s="3">
        <v>4</v>
      </c>
      <c r="GY83" s="3">
        <v>4</v>
      </c>
      <c r="GZ83" s="3">
        <v>4</v>
      </c>
      <c r="HA83" s="3">
        <v>4</v>
      </c>
      <c r="HB83" s="3">
        <v>2</v>
      </c>
      <c r="HC83" s="3">
        <v>2</v>
      </c>
      <c r="HD83" s="3">
        <v>0</v>
      </c>
      <c r="HE83" s="3">
        <v>0</v>
      </c>
      <c r="HF83" s="3">
        <v>2</v>
      </c>
      <c r="HG83" s="3">
        <v>0</v>
      </c>
      <c r="HH83" s="3">
        <v>3</v>
      </c>
      <c r="HI83" s="3">
        <v>4</v>
      </c>
      <c r="HJ83" s="3">
        <v>0</v>
      </c>
      <c r="HK83" s="3">
        <v>4</v>
      </c>
      <c r="HL83" s="3">
        <v>3</v>
      </c>
      <c r="HM83" s="3">
        <v>0</v>
      </c>
      <c r="HN83" s="3">
        <v>2</v>
      </c>
      <c r="HO83" s="3">
        <v>3</v>
      </c>
      <c r="HP83" s="3">
        <v>3</v>
      </c>
      <c r="HQ83" s="3">
        <v>3</v>
      </c>
      <c r="HR83" s="3">
        <v>0</v>
      </c>
      <c r="HS83" s="3">
        <v>0</v>
      </c>
      <c r="HT83" s="3">
        <v>0</v>
      </c>
      <c r="HU83" s="3">
        <v>0</v>
      </c>
      <c r="HV83" s="3">
        <v>4</v>
      </c>
      <c r="HW83" s="3">
        <v>4</v>
      </c>
      <c r="HX83" s="3">
        <v>0</v>
      </c>
      <c r="HY83" s="3">
        <v>0</v>
      </c>
      <c r="HZ83" s="3">
        <v>2</v>
      </c>
      <c r="IA83" s="3">
        <v>4</v>
      </c>
      <c r="IB83" s="3">
        <v>4</v>
      </c>
      <c r="IC83" s="3">
        <v>0</v>
      </c>
      <c r="ID83" s="3">
        <v>2</v>
      </c>
      <c r="IE83" s="3">
        <v>0</v>
      </c>
      <c r="IF83" s="3">
        <v>0</v>
      </c>
      <c r="IG83" s="3">
        <v>0</v>
      </c>
      <c r="IH83" s="3">
        <v>0</v>
      </c>
      <c r="II83" s="3">
        <v>0</v>
      </c>
      <c r="IJ83" s="3">
        <v>2</v>
      </c>
      <c r="IK83" s="3">
        <v>0</v>
      </c>
      <c r="IL83" s="3">
        <v>2</v>
      </c>
      <c r="IM83" s="3">
        <v>2</v>
      </c>
      <c r="IN83" s="3">
        <v>2</v>
      </c>
      <c r="IO83" s="3">
        <v>3</v>
      </c>
      <c r="IP83" s="3">
        <v>2</v>
      </c>
      <c r="IQ83" s="3">
        <v>3</v>
      </c>
      <c r="IR83" s="3" t="s">
        <v>274</v>
      </c>
      <c r="IS83" s="3">
        <v>4</v>
      </c>
      <c r="IT83" s="3">
        <v>4</v>
      </c>
      <c r="IU83" s="3">
        <v>3</v>
      </c>
      <c r="IV83" s="3">
        <v>2</v>
      </c>
      <c r="IW83" s="3">
        <v>3</v>
      </c>
      <c r="IX83" s="3">
        <v>0</v>
      </c>
      <c r="IY83" s="3">
        <v>3</v>
      </c>
      <c r="IZ83" s="2" t="s">
        <v>268</v>
      </c>
      <c r="JA83" s="2" t="s">
        <v>274</v>
      </c>
    </row>
    <row r="84" spans="1:261" ht="13.2" x14ac:dyDescent="0.25">
      <c r="A84" s="10" t="s">
        <v>274</v>
      </c>
      <c r="B84" s="2" t="s">
        <v>710</v>
      </c>
      <c r="C84" s="2" t="s">
        <v>261</v>
      </c>
      <c r="D84" s="2" t="s">
        <v>262</v>
      </c>
      <c r="E84" s="2">
        <v>33</v>
      </c>
      <c r="F84" s="11" t="s">
        <v>711</v>
      </c>
      <c r="G84" s="11" t="s">
        <v>712</v>
      </c>
      <c r="H84" s="2" t="s">
        <v>713</v>
      </c>
      <c r="I84" s="3">
        <v>3</v>
      </c>
      <c r="J84" s="3">
        <v>1</v>
      </c>
      <c r="K84" s="3">
        <v>3</v>
      </c>
      <c r="L84" s="3">
        <v>4</v>
      </c>
      <c r="M84" s="3">
        <v>3</v>
      </c>
      <c r="N84" s="3">
        <v>4</v>
      </c>
      <c r="O84" s="3">
        <v>3</v>
      </c>
      <c r="P84" s="3">
        <v>1</v>
      </c>
      <c r="Q84" s="3">
        <v>3</v>
      </c>
      <c r="R84" s="3">
        <v>0</v>
      </c>
      <c r="S84" s="3">
        <v>0</v>
      </c>
      <c r="T84" s="3">
        <v>0</v>
      </c>
      <c r="U84" s="3">
        <v>0</v>
      </c>
      <c r="V84" s="3">
        <v>1</v>
      </c>
      <c r="W84" s="3">
        <v>1</v>
      </c>
      <c r="X84" s="3">
        <v>0</v>
      </c>
      <c r="Y84" s="3">
        <v>1</v>
      </c>
      <c r="Z84" s="3">
        <v>1</v>
      </c>
      <c r="AA84" s="3">
        <v>1</v>
      </c>
      <c r="AB84" s="3">
        <v>1</v>
      </c>
      <c r="AC84" s="3">
        <v>1</v>
      </c>
      <c r="AD84" s="3">
        <v>1</v>
      </c>
      <c r="AE84" s="3">
        <v>1</v>
      </c>
      <c r="AF84" s="3">
        <v>0</v>
      </c>
      <c r="AG84" s="3">
        <v>0</v>
      </c>
      <c r="AH84" s="3">
        <v>0</v>
      </c>
      <c r="AI84" s="3">
        <v>0</v>
      </c>
      <c r="AJ84" s="3">
        <v>3</v>
      </c>
      <c r="AK84" s="3">
        <v>0</v>
      </c>
      <c r="AL84" s="3">
        <v>0</v>
      </c>
      <c r="AM84" s="3">
        <v>0</v>
      </c>
      <c r="AN84" s="3">
        <v>0</v>
      </c>
      <c r="AO84" s="3">
        <v>1</v>
      </c>
      <c r="AP84" s="3">
        <v>0</v>
      </c>
      <c r="AQ84" s="3">
        <v>1</v>
      </c>
      <c r="AR84" s="3">
        <v>0</v>
      </c>
      <c r="AS84" s="3">
        <v>0</v>
      </c>
      <c r="AT84" s="3">
        <v>0</v>
      </c>
      <c r="AU84" s="3">
        <v>2</v>
      </c>
      <c r="AV84" s="3">
        <v>2</v>
      </c>
      <c r="AW84" s="3">
        <v>4</v>
      </c>
      <c r="AX84" s="3">
        <v>1</v>
      </c>
      <c r="AY84" s="3">
        <v>4</v>
      </c>
      <c r="AZ84" s="3">
        <v>4</v>
      </c>
      <c r="BA84" s="3">
        <v>4</v>
      </c>
      <c r="BB84" s="3">
        <v>2</v>
      </c>
      <c r="BC84" s="3">
        <v>2</v>
      </c>
      <c r="BD84" s="3">
        <v>4</v>
      </c>
      <c r="BE84" s="3">
        <v>1</v>
      </c>
      <c r="BF84" s="3">
        <v>0</v>
      </c>
      <c r="BG84" s="3">
        <v>1</v>
      </c>
      <c r="BH84" s="3">
        <v>1</v>
      </c>
      <c r="BI84" s="3">
        <v>0</v>
      </c>
      <c r="BJ84" s="3">
        <v>3</v>
      </c>
      <c r="BK84" s="3">
        <v>0</v>
      </c>
      <c r="BL84" s="3">
        <v>0</v>
      </c>
      <c r="BM84" s="3" t="s">
        <v>714</v>
      </c>
      <c r="BN84" s="3">
        <v>4</v>
      </c>
      <c r="BO84" s="3">
        <v>3</v>
      </c>
      <c r="BP84" s="3">
        <v>4</v>
      </c>
      <c r="BQ84" s="3">
        <v>4</v>
      </c>
      <c r="BR84" s="3">
        <v>4</v>
      </c>
      <c r="BS84" s="3">
        <v>4</v>
      </c>
      <c r="BT84" s="3">
        <v>3</v>
      </c>
      <c r="BU84" s="2">
        <v>3</v>
      </c>
      <c r="BV84" s="2">
        <v>1</v>
      </c>
      <c r="BW84" s="2">
        <v>3</v>
      </c>
      <c r="BX84" s="2">
        <v>1</v>
      </c>
      <c r="BY84" s="2">
        <v>0</v>
      </c>
      <c r="BZ84" s="2">
        <v>0</v>
      </c>
      <c r="CA84" s="2">
        <v>3</v>
      </c>
      <c r="CB84" s="2">
        <v>1</v>
      </c>
      <c r="CC84" s="2">
        <v>0</v>
      </c>
      <c r="CD84" s="2">
        <v>0</v>
      </c>
      <c r="CE84" s="2">
        <v>0</v>
      </c>
      <c r="CF84" s="2">
        <v>0</v>
      </c>
      <c r="CG84" s="2">
        <v>0</v>
      </c>
      <c r="CH84" s="2">
        <v>0</v>
      </c>
      <c r="CI84" s="2">
        <v>1</v>
      </c>
      <c r="CJ84" s="2">
        <v>0</v>
      </c>
      <c r="CK84" s="2">
        <v>0</v>
      </c>
      <c r="CL84" s="2">
        <v>0</v>
      </c>
      <c r="CM84" s="2">
        <v>0</v>
      </c>
      <c r="CN84" s="2">
        <v>0</v>
      </c>
      <c r="CO84" s="2">
        <v>0</v>
      </c>
      <c r="CP84" s="2">
        <v>0</v>
      </c>
      <c r="CQ84" s="2">
        <v>4</v>
      </c>
      <c r="CR84" s="2">
        <v>0</v>
      </c>
      <c r="CS84" s="2">
        <v>0</v>
      </c>
      <c r="CT84" s="2">
        <v>0</v>
      </c>
      <c r="CU84" s="2">
        <v>0</v>
      </c>
      <c r="CV84" s="2">
        <v>0</v>
      </c>
      <c r="CW84" s="2">
        <v>0</v>
      </c>
      <c r="CX84" s="2">
        <v>0</v>
      </c>
      <c r="CY84" s="2">
        <v>0</v>
      </c>
      <c r="CZ84" s="2">
        <v>0</v>
      </c>
      <c r="DA84" s="2">
        <v>0</v>
      </c>
      <c r="DB84" s="2">
        <v>0</v>
      </c>
      <c r="DC84" s="2">
        <v>0</v>
      </c>
      <c r="DD84" s="2">
        <v>0</v>
      </c>
      <c r="DE84" s="2">
        <v>1</v>
      </c>
      <c r="DF84" s="2">
        <v>4</v>
      </c>
      <c r="DG84" s="2">
        <v>3</v>
      </c>
      <c r="DH84" s="2">
        <v>4</v>
      </c>
      <c r="DI84" s="2">
        <v>0</v>
      </c>
      <c r="DJ84" s="2">
        <v>0</v>
      </c>
      <c r="DK84" s="2">
        <v>0</v>
      </c>
      <c r="DL84" s="2">
        <v>0</v>
      </c>
      <c r="DM84" s="2">
        <v>0</v>
      </c>
      <c r="DN84" s="2">
        <v>0</v>
      </c>
      <c r="DO84" s="2">
        <v>0</v>
      </c>
      <c r="DP84" s="2">
        <v>0</v>
      </c>
      <c r="DQ84" s="2">
        <v>2</v>
      </c>
      <c r="DR84" s="2">
        <v>0</v>
      </c>
      <c r="DS84" s="2">
        <v>3</v>
      </c>
      <c r="DT84" s="2">
        <v>0</v>
      </c>
      <c r="DU84" s="2">
        <v>0</v>
      </c>
      <c r="DV84" s="2">
        <v>1</v>
      </c>
      <c r="DW84" s="2">
        <v>2</v>
      </c>
      <c r="DX84" s="2">
        <v>0</v>
      </c>
      <c r="DY84" s="2">
        <v>0</v>
      </c>
      <c r="DZ84" s="2">
        <v>0</v>
      </c>
      <c r="EA84" s="2">
        <v>0</v>
      </c>
      <c r="EB84" s="2">
        <v>0</v>
      </c>
      <c r="EC84" s="2">
        <v>0</v>
      </c>
      <c r="ED84" s="2">
        <v>0</v>
      </c>
      <c r="EE84" s="2">
        <v>0</v>
      </c>
      <c r="EF84" s="2">
        <v>0</v>
      </c>
      <c r="EG84" s="2">
        <v>0</v>
      </c>
      <c r="EH84" s="2">
        <v>0</v>
      </c>
      <c r="EI84" s="2">
        <v>2</v>
      </c>
      <c r="EJ84" s="2">
        <v>2</v>
      </c>
      <c r="EK84" s="2">
        <v>0</v>
      </c>
      <c r="EL84" s="2">
        <v>0</v>
      </c>
      <c r="EM84" s="2">
        <v>0</v>
      </c>
      <c r="EN84" s="2">
        <v>0</v>
      </c>
      <c r="EO84" s="2">
        <v>0</v>
      </c>
      <c r="EP84" s="2">
        <v>0</v>
      </c>
      <c r="EQ84" s="2">
        <v>0</v>
      </c>
      <c r="ER84" s="2">
        <v>0</v>
      </c>
      <c r="ES84" s="2">
        <v>0</v>
      </c>
      <c r="ET84" s="2">
        <v>0</v>
      </c>
      <c r="EU84" s="2">
        <v>1</v>
      </c>
      <c r="EV84" s="2">
        <v>1</v>
      </c>
      <c r="EW84" s="2">
        <v>3</v>
      </c>
      <c r="EX84" s="2">
        <v>2</v>
      </c>
      <c r="EY84" s="2">
        <v>0</v>
      </c>
      <c r="EZ84" s="2">
        <v>0</v>
      </c>
      <c r="FA84" s="2">
        <v>0</v>
      </c>
      <c r="FB84" s="2">
        <v>0</v>
      </c>
      <c r="FC84" s="2">
        <v>0</v>
      </c>
      <c r="FD84" s="2">
        <v>0</v>
      </c>
      <c r="FE84" s="2">
        <v>0</v>
      </c>
      <c r="FF84" s="2">
        <v>0</v>
      </c>
      <c r="FG84" s="2">
        <v>0</v>
      </c>
      <c r="FH84" s="2">
        <v>0</v>
      </c>
      <c r="FI84" s="2">
        <v>0</v>
      </c>
      <c r="FJ84" s="2">
        <v>0</v>
      </c>
      <c r="FK84" s="2">
        <v>1</v>
      </c>
      <c r="FL84" s="2">
        <v>2</v>
      </c>
      <c r="FM84" s="2">
        <v>1</v>
      </c>
      <c r="FN84" s="2">
        <v>0</v>
      </c>
      <c r="FO84" s="2">
        <v>0</v>
      </c>
      <c r="FP84" s="2">
        <v>3</v>
      </c>
      <c r="FQ84" s="2">
        <v>3</v>
      </c>
      <c r="FR84" s="2">
        <v>1</v>
      </c>
      <c r="FS84" s="2">
        <v>1</v>
      </c>
      <c r="FT84" s="2">
        <v>0</v>
      </c>
      <c r="FU84" s="2">
        <v>1</v>
      </c>
      <c r="FV84" s="2">
        <v>0</v>
      </c>
      <c r="FW84" s="2">
        <v>0</v>
      </c>
      <c r="FX84" s="2">
        <v>0</v>
      </c>
      <c r="FY84" s="2">
        <v>0</v>
      </c>
      <c r="FZ84" s="2">
        <v>0</v>
      </c>
      <c r="GA84" s="2">
        <v>0</v>
      </c>
      <c r="GB84" s="2">
        <v>2</v>
      </c>
      <c r="GC84" s="2" t="s">
        <v>715</v>
      </c>
      <c r="GD84" s="2" t="s">
        <v>274</v>
      </c>
      <c r="GE84" s="2">
        <v>0</v>
      </c>
      <c r="GF84" s="2">
        <v>1</v>
      </c>
      <c r="GG84" s="2">
        <v>0</v>
      </c>
      <c r="GH84" s="2">
        <v>1</v>
      </c>
      <c r="GI84" s="2">
        <v>2</v>
      </c>
      <c r="GJ84" s="2">
        <v>0</v>
      </c>
      <c r="GK84" s="2">
        <v>0</v>
      </c>
      <c r="GL84" s="2">
        <v>0</v>
      </c>
      <c r="GM84" s="2">
        <v>0</v>
      </c>
      <c r="GN84" s="3">
        <v>4</v>
      </c>
      <c r="GO84" s="3">
        <v>0</v>
      </c>
      <c r="GP84" s="3">
        <v>0</v>
      </c>
      <c r="GQ84" s="3">
        <v>1</v>
      </c>
      <c r="GR84" s="3">
        <v>0</v>
      </c>
      <c r="GS84" s="3">
        <v>0</v>
      </c>
      <c r="GT84" s="3">
        <v>4</v>
      </c>
      <c r="GU84" s="3">
        <v>0</v>
      </c>
      <c r="GV84" s="3">
        <v>0</v>
      </c>
      <c r="GW84" s="3">
        <v>0</v>
      </c>
      <c r="GX84" s="3">
        <v>2</v>
      </c>
      <c r="GY84" s="3">
        <v>0</v>
      </c>
      <c r="GZ84" s="3">
        <v>0</v>
      </c>
      <c r="HA84" s="3">
        <v>0</v>
      </c>
      <c r="HB84" s="3">
        <v>0</v>
      </c>
      <c r="HC84" s="3">
        <v>0</v>
      </c>
      <c r="HD84" s="3">
        <v>0</v>
      </c>
      <c r="HE84" s="3">
        <v>0</v>
      </c>
      <c r="HF84" s="3">
        <v>0</v>
      </c>
      <c r="HG84" s="3">
        <v>0</v>
      </c>
      <c r="HH84" s="3">
        <v>0</v>
      </c>
      <c r="HI84" s="3">
        <v>0</v>
      </c>
      <c r="HJ84" s="3">
        <v>1</v>
      </c>
      <c r="HK84" s="3">
        <v>4</v>
      </c>
      <c r="HL84" s="3">
        <v>0</v>
      </c>
      <c r="HM84" s="3">
        <v>0</v>
      </c>
      <c r="HN84" s="3">
        <v>0</v>
      </c>
      <c r="HO84" s="3">
        <v>4</v>
      </c>
      <c r="HP84" s="3">
        <v>0</v>
      </c>
      <c r="HQ84" s="3">
        <v>0</v>
      </c>
      <c r="HR84" s="3">
        <v>0</v>
      </c>
      <c r="HS84" s="3">
        <v>0</v>
      </c>
      <c r="HT84" s="3">
        <v>0</v>
      </c>
      <c r="HU84" s="3">
        <v>0</v>
      </c>
      <c r="HV84" s="3">
        <v>0</v>
      </c>
      <c r="HW84" s="3">
        <v>0</v>
      </c>
      <c r="HX84" s="3">
        <v>0</v>
      </c>
      <c r="HY84" s="3">
        <v>0</v>
      </c>
      <c r="HZ84" s="3">
        <v>0</v>
      </c>
      <c r="IA84" s="3">
        <v>4</v>
      </c>
      <c r="IB84" s="3">
        <v>0</v>
      </c>
      <c r="IC84" s="3">
        <v>0</v>
      </c>
      <c r="ID84" s="3">
        <v>0</v>
      </c>
      <c r="IE84" s="3">
        <v>0</v>
      </c>
      <c r="IF84" s="3">
        <v>0</v>
      </c>
      <c r="IG84" s="3">
        <v>0</v>
      </c>
      <c r="IH84" s="3">
        <v>0</v>
      </c>
      <c r="II84" s="3">
        <v>0</v>
      </c>
      <c r="IJ84" s="3">
        <v>0</v>
      </c>
      <c r="IK84" s="3">
        <v>0</v>
      </c>
      <c r="IL84" s="3">
        <v>0</v>
      </c>
      <c r="IM84" s="3">
        <v>0</v>
      </c>
      <c r="IN84" s="3">
        <v>0</v>
      </c>
      <c r="IO84" s="3">
        <v>1</v>
      </c>
      <c r="IP84" s="3">
        <v>0</v>
      </c>
      <c r="IQ84" s="3">
        <v>2</v>
      </c>
      <c r="IR84" s="3" t="s">
        <v>716</v>
      </c>
      <c r="IS84" s="3">
        <v>2</v>
      </c>
      <c r="IT84" s="3">
        <v>4</v>
      </c>
      <c r="IU84" s="3">
        <v>0</v>
      </c>
      <c r="IV84" s="3">
        <v>0</v>
      </c>
      <c r="IW84" s="3">
        <v>0</v>
      </c>
      <c r="IX84" s="3">
        <v>0</v>
      </c>
      <c r="IY84" s="3">
        <v>0</v>
      </c>
      <c r="IZ84" s="2" t="s">
        <v>268</v>
      </c>
      <c r="JA84" s="2" t="s">
        <v>274</v>
      </c>
    </row>
    <row r="85" spans="1:261" ht="13.2" x14ac:dyDescent="0.25">
      <c r="A85" s="10" t="s">
        <v>274</v>
      </c>
      <c r="B85" s="2" t="s">
        <v>717</v>
      </c>
      <c r="C85" s="2" t="s">
        <v>261</v>
      </c>
      <c r="D85" s="2" t="s">
        <v>270</v>
      </c>
      <c r="E85" s="2">
        <v>27</v>
      </c>
      <c r="F85" s="11" t="s">
        <v>718</v>
      </c>
      <c r="G85" s="11" t="s">
        <v>719</v>
      </c>
      <c r="H85" s="2" t="s">
        <v>720</v>
      </c>
      <c r="I85" s="3">
        <v>1</v>
      </c>
      <c r="J85" s="3">
        <v>2</v>
      </c>
      <c r="K85" s="3">
        <v>2</v>
      </c>
      <c r="L85" s="3">
        <v>1</v>
      </c>
      <c r="M85" s="3">
        <v>2</v>
      </c>
      <c r="N85" s="3">
        <v>2</v>
      </c>
      <c r="O85" s="3">
        <v>2</v>
      </c>
      <c r="P85" s="3">
        <v>2</v>
      </c>
      <c r="Q85" s="3">
        <v>1</v>
      </c>
      <c r="R85" s="3">
        <v>1</v>
      </c>
      <c r="S85" s="3">
        <v>2</v>
      </c>
      <c r="T85" s="3">
        <v>0</v>
      </c>
      <c r="U85" s="3">
        <v>2</v>
      </c>
      <c r="V85" s="3">
        <v>0</v>
      </c>
      <c r="W85" s="3">
        <v>2</v>
      </c>
      <c r="X85" s="3">
        <v>2</v>
      </c>
      <c r="Y85" s="3">
        <v>2</v>
      </c>
      <c r="Z85" s="3">
        <v>2</v>
      </c>
      <c r="AA85" s="3">
        <v>1</v>
      </c>
      <c r="AB85" s="3">
        <v>0</v>
      </c>
      <c r="AC85" s="3">
        <v>1</v>
      </c>
      <c r="AD85" s="3">
        <v>1</v>
      </c>
      <c r="AE85" s="3">
        <v>2</v>
      </c>
      <c r="AF85" s="3">
        <v>0</v>
      </c>
      <c r="AG85" s="3">
        <v>0</v>
      </c>
      <c r="AH85" s="3">
        <v>0</v>
      </c>
      <c r="AI85" s="3">
        <v>2</v>
      </c>
      <c r="AJ85" s="3">
        <v>2</v>
      </c>
      <c r="AK85" s="3">
        <v>1</v>
      </c>
      <c r="AL85" s="3">
        <v>1</v>
      </c>
      <c r="AM85" s="3">
        <v>1</v>
      </c>
      <c r="AN85" s="3">
        <v>2</v>
      </c>
      <c r="AO85" s="3">
        <v>2</v>
      </c>
      <c r="AP85" s="3">
        <v>1</v>
      </c>
      <c r="AQ85" s="3">
        <v>1</v>
      </c>
      <c r="AR85" s="3">
        <v>1</v>
      </c>
      <c r="AS85" s="3">
        <v>1</v>
      </c>
      <c r="AT85" s="3">
        <v>0</v>
      </c>
      <c r="AU85" s="3">
        <v>2</v>
      </c>
      <c r="AV85" s="3">
        <v>2</v>
      </c>
      <c r="AW85" s="3">
        <v>2</v>
      </c>
      <c r="AX85" s="3">
        <v>2</v>
      </c>
      <c r="AY85" s="3">
        <v>2</v>
      </c>
      <c r="AZ85" s="3">
        <v>2</v>
      </c>
      <c r="BA85" s="3">
        <v>2</v>
      </c>
      <c r="BB85" s="3">
        <v>2</v>
      </c>
      <c r="BC85" s="3">
        <v>2</v>
      </c>
      <c r="BD85" s="3">
        <v>3</v>
      </c>
      <c r="BE85" s="3">
        <v>0</v>
      </c>
      <c r="BF85" s="3">
        <v>0</v>
      </c>
      <c r="BG85" s="3">
        <v>0</v>
      </c>
      <c r="BH85" s="3">
        <v>0</v>
      </c>
      <c r="BI85" s="3">
        <v>0</v>
      </c>
      <c r="BJ85" s="3">
        <v>0</v>
      </c>
      <c r="BK85" s="3">
        <v>1</v>
      </c>
      <c r="BL85" s="3">
        <v>0</v>
      </c>
      <c r="BM85" s="3" t="s">
        <v>274</v>
      </c>
      <c r="BN85" s="3">
        <v>0</v>
      </c>
      <c r="BO85" s="3">
        <v>0</v>
      </c>
      <c r="BP85" s="3">
        <v>1</v>
      </c>
      <c r="BQ85" s="3">
        <v>1</v>
      </c>
      <c r="BR85" s="3">
        <v>1</v>
      </c>
      <c r="BS85" s="3">
        <v>1</v>
      </c>
      <c r="BT85" s="3">
        <v>1</v>
      </c>
      <c r="BU85" s="2">
        <v>0</v>
      </c>
      <c r="BV85" s="2">
        <v>1</v>
      </c>
      <c r="BW85" s="2">
        <v>1</v>
      </c>
      <c r="BX85" s="2">
        <v>0</v>
      </c>
      <c r="BY85" s="2">
        <v>0</v>
      </c>
      <c r="BZ85" s="2">
        <v>0</v>
      </c>
      <c r="CA85" s="2">
        <v>0</v>
      </c>
      <c r="CB85" s="2">
        <v>0</v>
      </c>
      <c r="CC85" s="2">
        <v>0</v>
      </c>
      <c r="CD85" s="2">
        <v>0</v>
      </c>
      <c r="CE85" s="2">
        <v>1</v>
      </c>
      <c r="CF85" s="2">
        <v>0</v>
      </c>
      <c r="CG85" s="2">
        <v>0</v>
      </c>
      <c r="CH85" s="2">
        <v>0</v>
      </c>
      <c r="CI85" s="2">
        <v>1</v>
      </c>
      <c r="CJ85" s="2">
        <v>0</v>
      </c>
      <c r="CK85" s="2">
        <v>0</v>
      </c>
      <c r="CL85" s="2">
        <v>1</v>
      </c>
      <c r="CM85" s="2">
        <v>0</v>
      </c>
      <c r="CN85" s="2">
        <v>0</v>
      </c>
      <c r="CO85" s="2">
        <v>0</v>
      </c>
      <c r="CP85" s="2">
        <v>0</v>
      </c>
      <c r="CQ85" s="2">
        <v>0</v>
      </c>
      <c r="CR85" s="2">
        <v>0</v>
      </c>
      <c r="CS85" s="2">
        <v>1</v>
      </c>
      <c r="CT85" s="2">
        <v>0</v>
      </c>
      <c r="CU85" s="2">
        <v>1</v>
      </c>
      <c r="CV85" s="2">
        <v>0</v>
      </c>
      <c r="CW85" s="2">
        <v>1</v>
      </c>
      <c r="CX85" s="2">
        <v>0</v>
      </c>
      <c r="CY85" s="2">
        <v>0</v>
      </c>
      <c r="CZ85" s="2">
        <v>0</v>
      </c>
      <c r="DA85" s="2">
        <v>0</v>
      </c>
      <c r="DB85" s="2">
        <v>0</v>
      </c>
      <c r="DC85" s="2">
        <v>0</v>
      </c>
      <c r="DD85" s="2">
        <v>0</v>
      </c>
      <c r="DE85" s="2">
        <v>0</v>
      </c>
      <c r="DF85" s="2">
        <v>1</v>
      </c>
      <c r="DG85" s="2">
        <v>0</v>
      </c>
      <c r="DH85" s="2">
        <v>0</v>
      </c>
      <c r="DI85" s="2">
        <v>0</v>
      </c>
      <c r="DJ85" s="2">
        <v>0</v>
      </c>
      <c r="DK85" s="2">
        <v>0</v>
      </c>
      <c r="DL85" s="2">
        <v>0</v>
      </c>
      <c r="DM85" s="2">
        <v>0</v>
      </c>
      <c r="DN85" s="2">
        <v>0</v>
      </c>
      <c r="DO85" s="2">
        <v>0</v>
      </c>
      <c r="DP85" s="2">
        <v>0</v>
      </c>
      <c r="DQ85" s="2">
        <v>0</v>
      </c>
      <c r="DR85" s="2">
        <v>0</v>
      </c>
      <c r="DS85" s="2">
        <v>0</v>
      </c>
      <c r="DT85" s="2">
        <v>0</v>
      </c>
      <c r="DU85" s="2">
        <v>0</v>
      </c>
      <c r="DV85" s="2">
        <v>0</v>
      </c>
      <c r="DW85" s="2">
        <v>0</v>
      </c>
      <c r="DX85" s="2">
        <v>2</v>
      </c>
      <c r="DY85" s="2">
        <v>1</v>
      </c>
      <c r="DZ85" s="2">
        <v>1</v>
      </c>
      <c r="EA85" s="2">
        <v>0</v>
      </c>
      <c r="EB85" s="2">
        <v>0</v>
      </c>
      <c r="EC85" s="2">
        <v>0</v>
      </c>
      <c r="ED85" s="2">
        <v>2</v>
      </c>
      <c r="EE85" s="2">
        <v>0</v>
      </c>
      <c r="EF85" s="2">
        <v>0</v>
      </c>
      <c r="EG85" s="2">
        <v>0</v>
      </c>
      <c r="EH85" s="2">
        <v>0</v>
      </c>
      <c r="EI85" s="2">
        <v>0</v>
      </c>
      <c r="EJ85" s="2">
        <v>0</v>
      </c>
      <c r="EK85" s="2">
        <v>0</v>
      </c>
      <c r="EL85" s="2">
        <v>0</v>
      </c>
      <c r="EM85" s="2">
        <v>0</v>
      </c>
      <c r="EN85" s="2">
        <v>0</v>
      </c>
      <c r="EO85" s="2">
        <v>0</v>
      </c>
      <c r="EP85" s="2">
        <v>0</v>
      </c>
      <c r="EQ85" s="2">
        <v>0</v>
      </c>
      <c r="ER85" s="2">
        <v>0</v>
      </c>
      <c r="ES85" s="2">
        <v>0</v>
      </c>
      <c r="ET85" s="2">
        <v>0</v>
      </c>
      <c r="EU85" s="2">
        <v>0</v>
      </c>
      <c r="EV85" s="2">
        <v>0</v>
      </c>
      <c r="EW85" s="2">
        <v>0</v>
      </c>
      <c r="EX85" s="2">
        <v>0</v>
      </c>
      <c r="EY85" s="2">
        <v>0</v>
      </c>
      <c r="EZ85" s="2">
        <v>0</v>
      </c>
      <c r="FA85" s="2">
        <v>0</v>
      </c>
      <c r="FB85" s="2">
        <v>0</v>
      </c>
      <c r="FC85" s="2">
        <v>0</v>
      </c>
      <c r="FD85" s="2">
        <v>0</v>
      </c>
      <c r="FE85" s="2">
        <v>0</v>
      </c>
      <c r="FF85" s="2">
        <v>0</v>
      </c>
      <c r="FG85" s="2">
        <v>0</v>
      </c>
      <c r="FH85" s="2">
        <v>0</v>
      </c>
      <c r="FI85" s="2">
        <v>0</v>
      </c>
      <c r="FJ85" s="2">
        <v>0</v>
      </c>
      <c r="FK85" s="2">
        <v>0</v>
      </c>
      <c r="FL85" s="2">
        <v>1</v>
      </c>
      <c r="FM85" s="2">
        <v>0</v>
      </c>
      <c r="FN85" s="2">
        <v>0</v>
      </c>
      <c r="FO85" s="2">
        <v>0</v>
      </c>
      <c r="FP85" s="2">
        <v>0</v>
      </c>
      <c r="FQ85" s="2">
        <v>0</v>
      </c>
      <c r="FR85" s="2">
        <v>1</v>
      </c>
      <c r="FS85" s="2">
        <v>0</v>
      </c>
      <c r="FT85" s="2">
        <v>0</v>
      </c>
      <c r="FU85" s="2">
        <v>0</v>
      </c>
      <c r="FV85" s="2">
        <v>0</v>
      </c>
      <c r="FW85" s="2">
        <v>0</v>
      </c>
      <c r="FX85" s="2">
        <v>0</v>
      </c>
      <c r="FY85" s="2">
        <v>0</v>
      </c>
      <c r="FZ85" s="2">
        <v>0</v>
      </c>
      <c r="GA85" s="2">
        <v>0</v>
      </c>
      <c r="GB85" s="2">
        <v>0</v>
      </c>
      <c r="GC85" s="2" t="s">
        <v>274</v>
      </c>
      <c r="GD85" s="2">
        <v>0</v>
      </c>
      <c r="GE85" s="2">
        <v>0</v>
      </c>
      <c r="GF85" s="2">
        <v>0</v>
      </c>
      <c r="GG85" s="2">
        <v>0</v>
      </c>
      <c r="GH85" s="2">
        <v>0</v>
      </c>
      <c r="GI85" s="2">
        <v>0</v>
      </c>
      <c r="GJ85" s="2">
        <v>0</v>
      </c>
      <c r="GK85" s="2">
        <v>0</v>
      </c>
      <c r="GL85" s="2">
        <v>0</v>
      </c>
      <c r="GM85" s="2">
        <v>0</v>
      </c>
      <c r="GN85" s="3">
        <v>1</v>
      </c>
      <c r="GO85" s="3">
        <v>0</v>
      </c>
      <c r="GP85" s="3">
        <v>0</v>
      </c>
      <c r="GQ85" s="3">
        <v>0</v>
      </c>
      <c r="GR85" s="3">
        <v>0</v>
      </c>
      <c r="GS85" s="3">
        <v>0</v>
      </c>
      <c r="GT85" s="3">
        <v>0</v>
      </c>
      <c r="GU85" s="3">
        <v>0</v>
      </c>
      <c r="GV85" s="3">
        <v>0</v>
      </c>
      <c r="GW85" s="3">
        <v>1</v>
      </c>
      <c r="GX85" s="3">
        <v>0</v>
      </c>
      <c r="GY85" s="3">
        <v>0</v>
      </c>
      <c r="GZ85" s="3">
        <v>0</v>
      </c>
      <c r="HA85" s="3">
        <v>0</v>
      </c>
      <c r="HB85" s="3">
        <v>0</v>
      </c>
      <c r="HC85" s="3">
        <v>0</v>
      </c>
      <c r="HD85" s="3">
        <v>0</v>
      </c>
      <c r="HE85" s="3">
        <v>0</v>
      </c>
      <c r="HF85" s="3">
        <v>0</v>
      </c>
      <c r="HG85" s="3">
        <v>0</v>
      </c>
      <c r="HH85" s="3">
        <v>0</v>
      </c>
      <c r="HI85" s="3">
        <v>0</v>
      </c>
      <c r="HJ85" s="3">
        <v>0</v>
      </c>
      <c r="HK85" s="3">
        <v>0</v>
      </c>
      <c r="HL85" s="3">
        <v>0</v>
      </c>
      <c r="HM85" s="3">
        <v>0</v>
      </c>
      <c r="HN85" s="3">
        <v>0</v>
      </c>
      <c r="HO85" s="3">
        <v>0</v>
      </c>
      <c r="HP85" s="3">
        <v>0</v>
      </c>
      <c r="HQ85" s="3">
        <v>0</v>
      </c>
      <c r="HR85" s="3">
        <v>0</v>
      </c>
      <c r="HS85" s="3">
        <v>0</v>
      </c>
      <c r="HT85" s="3">
        <v>0</v>
      </c>
      <c r="HU85" s="3">
        <v>0</v>
      </c>
      <c r="HV85" s="3">
        <v>1</v>
      </c>
      <c r="HW85" s="3">
        <v>0</v>
      </c>
      <c r="HX85" s="3">
        <v>0</v>
      </c>
      <c r="HY85" s="3">
        <v>0</v>
      </c>
      <c r="HZ85" s="3">
        <v>0</v>
      </c>
      <c r="IA85" s="3">
        <v>0</v>
      </c>
      <c r="IB85" s="3">
        <v>0</v>
      </c>
      <c r="IC85" s="3">
        <v>0</v>
      </c>
      <c r="ID85" s="3">
        <v>0</v>
      </c>
      <c r="IE85" s="3">
        <v>0</v>
      </c>
      <c r="IF85" s="3">
        <v>0</v>
      </c>
      <c r="IG85" s="3">
        <v>0</v>
      </c>
      <c r="IH85" s="3">
        <v>0</v>
      </c>
      <c r="II85" s="3">
        <v>0</v>
      </c>
      <c r="IJ85" s="3">
        <v>0</v>
      </c>
      <c r="IK85" s="3">
        <v>0</v>
      </c>
      <c r="IL85" s="3">
        <v>0</v>
      </c>
      <c r="IM85" s="3">
        <v>0</v>
      </c>
      <c r="IN85" s="3">
        <v>0</v>
      </c>
      <c r="IO85" s="3">
        <v>0</v>
      </c>
      <c r="IP85" s="3">
        <v>0</v>
      </c>
      <c r="IQ85" s="3">
        <v>0</v>
      </c>
      <c r="IR85" s="3" t="s">
        <v>721</v>
      </c>
      <c r="IS85" s="3">
        <v>1</v>
      </c>
      <c r="IT85" s="3">
        <v>1</v>
      </c>
      <c r="IU85" s="3">
        <v>0</v>
      </c>
      <c r="IV85" s="3">
        <v>0</v>
      </c>
      <c r="IW85" s="3">
        <v>0</v>
      </c>
      <c r="IX85" s="3">
        <v>0</v>
      </c>
      <c r="IY85" s="3">
        <v>0</v>
      </c>
      <c r="IZ85" s="2" t="s">
        <v>268</v>
      </c>
      <c r="JA85" s="2" t="s">
        <v>274</v>
      </c>
    </row>
    <row r="86" spans="1:261" ht="13.2" x14ac:dyDescent="0.25">
      <c r="A86" s="10" t="s">
        <v>274</v>
      </c>
      <c r="B86" s="2" t="s">
        <v>722</v>
      </c>
      <c r="C86" s="2" t="s">
        <v>276</v>
      </c>
      <c r="D86" s="2" t="s">
        <v>270</v>
      </c>
      <c r="E86" s="2">
        <v>18</v>
      </c>
      <c r="F86" s="11" t="s">
        <v>723</v>
      </c>
      <c r="G86" s="11" t="s">
        <v>724</v>
      </c>
      <c r="H86" s="2" t="s">
        <v>358</v>
      </c>
      <c r="I86" s="3">
        <v>4</v>
      </c>
      <c r="J86" s="3">
        <v>4</v>
      </c>
      <c r="K86" s="3">
        <v>4</v>
      </c>
      <c r="L86" s="3">
        <v>2</v>
      </c>
      <c r="M86" s="3">
        <v>4</v>
      </c>
      <c r="N86" s="3">
        <v>4</v>
      </c>
      <c r="O86" s="3">
        <v>4</v>
      </c>
      <c r="P86" s="3">
        <v>2</v>
      </c>
      <c r="Q86" s="3">
        <v>2</v>
      </c>
      <c r="R86" s="3">
        <v>4</v>
      </c>
      <c r="S86" s="3">
        <v>2</v>
      </c>
      <c r="T86" s="3">
        <v>3</v>
      </c>
      <c r="U86" s="3">
        <v>3</v>
      </c>
      <c r="V86" s="3">
        <v>0</v>
      </c>
      <c r="W86" s="3">
        <v>2</v>
      </c>
      <c r="X86" s="3">
        <v>3</v>
      </c>
      <c r="Y86" s="3">
        <v>4</v>
      </c>
      <c r="Z86" s="3">
        <v>4</v>
      </c>
      <c r="AA86" s="3">
        <v>4</v>
      </c>
      <c r="AB86" s="3">
        <v>4</v>
      </c>
      <c r="AC86" s="3">
        <v>4</v>
      </c>
      <c r="AD86" s="3">
        <v>4</v>
      </c>
      <c r="AE86" s="3">
        <v>3</v>
      </c>
      <c r="AF86" s="3">
        <v>0</v>
      </c>
      <c r="AG86" s="3">
        <v>0</v>
      </c>
      <c r="AH86" s="3">
        <v>0</v>
      </c>
      <c r="AI86" s="3">
        <v>4</v>
      </c>
      <c r="AJ86" s="3">
        <v>4</v>
      </c>
      <c r="AK86" s="3">
        <v>4</v>
      </c>
      <c r="AL86" s="3">
        <v>3</v>
      </c>
      <c r="AM86" s="3">
        <v>1</v>
      </c>
      <c r="AN86" s="3">
        <v>4</v>
      </c>
      <c r="AO86" s="3">
        <v>4</v>
      </c>
      <c r="AP86" s="3">
        <v>3</v>
      </c>
      <c r="AQ86" s="3">
        <v>3</v>
      </c>
      <c r="AR86" s="3">
        <v>4</v>
      </c>
      <c r="AS86" s="3">
        <v>3</v>
      </c>
      <c r="AT86" s="3">
        <v>3</v>
      </c>
      <c r="AU86" s="3">
        <v>4</v>
      </c>
      <c r="AV86" s="3">
        <v>4</v>
      </c>
      <c r="AW86" s="3">
        <v>0</v>
      </c>
      <c r="AX86" s="3">
        <v>0</v>
      </c>
      <c r="AY86" s="3">
        <v>0</v>
      </c>
      <c r="AZ86" s="3">
        <v>0</v>
      </c>
      <c r="BA86" s="3">
        <v>0</v>
      </c>
      <c r="BB86" s="3">
        <v>3</v>
      </c>
      <c r="BC86" s="3">
        <v>0</v>
      </c>
      <c r="BD86" s="3">
        <v>2</v>
      </c>
      <c r="BE86" s="3">
        <v>3</v>
      </c>
      <c r="BF86" s="3">
        <v>2</v>
      </c>
      <c r="BG86" s="3">
        <v>2</v>
      </c>
      <c r="BH86" s="3">
        <v>2</v>
      </c>
      <c r="BI86" s="3">
        <v>4</v>
      </c>
      <c r="BJ86" s="3">
        <v>2</v>
      </c>
      <c r="BK86" s="3">
        <v>1</v>
      </c>
      <c r="BL86" s="3">
        <v>0</v>
      </c>
      <c r="BM86" s="3" t="s">
        <v>725</v>
      </c>
      <c r="BN86" s="3">
        <v>4</v>
      </c>
      <c r="BO86" s="3">
        <v>3</v>
      </c>
      <c r="BP86" s="3">
        <v>3</v>
      </c>
      <c r="BQ86" s="3">
        <v>4</v>
      </c>
      <c r="BR86" s="3">
        <v>4</v>
      </c>
      <c r="BS86" s="3">
        <v>4</v>
      </c>
      <c r="BT86" s="3">
        <v>4</v>
      </c>
      <c r="BU86" s="2">
        <v>4</v>
      </c>
      <c r="BV86" s="2">
        <v>1</v>
      </c>
      <c r="BW86" s="2">
        <v>3</v>
      </c>
      <c r="BX86" s="2">
        <v>3</v>
      </c>
      <c r="BY86" s="2">
        <v>2</v>
      </c>
      <c r="BZ86" s="2">
        <v>3</v>
      </c>
      <c r="CA86" s="2">
        <v>0</v>
      </c>
      <c r="CB86" s="2">
        <v>4</v>
      </c>
      <c r="CC86" s="2">
        <v>3</v>
      </c>
      <c r="CD86" s="2">
        <v>4</v>
      </c>
      <c r="CE86" s="2">
        <v>3</v>
      </c>
      <c r="CF86" s="2">
        <v>4</v>
      </c>
      <c r="CG86" s="2">
        <v>2</v>
      </c>
      <c r="CH86" s="2">
        <v>3</v>
      </c>
      <c r="CI86" s="2">
        <v>4</v>
      </c>
      <c r="CJ86" s="2">
        <v>4</v>
      </c>
      <c r="CK86" s="2">
        <v>4</v>
      </c>
      <c r="CL86" s="2">
        <v>2</v>
      </c>
      <c r="CM86" s="2">
        <v>3</v>
      </c>
      <c r="CN86" s="2">
        <v>2</v>
      </c>
      <c r="CO86" s="2">
        <v>2</v>
      </c>
      <c r="CP86" s="2">
        <v>2</v>
      </c>
      <c r="CQ86" s="2">
        <v>2</v>
      </c>
      <c r="CR86" s="2">
        <v>2</v>
      </c>
      <c r="CS86" s="2">
        <v>1</v>
      </c>
      <c r="CT86" s="2">
        <v>3</v>
      </c>
      <c r="CU86" s="2">
        <v>2</v>
      </c>
      <c r="CV86" s="2">
        <v>3</v>
      </c>
      <c r="CW86" s="2">
        <v>3</v>
      </c>
      <c r="CX86" s="2">
        <v>2</v>
      </c>
      <c r="CY86" s="2">
        <v>2</v>
      </c>
      <c r="CZ86" s="2">
        <v>3</v>
      </c>
      <c r="DA86" s="2">
        <v>3</v>
      </c>
      <c r="DB86" s="2">
        <v>2</v>
      </c>
      <c r="DC86" s="2">
        <v>2</v>
      </c>
      <c r="DD86" s="2">
        <v>2</v>
      </c>
      <c r="DE86" s="2">
        <v>2</v>
      </c>
      <c r="DF86" s="2">
        <v>4</v>
      </c>
      <c r="DG86" s="2">
        <v>2</v>
      </c>
      <c r="DH86" s="2">
        <v>3</v>
      </c>
      <c r="DI86" s="2">
        <v>2</v>
      </c>
      <c r="DJ86" s="2">
        <v>2</v>
      </c>
      <c r="DK86" s="2">
        <v>2</v>
      </c>
      <c r="DL86" s="2">
        <v>4</v>
      </c>
      <c r="DM86" s="2">
        <v>2</v>
      </c>
      <c r="DN86" s="2">
        <v>3</v>
      </c>
      <c r="DO86" s="2">
        <v>3</v>
      </c>
      <c r="DP86" s="2">
        <v>4</v>
      </c>
      <c r="DQ86" s="2">
        <v>4</v>
      </c>
      <c r="DR86" s="2">
        <v>3</v>
      </c>
      <c r="DS86" s="2">
        <v>4</v>
      </c>
      <c r="DT86" s="2">
        <v>2</v>
      </c>
      <c r="DU86" s="2">
        <v>4</v>
      </c>
      <c r="DV86" s="2">
        <v>3</v>
      </c>
      <c r="DW86" s="2">
        <v>0</v>
      </c>
      <c r="DX86" s="2">
        <v>3</v>
      </c>
      <c r="DY86" s="2">
        <v>3</v>
      </c>
      <c r="DZ86" s="2">
        <v>1</v>
      </c>
      <c r="EA86" s="2">
        <v>0</v>
      </c>
      <c r="EB86" s="2">
        <v>0</v>
      </c>
      <c r="EC86" s="2">
        <v>0</v>
      </c>
      <c r="ED86" s="2">
        <v>0</v>
      </c>
      <c r="EE86" s="2">
        <v>0</v>
      </c>
      <c r="EF86" s="2">
        <v>0</v>
      </c>
      <c r="EG86" s="2">
        <v>0</v>
      </c>
      <c r="EH86" s="2">
        <v>0</v>
      </c>
      <c r="EI86" s="2">
        <v>4</v>
      </c>
      <c r="EJ86" s="2">
        <v>4</v>
      </c>
      <c r="EK86" s="2">
        <v>2</v>
      </c>
      <c r="EL86" s="2">
        <v>2</v>
      </c>
      <c r="EM86" s="2">
        <v>1</v>
      </c>
      <c r="EN86" s="2">
        <v>1</v>
      </c>
      <c r="EO86" s="2">
        <v>1</v>
      </c>
      <c r="EP86" s="2">
        <v>1</v>
      </c>
      <c r="EQ86" s="2">
        <v>4</v>
      </c>
      <c r="ER86" s="2">
        <v>2</v>
      </c>
      <c r="ES86" s="2">
        <v>2</v>
      </c>
      <c r="ET86" s="2">
        <v>2</v>
      </c>
      <c r="EU86" s="2">
        <v>4</v>
      </c>
      <c r="EV86" s="2">
        <v>3</v>
      </c>
      <c r="EW86" s="2">
        <v>2</v>
      </c>
      <c r="EX86" s="2">
        <v>3</v>
      </c>
      <c r="EY86" s="2">
        <v>2</v>
      </c>
      <c r="EZ86" s="2">
        <v>2</v>
      </c>
      <c r="FA86" s="2">
        <v>2</v>
      </c>
      <c r="FB86" s="2">
        <v>4</v>
      </c>
      <c r="FC86" s="2">
        <v>4</v>
      </c>
      <c r="FD86" s="2">
        <v>2</v>
      </c>
      <c r="FE86" s="2">
        <v>1</v>
      </c>
      <c r="FF86" s="2">
        <v>3</v>
      </c>
      <c r="FG86" s="2">
        <v>4</v>
      </c>
      <c r="FH86" s="2">
        <v>2</v>
      </c>
      <c r="FI86" s="2">
        <v>2</v>
      </c>
      <c r="FJ86" s="2">
        <v>2</v>
      </c>
      <c r="FK86" s="2">
        <v>0</v>
      </c>
      <c r="FL86" s="2">
        <v>0</v>
      </c>
      <c r="FM86" s="2">
        <v>0</v>
      </c>
      <c r="FN86" s="2">
        <v>0</v>
      </c>
      <c r="FO86" s="2">
        <v>0</v>
      </c>
      <c r="FP86" s="2">
        <v>0</v>
      </c>
      <c r="FQ86" s="2">
        <v>2</v>
      </c>
      <c r="FR86" s="2">
        <v>2</v>
      </c>
      <c r="FS86" s="2">
        <v>1</v>
      </c>
      <c r="FT86" s="2">
        <v>1</v>
      </c>
      <c r="FU86" s="2">
        <v>1</v>
      </c>
      <c r="FV86" s="2">
        <v>3</v>
      </c>
      <c r="FW86" s="2">
        <v>0</v>
      </c>
      <c r="FX86" s="2">
        <v>1</v>
      </c>
      <c r="FY86" s="2">
        <v>0</v>
      </c>
      <c r="FZ86" s="2">
        <v>1</v>
      </c>
      <c r="GA86" s="2">
        <v>1</v>
      </c>
      <c r="GB86" s="2">
        <v>0</v>
      </c>
      <c r="GC86" s="2" t="s">
        <v>274</v>
      </c>
      <c r="GD86" s="2">
        <v>1</v>
      </c>
      <c r="GE86" s="2">
        <v>4</v>
      </c>
      <c r="GF86" s="2">
        <v>4</v>
      </c>
      <c r="GG86" s="2">
        <v>1</v>
      </c>
      <c r="GH86" s="2">
        <v>2</v>
      </c>
      <c r="GI86" s="2">
        <v>1</v>
      </c>
      <c r="GJ86" s="2">
        <v>1</v>
      </c>
      <c r="GK86" s="2">
        <v>0</v>
      </c>
      <c r="GL86" s="2">
        <v>1</v>
      </c>
      <c r="GM86" s="2">
        <v>0</v>
      </c>
      <c r="GN86" s="3">
        <v>4</v>
      </c>
      <c r="GO86" s="3">
        <v>4</v>
      </c>
      <c r="GP86" s="3">
        <v>4</v>
      </c>
      <c r="GQ86" s="3">
        <v>3</v>
      </c>
      <c r="GR86" s="3">
        <v>2</v>
      </c>
      <c r="GS86" s="3">
        <v>2</v>
      </c>
      <c r="GT86" s="3">
        <v>3</v>
      </c>
      <c r="GU86" s="3">
        <v>0</v>
      </c>
      <c r="GV86" s="3">
        <v>1</v>
      </c>
      <c r="GW86" s="3">
        <v>1</v>
      </c>
      <c r="GX86" s="3">
        <v>4</v>
      </c>
      <c r="GY86" s="3">
        <v>0</v>
      </c>
      <c r="GZ86" s="3">
        <v>2</v>
      </c>
      <c r="HA86" s="3">
        <v>3</v>
      </c>
      <c r="HB86" s="3">
        <v>1</v>
      </c>
      <c r="HC86" s="3">
        <v>0</v>
      </c>
      <c r="HD86" s="3">
        <v>1</v>
      </c>
      <c r="HE86" s="3">
        <v>0</v>
      </c>
      <c r="HF86" s="3">
        <v>0</v>
      </c>
      <c r="HG86" s="3">
        <v>0</v>
      </c>
      <c r="HH86" s="3">
        <v>2</v>
      </c>
      <c r="HI86" s="3">
        <v>0</v>
      </c>
      <c r="HJ86" s="3">
        <v>4</v>
      </c>
      <c r="HK86" s="3">
        <v>4</v>
      </c>
      <c r="HL86" s="3">
        <v>0</v>
      </c>
      <c r="HM86" s="3">
        <v>4</v>
      </c>
      <c r="HN86" s="3">
        <v>0</v>
      </c>
      <c r="HO86" s="3">
        <v>4</v>
      </c>
      <c r="HP86" s="3">
        <v>0</v>
      </c>
      <c r="HQ86" s="3">
        <v>3</v>
      </c>
      <c r="HR86" s="3">
        <v>1</v>
      </c>
      <c r="HS86" s="3">
        <v>0</v>
      </c>
      <c r="HT86" s="3">
        <v>0</v>
      </c>
      <c r="HU86" s="3">
        <v>0</v>
      </c>
      <c r="HV86" s="3">
        <v>2</v>
      </c>
      <c r="HW86" s="3">
        <v>0</v>
      </c>
      <c r="HX86" s="3">
        <v>1</v>
      </c>
      <c r="HY86" s="3">
        <v>1</v>
      </c>
      <c r="HZ86" s="3">
        <v>1</v>
      </c>
      <c r="IA86" s="3">
        <v>3</v>
      </c>
      <c r="IB86" s="3">
        <v>0</v>
      </c>
      <c r="IC86" s="3">
        <v>0</v>
      </c>
      <c r="ID86" s="3">
        <v>3</v>
      </c>
      <c r="IE86" s="3">
        <v>0</v>
      </c>
      <c r="IF86" s="3">
        <v>2</v>
      </c>
      <c r="IG86" s="3">
        <v>3</v>
      </c>
      <c r="IH86" s="3">
        <v>1</v>
      </c>
      <c r="II86" s="3">
        <v>0</v>
      </c>
      <c r="IJ86" s="3">
        <v>2</v>
      </c>
      <c r="IK86" s="3">
        <v>3</v>
      </c>
      <c r="IL86" s="3">
        <v>4</v>
      </c>
      <c r="IM86" s="3">
        <v>0</v>
      </c>
      <c r="IN86" s="3">
        <v>0</v>
      </c>
      <c r="IO86" s="3">
        <v>1</v>
      </c>
      <c r="IP86" s="3">
        <v>2</v>
      </c>
      <c r="IQ86" s="3">
        <v>0</v>
      </c>
      <c r="IR86" s="3" t="s">
        <v>726</v>
      </c>
      <c r="IS86" s="3">
        <v>0</v>
      </c>
      <c r="IT86" s="3">
        <v>3</v>
      </c>
      <c r="IU86" s="3">
        <v>0</v>
      </c>
      <c r="IV86" s="3">
        <v>2</v>
      </c>
      <c r="IW86" s="3">
        <v>2</v>
      </c>
      <c r="IX86" s="3">
        <v>3</v>
      </c>
      <c r="IY86" s="3">
        <v>4</v>
      </c>
      <c r="IZ86" s="2" t="s">
        <v>268</v>
      </c>
      <c r="JA86" s="2" t="s">
        <v>274</v>
      </c>
    </row>
    <row r="87" spans="1:261" ht="13.2" x14ac:dyDescent="0.25">
      <c r="A87" s="10" t="s">
        <v>274</v>
      </c>
      <c r="B87" s="2" t="s">
        <v>727</v>
      </c>
      <c r="C87" s="2" t="s">
        <v>261</v>
      </c>
      <c r="D87" s="2" t="s">
        <v>270</v>
      </c>
      <c r="E87" s="2">
        <v>31</v>
      </c>
      <c r="F87" s="11" t="s">
        <v>728</v>
      </c>
      <c r="G87" s="11" t="s">
        <v>729</v>
      </c>
      <c r="H87" s="2" t="s">
        <v>730</v>
      </c>
      <c r="I87" s="3">
        <v>4</v>
      </c>
      <c r="J87" s="3">
        <v>0</v>
      </c>
      <c r="K87" s="3">
        <v>3</v>
      </c>
      <c r="L87" s="3">
        <v>0</v>
      </c>
      <c r="M87" s="3">
        <v>2</v>
      </c>
      <c r="N87" s="3">
        <v>1</v>
      </c>
      <c r="O87" s="3">
        <v>1</v>
      </c>
      <c r="P87" s="3">
        <v>2</v>
      </c>
      <c r="Q87" s="3">
        <v>2</v>
      </c>
      <c r="R87" s="3">
        <v>0</v>
      </c>
      <c r="S87" s="3">
        <v>0</v>
      </c>
      <c r="T87" s="3">
        <v>0</v>
      </c>
      <c r="U87" s="3">
        <v>0</v>
      </c>
      <c r="V87" s="3">
        <v>0</v>
      </c>
      <c r="W87" s="3">
        <v>0</v>
      </c>
      <c r="X87" s="3">
        <v>3</v>
      </c>
      <c r="Y87" s="3">
        <v>1</v>
      </c>
      <c r="Z87" s="3">
        <v>0</v>
      </c>
      <c r="AA87" s="3">
        <v>0</v>
      </c>
      <c r="AB87" s="3">
        <v>0</v>
      </c>
      <c r="AC87" s="3">
        <v>1</v>
      </c>
      <c r="AD87" s="3">
        <v>0</v>
      </c>
      <c r="AE87" s="3">
        <v>0</v>
      </c>
      <c r="AF87" s="3">
        <v>0</v>
      </c>
      <c r="AG87" s="3">
        <v>0</v>
      </c>
      <c r="AH87" s="3">
        <v>0</v>
      </c>
      <c r="AI87" s="3">
        <v>3</v>
      </c>
      <c r="AJ87" s="3">
        <v>3</v>
      </c>
      <c r="AK87" s="3">
        <v>3</v>
      </c>
      <c r="AL87" s="3">
        <v>2</v>
      </c>
      <c r="AM87" s="3">
        <v>2</v>
      </c>
      <c r="AN87" s="3">
        <v>0</v>
      </c>
      <c r="AO87" s="3">
        <v>3</v>
      </c>
      <c r="AP87" s="3">
        <v>0</v>
      </c>
      <c r="AQ87" s="3">
        <v>0</v>
      </c>
      <c r="AR87" s="3">
        <v>0</v>
      </c>
      <c r="AS87" s="3">
        <v>0</v>
      </c>
      <c r="AT87" s="3">
        <v>0</v>
      </c>
      <c r="AU87" s="3">
        <v>1</v>
      </c>
      <c r="AV87" s="3">
        <v>1</v>
      </c>
      <c r="AW87" s="3">
        <v>0</v>
      </c>
      <c r="AX87" s="3">
        <v>0</v>
      </c>
      <c r="AY87" s="3">
        <v>2</v>
      </c>
      <c r="AZ87" s="3">
        <v>2</v>
      </c>
      <c r="BA87" s="3">
        <v>0</v>
      </c>
      <c r="BB87" s="3">
        <v>0</v>
      </c>
      <c r="BC87" s="3">
        <v>0</v>
      </c>
      <c r="BD87" s="3">
        <v>0</v>
      </c>
      <c r="BE87" s="3">
        <v>0</v>
      </c>
      <c r="BF87" s="3">
        <v>2</v>
      </c>
      <c r="BG87" s="3">
        <v>3</v>
      </c>
      <c r="BH87" s="3">
        <v>2</v>
      </c>
      <c r="BI87" s="3">
        <v>3</v>
      </c>
      <c r="BJ87" s="3">
        <v>3</v>
      </c>
      <c r="BK87" s="3">
        <v>3</v>
      </c>
      <c r="BL87" s="3">
        <v>2</v>
      </c>
      <c r="BM87" s="3" t="s">
        <v>731</v>
      </c>
      <c r="BN87" s="3">
        <v>3</v>
      </c>
      <c r="BO87" s="3">
        <v>2</v>
      </c>
      <c r="BP87" s="3">
        <v>3</v>
      </c>
      <c r="BQ87" s="3">
        <v>0</v>
      </c>
      <c r="BR87" s="3">
        <v>4</v>
      </c>
      <c r="BS87" s="3">
        <v>2</v>
      </c>
      <c r="BT87" s="3">
        <v>0</v>
      </c>
      <c r="BU87" s="2">
        <v>0</v>
      </c>
      <c r="BV87" s="2">
        <v>0</v>
      </c>
      <c r="BW87" s="2">
        <v>2</v>
      </c>
      <c r="BX87" s="2">
        <v>0</v>
      </c>
      <c r="BY87" s="2">
        <v>0</v>
      </c>
      <c r="BZ87" s="2">
        <v>0</v>
      </c>
      <c r="CA87" s="2">
        <v>0</v>
      </c>
      <c r="CB87" s="2">
        <v>0</v>
      </c>
      <c r="CC87" s="2">
        <v>0</v>
      </c>
      <c r="CD87" s="2">
        <v>0</v>
      </c>
      <c r="CE87" s="2">
        <v>0</v>
      </c>
      <c r="CF87" s="2">
        <v>0</v>
      </c>
      <c r="CG87" s="2">
        <v>0</v>
      </c>
      <c r="CH87" s="2">
        <v>0</v>
      </c>
      <c r="CI87" s="2">
        <v>0</v>
      </c>
      <c r="CJ87" s="2">
        <v>0</v>
      </c>
      <c r="CK87" s="2">
        <v>0</v>
      </c>
      <c r="CL87" s="2">
        <v>2</v>
      </c>
      <c r="CM87" s="2">
        <v>0</v>
      </c>
      <c r="CN87" s="2">
        <v>0</v>
      </c>
      <c r="CO87" s="2">
        <v>0</v>
      </c>
      <c r="CP87" s="2">
        <v>0</v>
      </c>
      <c r="CQ87" s="2">
        <v>2</v>
      </c>
      <c r="CR87" s="2">
        <v>0</v>
      </c>
      <c r="CS87" s="2">
        <v>0</v>
      </c>
      <c r="CT87" s="2">
        <v>0</v>
      </c>
      <c r="CU87" s="2">
        <v>0</v>
      </c>
      <c r="CV87" s="2">
        <v>0</v>
      </c>
      <c r="CW87" s="2">
        <v>0</v>
      </c>
      <c r="CX87" s="2">
        <v>0</v>
      </c>
      <c r="CY87" s="2">
        <v>0</v>
      </c>
      <c r="CZ87" s="2">
        <v>0</v>
      </c>
      <c r="DA87" s="2">
        <v>0</v>
      </c>
      <c r="DB87" s="2">
        <v>0</v>
      </c>
      <c r="DC87" s="2">
        <v>0</v>
      </c>
      <c r="DD87" s="2">
        <v>0</v>
      </c>
      <c r="DE87" s="2">
        <v>1</v>
      </c>
      <c r="DF87" s="2">
        <v>2</v>
      </c>
      <c r="DG87" s="2">
        <v>3</v>
      </c>
      <c r="DH87" s="2">
        <v>2</v>
      </c>
      <c r="DI87" s="2">
        <v>0</v>
      </c>
      <c r="DJ87" s="2">
        <v>0</v>
      </c>
      <c r="DK87" s="2">
        <v>0</v>
      </c>
      <c r="DL87" s="2">
        <v>0</v>
      </c>
      <c r="DM87" s="2">
        <v>0</v>
      </c>
      <c r="DN87" s="2">
        <v>0</v>
      </c>
      <c r="DO87" s="2">
        <v>0</v>
      </c>
      <c r="DP87" s="2">
        <v>0</v>
      </c>
      <c r="DQ87" s="2">
        <v>0</v>
      </c>
      <c r="DR87" s="2">
        <v>0</v>
      </c>
      <c r="DS87" s="2">
        <v>1</v>
      </c>
      <c r="DT87" s="2">
        <v>0</v>
      </c>
      <c r="DU87" s="2">
        <v>0</v>
      </c>
      <c r="DV87" s="2">
        <v>0</v>
      </c>
      <c r="DW87" s="2">
        <v>0</v>
      </c>
      <c r="DX87" s="2">
        <v>0</v>
      </c>
      <c r="DY87" s="2">
        <v>0</v>
      </c>
      <c r="DZ87" s="2">
        <v>0</v>
      </c>
      <c r="EA87" s="2">
        <v>0</v>
      </c>
      <c r="EB87" s="2">
        <v>0</v>
      </c>
      <c r="EC87" s="2">
        <v>0</v>
      </c>
      <c r="ED87" s="2">
        <v>0</v>
      </c>
      <c r="EE87" s="2">
        <v>0</v>
      </c>
      <c r="EF87" s="2">
        <v>0</v>
      </c>
      <c r="EG87" s="2">
        <v>0</v>
      </c>
      <c r="EH87" s="2">
        <v>0</v>
      </c>
      <c r="EI87" s="2">
        <v>2</v>
      </c>
      <c r="EJ87" s="2">
        <v>2</v>
      </c>
      <c r="EK87" s="2">
        <v>3</v>
      </c>
      <c r="EL87" s="2">
        <v>0</v>
      </c>
      <c r="EM87" s="2">
        <v>0</v>
      </c>
      <c r="EN87" s="2">
        <v>0</v>
      </c>
      <c r="EO87" s="2">
        <v>0</v>
      </c>
      <c r="EP87" s="2">
        <v>0</v>
      </c>
      <c r="EQ87" s="2">
        <v>0</v>
      </c>
      <c r="ER87" s="2">
        <v>0</v>
      </c>
      <c r="ES87" s="2">
        <v>0</v>
      </c>
      <c r="ET87" s="2">
        <v>0</v>
      </c>
      <c r="EU87" s="2">
        <v>2</v>
      </c>
      <c r="EV87" s="2">
        <v>2</v>
      </c>
      <c r="EW87" s="2">
        <v>3</v>
      </c>
      <c r="EX87" s="2">
        <v>2</v>
      </c>
      <c r="EY87" s="2">
        <v>0</v>
      </c>
      <c r="EZ87" s="2">
        <v>0</v>
      </c>
      <c r="FA87" s="2">
        <v>0</v>
      </c>
      <c r="FB87" s="2">
        <v>0</v>
      </c>
      <c r="FC87" s="2">
        <v>0</v>
      </c>
      <c r="FD87" s="2">
        <v>0</v>
      </c>
      <c r="FE87" s="2">
        <v>0</v>
      </c>
      <c r="FF87" s="2">
        <v>0</v>
      </c>
      <c r="FG87" s="2">
        <v>0</v>
      </c>
      <c r="FH87" s="2">
        <v>0</v>
      </c>
      <c r="FI87" s="2">
        <v>0</v>
      </c>
      <c r="FJ87" s="2">
        <v>0</v>
      </c>
      <c r="FK87" s="2">
        <v>2</v>
      </c>
      <c r="FL87" s="2">
        <v>0</v>
      </c>
      <c r="FM87" s="2">
        <v>0</v>
      </c>
      <c r="FN87" s="2">
        <v>0</v>
      </c>
      <c r="FO87" s="2">
        <v>0</v>
      </c>
      <c r="FP87" s="2">
        <v>0</v>
      </c>
      <c r="FQ87" s="2">
        <v>0</v>
      </c>
      <c r="FR87" s="2">
        <v>1</v>
      </c>
      <c r="FS87" s="2">
        <v>0</v>
      </c>
      <c r="FT87" s="2">
        <v>0</v>
      </c>
      <c r="FU87" s="2">
        <v>0</v>
      </c>
      <c r="FV87" s="2">
        <v>1</v>
      </c>
      <c r="FW87" s="2">
        <v>4</v>
      </c>
      <c r="FX87" s="2">
        <v>1</v>
      </c>
      <c r="FY87" s="2">
        <v>1</v>
      </c>
      <c r="FZ87" s="2">
        <v>1</v>
      </c>
      <c r="GA87" s="2">
        <v>0</v>
      </c>
      <c r="GB87" s="2">
        <v>3</v>
      </c>
      <c r="GC87" s="2" t="s">
        <v>732</v>
      </c>
      <c r="GD87" s="2">
        <v>0</v>
      </c>
      <c r="GE87" s="2">
        <v>1</v>
      </c>
      <c r="GF87" s="2">
        <v>0</v>
      </c>
      <c r="GG87" s="2">
        <v>4</v>
      </c>
      <c r="GH87" s="2">
        <v>2</v>
      </c>
      <c r="GI87" s="2">
        <v>0</v>
      </c>
      <c r="GJ87" s="2">
        <v>0</v>
      </c>
      <c r="GK87" s="2">
        <v>2</v>
      </c>
      <c r="GL87" s="2">
        <v>0</v>
      </c>
      <c r="GM87" s="2">
        <v>0</v>
      </c>
      <c r="GN87" s="3">
        <v>2</v>
      </c>
      <c r="GO87" s="3">
        <v>2</v>
      </c>
      <c r="GP87" s="3">
        <v>0</v>
      </c>
      <c r="GQ87" s="3">
        <v>1</v>
      </c>
      <c r="GR87" s="3">
        <v>1</v>
      </c>
      <c r="GS87" s="3">
        <v>0</v>
      </c>
      <c r="GT87" s="3">
        <v>2</v>
      </c>
      <c r="GU87" s="3">
        <v>1</v>
      </c>
      <c r="GV87" s="3">
        <v>2</v>
      </c>
      <c r="GW87" s="3">
        <v>0</v>
      </c>
      <c r="GX87" s="3">
        <v>1</v>
      </c>
      <c r="GY87" s="3">
        <v>0</v>
      </c>
      <c r="GZ87" s="3">
        <v>1</v>
      </c>
      <c r="HA87" s="3">
        <v>1</v>
      </c>
      <c r="HB87" s="3">
        <v>0</v>
      </c>
      <c r="HC87" s="3">
        <v>0</v>
      </c>
      <c r="HD87" s="3">
        <v>0</v>
      </c>
      <c r="HE87" s="3">
        <v>0</v>
      </c>
      <c r="HF87" s="3">
        <v>0</v>
      </c>
      <c r="HG87" s="3">
        <v>0</v>
      </c>
      <c r="HH87" s="3">
        <v>0</v>
      </c>
      <c r="HI87" s="3">
        <v>0</v>
      </c>
      <c r="HJ87" s="3">
        <v>0</v>
      </c>
      <c r="HK87" s="3">
        <v>1</v>
      </c>
      <c r="HL87" s="3">
        <v>0</v>
      </c>
      <c r="HM87" s="3">
        <v>0</v>
      </c>
      <c r="HN87" s="3">
        <v>0</v>
      </c>
      <c r="HO87" s="3">
        <v>0</v>
      </c>
      <c r="HP87" s="3">
        <v>0</v>
      </c>
      <c r="HQ87" s="3">
        <v>0</v>
      </c>
      <c r="HR87" s="3">
        <v>0</v>
      </c>
      <c r="HS87" s="3">
        <v>0</v>
      </c>
      <c r="HT87" s="3">
        <v>0</v>
      </c>
      <c r="HU87" s="3">
        <v>0</v>
      </c>
      <c r="HV87" s="3">
        <v>3</v>
      </c>
      <c r="HW87" s="3">
        <v>0</v>
      </c>
      <c r="HX87" s="3">
        <v>0</v>
      </c>
      <c r="HY87" s="3">
        <v>0</v>
      </c>
      <c r="HZ87" s="3">
        <v>0</v>
      </c>
      <c r="IA87" s="3">
        <v>0</v>
      </c>
      <c r="IB87" s="3">
        <v>0</v>
      </c>
      <c r="IC87" s="3">
        <v>0</v>
      </c>
      <c r="ID87" s="3">
        <v>0</v>
      </c>
      <c r="IE87" s="3">
        <v>0</v>
      </c>
      <c r="IF87" s="3">
        <v>1</v>
      </c>
      <c r="IG87" s="3">
        <v>0</v>
      </c>
      <c r="IH87" s="3">
        <v>0</v>
      </c>
      <c r="II87" s="3">
        <v>1</v>
      </c>
      <c r="IJ87" s="3">
        <v>0</v>
      </c>
      <c r="IK87" s="3">
        <v>0</v>
      </c>
      <c r="IL87" s="3">
        <v>1</v>
      </c>
      <c r="IM87" s="3">
        <v>0</v>
      </c>
      <c r="IN87" s="3">
        <v>0</v>
      </c>
      <c r="IO87" s="3">
        <v>0</v>
      </c>
      <c r="IP87" s="3">
        <v>1</v>
      </c>
      <c r="IQ87" s="3">
        <v>1</v>
      </c>
      <c r="IR87" s="3" t="s">
        <v>274</v>
      </c>
      <c r="IS87" s="3">
        <v>3</v>
      </c>
      <c r="IT87" s="3">
        <v>2</v>
      </c>
      <c r="IU87" s="3">
        <v>1</v>
      </c>
      <c r="IV87" s="3">
        <v>1</v>
      </c>
      <c r="IW87" s="3">
        <v>2</v>
      </c>
      <c r="IX87" s="3">
        <v>2</v>
      </c>
      <c r="IY87" s="3">
        <v>1</v>
      </c>
      <c r="IZ87" s="2" t="s">
        <v>268</v>
      </c>
      <c r="JA87" s="2" t="s">
        <v>274</v>
      </c>
    </row>
    <row r="88" spans="1:261" ht="13.2" x14ac:dyDescent="0.25">
      <c r="A88" s="10" t="s">
        <v>274</v>
      </c>
      <c r="B88" s="2" t="s">
        <v>733</v>
      </c>
      <c r="C88" s="2" t="s">
        <v>276</v>
      </c>
      <c r="D88" s="2" t="s">
        <v>262</v>
      </c>
      <c r="E88" s="2">
        <v>29</v>
      </c>
      <c r="F88" s="11" t="s">
        <v>734</v>
      </c>
      <c r="G88" s="11" t="s">
        <v>735</v>
      </c>
      <c r="H88" s="2" t="s">
        <v>736</v>
      </c>
      <c r="I88" s="3">
        <v>4</v>
      </c>
      <c r="J88" s="3">
        <v>2</v>
      </c>
      <c r="K88" s="3">
        <v>2</v>
      </c>
      <c r="L88" s="3">
        <v>4</v>
      </c>
      <c r="M88" s="3">
        <v>3</v>
      </c>
      <c r="N88" s="3">
        <v>4</v>
      </c>
      <c r="O88" s="3">
        <v>3</v>
      </c>
      <c r="P88" s="3">
        <v>2</v>
      </c>
      <c r="Q88" s="3">
        <v>3</v>
      </c>
      <c r="R88" s="3">
        <v>4</v>
      </c>
      <c r="S88" s="3">
        <v>3</v>
      </c>
      <c r="T88" s="3">
        <v>4</v>
      </c>
      <c r="U88" s="3">
        <v>3</v>
      </c>
      <c r="V88" s="3">
        <v>3</v>
      </c>
      <c r="W88" s="3">
        <v>3</v>
      </c>
      <c r="X88" s="3">
        <v>3</v>
      </c>
      <c r="Y88" s="3">
        <v>2</v>
      </c>
      <c r="Z88" s="3">
        <v>2</v>
      </c>
      <c r="AA88" s="3">
        <v>4</v>
      </c>
      <c r="AB88" s="3">
        <v>3</v>
      </c>
      <c r="AC88" s="3">
        <v>3</v>
      </c>
      <c r="AD88" s="3">
        <v>3</v>
      </c>
      <c r="AE88" s="3">
        <v>3</v>
      </c>
      <c r="AF88" s="3">
        <v>4</v>
      </c>
      <c r="AG88" s="3">
        <v>4</v>
      </c>
      <c r="AH88" s="3">
        <v>3</v>
      </c>
      <c r="AI88" s="3">
        <v>3</v>
      </c>
      <c r="AJ88" s="3">
        <v>3</v>
      </c>
      <c r="AK88" s="3">
        <v>3</v>
      </c>
      <c r="AL88" s="3">
        <v>3</v>
      </c>
      <c r="AM88" s="3">
        <v>2</v>
      </c>
      <c r="AN88" s="3">
        <v>3</v>
      </c>
      <c r="AO88" s="3">
        <v>4</v>
      </c>
      <c r="AP88" s="3">
        <v>4</v>
      </c>
      <c r="AQ88" s="3">
        <v>3</v>
      </c>
      <c r="AR88" s="3">
        <v>3</v>
      </c>
      <c r="AS88" s="3">
        <v>3</v>
      </c>
      <c r="AT88" s="3">
        <v>3</v>
      </c>
      <c r="AU88" s="3">
        <v>3</v>
      </c>
      <c r="AV88" s="3">
        <v>3</v>
      </c>
      <c r="AW88" s="3">
        <v>4</v>
      </c>
      <c r="AX88" s="3">
        <v>3</v>
      </c>
      <c r="AY88" s="3">
        <v>3</v>
      </c>
      <c r="AZ88" s="3">
        <v>4</v>
      </c>
      <c r="BA88" s="3">
        <v>3</v>
      </c>
      <c r="BB88" s="3">
        <v>3</v>
      </c>
      <c r="BC88" s="3">
        <v>3</v>
      </c>
      <c r="BD88" s="3">
        <v>3</v>
      </c>
      <c r="BE88" s="3">
        <v>3</v>
      </c>
      <c r="BF88" s="3">
        <v>3</v>
      </c>
      <c r="BG88" s="3">
        <v>3</v>
      </c>
      <c r="BH88" s="3">
        <v>3</v>
      </c>
      <c r="BI88" s="3">
        <v>2</v>
      </c>
      <c r="BJ88" s="3">
        <v>3</v>
      </c>
      <c r="BK88" s="3">
        <v>2</v>
      </c>
      <c r="BL88" s="3">
        <v>2</v>
      </c>
      <c r="BM88" s="3" t="s">
        <v>737</v>
      </c>
      <c r="BN88" s="3">
        <v>3</v>
      </c>
      <c r="BO88" s="3">
        <v>3</v>
      </c>
      <c r="BP88" s="3">
        <v>3</v>
      </c>
      <c r="BQ88" s="3">
        <v>4</v>
      </c>
      <c r="BR88" s="3">
        <v>3</v>
      </c>
      <c r="BS88" s="3">
        <v>3</v>
      </c>
      <c r="BT88" s="3">
        <v>3</v>
      </c>
      <c r="BU88" s="2">
        <v>2</v>
      </c>
      <c r="BV88" s="2">
        <v>1</v>
      </c>
      <c r="BW88" s="2">
        <v>3</v>
      </c>
      <c r="BX88" s="2">
        <v>0</v>
      </c>
      <c r="BY88" s="2">
        <v>0</v>
      </c>
      <c r="BZ88" s="2">
        <v>1</v>
      </c>
      <c r="CA88" s="2">
        <v>1</v>
      </c>
      <c r="CB88" s="2">
        <v>3</v>
      </c>
      <c r="CC88" s="2">
        <v>4</v>
      </c>
      <c r="CD88" s="2">
        <v>2</v>
      </c>
      <c r="CE88" s="2">
        <v>1</v>
      </c>
      <c r="CF88" s="2">
        <v>2</v>
      </c>
      <c r="CG88" s="2">
        <v>0</v>
      </c>
      <c r="CH88" s="2">
        <v>0</v>
      </c>
      <c r="CI88" s="2">
        <v>3</v>
      </c>
      <c r="CJ88" s="2">
        <v>3</v>
      </c>
      <c r="CK88" s="2">
        <v>1</v>
      </c>
      <c r="CL88" s="2">
        <v>1</v>
      </c>
      <c r="CM88" s="2">
        <v>1</v>
      </c>
      <c r="CN88" s="2">
        <v>0</v>
      </c>
      <c r="CO88" s="2">
        <v>0</v>
      </c>
      <c r="CP88" s="2">
        <v>0</v>
      </c>
      <c r="CQ88" s="2">
        <v>0</v>
      </c>
      <c r="CR88" s="2">
        <v>1</v>
      </c>
      <c r="CS88" s="2">
        <v>0</v>
      </c>
      <c r="CT88" s="2">
        <v>0</v>
      </c>
      <c r="CU88" s="2">
        <v>0</v>
      </c>
      <c r="CV88" s="2">
        <v>3</v>
      </c>
      <c r="CW88" s="2">
        <v>4</v>
      </c>
      <c r="CX88" s="2">
        <v>1</v>
      </c>
      <c r="CY88" s="2">
        <v>0</v>
      </c>
      <c r="CZ88" s="2">
        <v>2</v>
      </c>
      <c r="DA88" s="2">
        <v>2</v>
      </c>
      <c r="DB88" s="2">
        <v>1</v>
      </c>
      <c r="DC88" s="2">
        <v>1</v>
      </c>
      <c r="DD88" s="2">
        <v>0</v>
      </c>
      <c r="DE88" s="2">
        <v>3</v>
      </c>
      <c r="DF88" s="2">
        <v>1</v>
      </c>
      <c r="DG88" s="2">
        <v>2</v>
      </c>
      <c r="DH88" s="2">
        <v>3</v>
      </c>
      <c r="DI88" s="2">
        <v>1</v>
      </c>
      <c r="DJ88" s="2">
        <v>1</v>
      </c>
      <c r="DK88" s="2">
        <v>0</v>
      </c>
      <c r="DL88" s="2">
        <v>3</v>
      </c>
      <c r="DM88" s="2">
        <v>1</v>
      </c>
      <c r="DN88" s="2">
        <v>1</v>
      </c>
      <c r="DO88" s="2">
        <v>0</v>
      </c>
      <c r="DP88" s="2">
        <v>3</v>
      </c>
      <c r="DQ88" s="2">
        <v>1</v>
      </c>
      <c r="DR88" s="2">
        <v>1</v>
      </c>
      <c r="DS88" s="2">
        <v>3</v>
      </c>
      <c r="DT88" s="2">
        <v>1</v>
      </c>
      <c r="DU88" s="2">
        <v>1</v>
      </c>
      <c r="DV88" s="2">
        <v>2</v>
      </c>
      <c r="DW88" s="2">
        <v>1</v>
      </c>
      <c r="DX88" s="2">
        <v>3</v>
      </c>
      <c r="DY88" s="2">
        <v>2</v>
      </c>
      <c r="DZ88" s="2">
        <v>1</v>
      </c>
      <c r="EA88" s="2">
        <v>1</v>
      </c>
      <c r="EB88" s="2">
        <v>3</v>
      </c>
      <c r="EC88" s="2">
        <v>1</v>
      </c>
      <c r="ED88" s="2">
        <v>1</v>
      </c>
      <c r="EE88" s="2">
        <v>2</v>
      </c>
      <c r="EF88" s="2">
        <v>2</v>
      </c>
      <c r="EG88" s="2">
        <v>2</v>
      </c>
      <c r="EH88" s="2">
        <v>1</v>
      </c>
      <c r="EI88" s="2">
        <v>3</v>
      </c>
      <c r="EJ88" s="2">
        <v>1</v>
      </c>
      <c r="EK88" s="2">
        <v>2</v>
      </c>
      <c r="EL88" s="2">
        <v>1</v>
      </c>
      <c r="EM88" s="2">
        <v>1</v>
      </c>
      <c r="EN88" s="2">
        <v>2</v>
      </c>
      <c r="EO88" s="2">
        <v>0</v>
      </c>
      <c r="EP88" s="2">
        <v>0</v>
      </c>
      <c r="EQ88" s="2">
        <v>2</v>
      </c>
      <c r="ER88" s="2">
        <v>1</v>
      </c>
      <c r="ES88" s="2">
        <v>0</v>
      </c>
      <c r="ET88" s="2">
        <v>1</v>
      </c>
      <c r="EU88" s="2">
        <v>4</v>
      </c>
      <c r="EV88" s="2">
        <v>2</v>
      </c>
      <c r="EW88" s="2">
        <v>2</v>
      </c>
      <c r="EX88" s="2">
        <v>3</v>
      </c>
      <c r="EY88" s="2">
        <v>1</v>
      </c>
      <c r="EZ88" s="2">
        <v>1</v>
      </c>
      <c r="FA88" s="2">
        <v>3</v>
      </c>
      <c r="FB88" s="2">
        <v>4</v>
      </c>
      <c r="FC88" s="2">
        <v>2</v>
      </c>
      <c r="FD88" s="2">
        <v>2</v>
      </c>
      <c r="FE88" s="2">
        <v>0</v>
      </c>
      <c r="FF88" s="2">
        <v>4</v>
      </c>
      <c r="FG88" s="2">
        <v>2</v>
      </c>
      <c r="FH88" s="2">
        <v>2</v>
      </c>
      <c r="FI88" s="2">
        <v>1</v>
      </c>
      <c r="FJ88" s="2">
        <v>2</v>
      </c>
      <c r="FK88" s="2">
        <v>3</v>
      </c>
      <c r="FL88" s="2">
        <v>3</v>
      </c>
      <c r="FM88" s="2">
        <v>3</v>
      </c>
      <c r="FN88" s="2">
        <v>3</v>
      </c>
      <c r="FO88" s="2">
        <v>2</v>
      </c>
      <c r="FP88" s="2">
        <v>3</v>
      </c>
      <c r="FQ88" s="2">
        <v>3</v>
      </c>
      <c r="FR88" s="2">
        <v>3</v>
      </c>
      <c r="FS88" s="2">
        <v>1</v>
      </c>
      <c r="FT88" s="2">
        <v>1</v>
      </c>
      <c r="FU88" s="2">
        <v>3</v>
      </c>
      <c r="FV88" s="2">
        <v>2</v>
      </c>
      <c r="FW88" s="2">
        <v>2</v>
      </c>
      <c r="FX88" s="2">
        <v>2</v>
      </c>
      <c r="FY88" s="2">
        <v>1</v>
      </c>
      <c r="FZ88" s="2">
        <v>1</v>
      </c>
      <c r="GA88" s="2">
        <v>1</v>
      </c>
      <c r="GB88" s="2">
        <v>2</v>
      </c>
      <c r="GC88" s="2" t="s">
        <v>738</v>
      </c>
      <c r="GD88" s="2">
        <v>4</v>
      </c>
      <c r="GE88" s="2">
        <v>4</v>
      </c>
      <c r="GF88" s="2">
        <v>3</v>
      </c>
      <c r="GG88" s="2">
        <v>2</v>
      </c>
      <c r="GH88" s="2">
        <v>4</v>
      </c>
      <c r="GI88" s="2">
        <v>3</v>
      </c>
      <c r="GJ88" s="2">
        <v>2</v>
      </c>
      <c r="GK88" s="2">
        <v>2</v>
      </c>
      <c r="GL88" s="2">
        <v>2</v>
      </c>
      <c r="GM88" s="2">
        <v>3</v>
      </c>
      <c r="GN88" s="3">
        <v>3</v>
      </c>
      <c r="GO88" s="3">
        <v>3</v>
      </c>
      <c r="GP88" s="3">
        <v>3</v>
      </c>
      <c r="GQ88" s="3">
        <v>3</v>
      </c>
      <c r="GR88" s="3">
        <v>3</v>
      </c>
      <c r="GS88" s="3">
        <v>1</v>
      </c>
      <c r="GT88" s="3">
        <v>3</v>
      </c>
      <c r="GU88" s="3">
        <v>0</v>
      </c>
      <c r="GV88" s="3">
        <v>2</v>
      </c>
      <c r="GW88" s="3">
        <v>1</v>
      </c>
      <c r="GX88" s="3">
        <v>2</v>
      </c>
      <c r="GY88" s="3">
        <v>0</v>
      </c>
      <c r="GZ88" s="3">
        <v>3</v>
      </c>
      <c r="HA88" s="3">
        <v>2</v>
      </c>
      <c r="HB88" s="3">
        <v>2</v>
      </c>
      <c r="HC88" s="3">
        <v>0</v>
      </c>
      <c r="HD88" s="3">
        <v>1</v>
      </c>
      <c r="HE88" s="3">
        <v>0</v>
      </c>
      <c r="HF88" s="3">
        <v>4</v>
      </c>
      <c r="HG88" s="3">
        <v>0</v>
      </c>
      <c r="HH88" s="3">
        <v>3</v>
      </c>
      <c r="HI88" s="3">
        <v>0</v>
      </c>
      <c r="HJ88" s="3">
        <v>2</v>
      </c>
      <c r="HK88" s="3">
        <v>2</v>
      </c>
      <c r="HL88" s="3">
        <v>0</v>
      </c>
      <c r="HM88" s="3">
        <v>2</v>
      </c>
      <c r="HN88" s="3">
        <v>0</v>
      </c>
      <c r="HO88" s="3">
        <v>2</v>
      </c>
      <c r="HP88" s="3">
        <v>0</v>
      </c>
      <c r="HQ88" s="3">
        <v>2</v>
      </c>
      <c r="HR88" s="3">
        <v>2</v>
      </c>
      <c r="HS88" s="3">
        <v>3</v>
      </c>
      <c r="HT88" s="3">
        <v>2</v>
      </c>
      <c r="HU88" s="3">
        <v>3</v>
      </c>
      <c r="HV88" s="3">
        <v>3</v>
      </c>
      <c r="HW88" s="3">
        <v>0</v>
      </c>
      <c r="HX88" s="3">
        <v>1</v>
      </c>
      <c r="HY88" s="3">
        <v>2</v>
      </c>
      <c r="HZ88" s="3">
        <v>3</v>
      </c>
      <c r="IA88" s="3">
        <v>3</v>
      </c>
      <c r="IB88" s="3">
        <v>0</v>
      </c>
      <c r="IC88" s="3">
        <v>1</v>
      </c>
      <c r="ID88" s="3">
        <v>2</v>
      </c>
      <c r="IE88" s="3">
        <v>0</v>
      </c>
      <c r="IF88" s="3">
        <v>3</v>
      </c>
      <c r="IG88" s="3">
        <v>2</v>
      </c>
      <c r="IH88" s="3">
        <v>1</v>
      </c>
      <c r="II88" s="3">
        <v>0</v>
      </c>
      <c r="IJ88" s="3">
        <v>4</v>
      </c>
      <c r="IK88" s="3">
        <v>3</v>
      </c>
      <c r="IL88" s="3">
        <v>4</v>
      </c>
      <c r="IM88" s="3">
        <v>3</v>
      </c>
      <c r="IN88" s="3">
        <v>0</v>
      </c>
      <c r="IO88" s="3">
        <v>2</v>
      </c>
      <c r="IP88" s="3">
        <v>2</v>
      </c>
      <c r="IQ88" s="3">
        <v>2</v>
      </c>
      <c r="IR88" s="3" t="s">
        <v>739</v>
      </c>
      <c r="IS88" s="3">
        <v>0</v>
      </c>
      <c r="IT88" s="3">
        <v>3</v>
      </c>
      <c r="IU88" s="3">
        <v>0</v>
      </c>
      <c r="IV88" s="3">
        <v>4</v>
      </c>
      <c r="IW88" s="3">
        <v>2</v>
      </c>
      <c r="IX88" s="3">
        <v>3</v>
      </c>
      <c r="IY88" s="3">
        <v>3</v>
      </c>
      <c r="IZ88" s="2" t="s">
        <v>268</v>
      </c>
      <c r="JA88" s="2" t="s">
        <v>274</v>
      </c>
    </row>
    <row r="89" spans="1:261" ht="13.2" x14ac:dyDescent="0.25">
      <c r="A89" s="10" t="s">
        <v>274</v>
      </c>
      <c r="B89" s="2" t="s">
        <v>740</v>
      </c>
      <c r="C89" s="2" t="s">
        <v>261</v>
      </c>
      <c r="D89" s="2" t="s">
        <v>270</v>
      </c>
      <c r="E89" s="2">
        <v>18</v>
      </c>
      <c r="F89" s="11" t="s">
        <v>741</v>
      </c>
      <c r="G89" s="11" t="s">
        <v>742</v>
      </c>
      <c r="H89" s="2" t="s">
        <v>743</v>
      </c>
      <c r="I89" s="3">
        <v>1</v>
      </c>
      <c r="J89" s="3">
        <v>3</v>
      </c>
      <c r="K89" s="3">
        <v>4</v>
      </c>
      <c r="L89" s="3">
        <v>3</v>
      </c>
      <c r="M89" s="3">
        <v>3</v>
      </c>
      <c r="N89" s="3">
        <v>3</v>
      </c>
      <c r="O89" s="3">
        <v>4</v>
      </c>
      <c r="P89" s="3">
        <v>0</v>
      </c>
      <c r="Q89" s="3">
        <v>0</v>
      </c>
      <c r="R89" s="3">
        <v>1</v>
      </c>
      <c r="S89" s="3">
        <v>1</v>
      </c>
      <c r="T89" s="3">
        <v>1</v>
      </c>
      <c r="U89" s="3">
        <v>2</v>
      </c>
      <c r="V89" s="3">
        <v>0</v>
      </c>
      <c r="W89" s="3">
        <v>0</v>
      </c>
      <c r="X89" s="3">
        <v>0</v>
      </c>
      <c r="Y89" s="3">
        <v>3</v>
      </c>
      <c r="Z89" s="3">
        <v>2</v>
      </c>
      <c r="AA89" s="3">
        <v>1</v>
      </c>
      <c r="AB89" s="3">
        <v>1</v>
      </c>
      <c r="AC89" s="3">
        <v>1</v>
      </c>
      <c r="AD89" s="3">
        <v>1</v>
      </c>
      <c r="AE89" s="3">
        <v>0</v>
      </c>
      <c r="AF89" s="3">
        <v>0</v>
      </c>
      <c r="AG89" s="3">
        <v>0</v>
      </c>
      <c r="AH89" s="3">
        <v>0</v>
      </c>
      <c r="AI89" s="3">
        <v>1</v>
      </c>
      <c r="AJ89" s="3">
        <v>1</v>
      </c>
      <c r="AK89" s="3">
        <v>1</v>
      </c>
      <c r="AL89" s="3">
        <v>1</v>
      </c>
      <c r="AM89" s="3">
        <v>3</v>
      </c>
      <c r="AN89" s="3">
        <v>0</v>
      </c>
      <c r="AO89" s="3">
        <v>3</v>
      </c>
      <c r="AP89" s="3">
        <v>0</v>
      </c>
      <c r="AQ89" s="3">
        <v>0</v>
      </c>
      <c r="AR89" s="3">
        <v>0</v>
      </c>
      <c r="AS89" s="3">
        <v>1</v>
      </c>
      <c r="AT89" s="3">
        <v>0</v>
      </c>
      <c r="AU89" s="3">
        <v>1</v>
      </c>
      <c r="AV89" s="3">
        <v>1</v>
      </c>
      <c r="AW89" s="3">
        <v>1</v>
      </c>
      <c r="AX89" s="3">
        <v>1</v>
      </c>
      <c r="AY89" s="3">
        <v>1</v>
      </c>
      <c r="AZ89" s="3">
        <v>1</v>
      </c>
      <c r="BA89" s="3">
        <v>1</v>
      </c>
      <c r="BB89" s="3">
        <v>0</v>
      </c>
      <c r="BC89" s="3">
        <v>0</v>
      </c>
      <c r="BD89" s="3">
        <v>0</v>
      </c>
      <c r="BE89" s="3">
        <v>1</v>
      </c>
      <c r="BF89" s="3">
        <v>1</v>
      </c>
      <c r="BG89" s="3">
        <v>1</v>
      </c>
      <c r="BH89" s="3">
        <v>1</v>
      </c>
      <c r="BI89" s="3">
        <v>1</v>
      </c>
      <c r="BJ89" s="3">
        <v>3</v>
      </c>
      <c r="BK89" s="3">
        <v>2</v>
      </c>
      <c r="BL89" s="3">
        <v>1</v>
      </c>
      <c r="BM89" s="3" t="s">
        <v>274</v>
      </c>
      <c r="BN89" s="3">
        <v>1</v>
      </c>
      <c r="BO89" s="3">
        <v>1</v>
      </c>
      <c r="BP89" s="3">
        <v>0</v>
      </c>
      <c r="BQ89" s="3">
        <v>0</v>
      </c>
      <c r="BR89" s="3">
        <v>0</v>
      </c>
      <c r="BS89" s="3">
        <v>3</v>
      </c>
      <c r="BT89" s="3">
        <v>1</v>
      </c>
      <c r="BU89" s="2">
        <v>1</v>
      </c>
      <c r="BV89" s="2">
        <v>0</v>
      </c>
      <c r="BW89" s="2">
        <v>1</v>
      </c>
      <c r="BX89" s="2">
        <v>0</v>
      </c>
      <c r="BY89" s="2">
        <v>0</v>
      </c>
      <c r="BZ89" s="2">
        <v>0</v>
      </c>
      <c r="CA89" s="2">
        <v>0</v>
      </c>
      <c r="CB89" s="2">
        <v>1</v>
      </c>
      <c r="CC89" s="2">
        <v>1</v>
      </c>
      <c r="CD89" s="2">
        <v>1</v>
      </c>
      <c r="CE89" s="2">
        <v>0</v>
      </c>
      <c r="CF89" s="2">
        <v>1</v>
      </c>
      <c r="CG89" s="2">
        <v>0</v>
      </c>
      <c r="CH89" s="2">
        <v>0</v>
      </c>
      <c r="CI89" s="2">
        <v>1</v>
      </c>
      <c r="CJ89" s="2">
        <v>1</v>
      </c>
      <c r="CK89" s="2">
        <v>1</v>
      </c>
      <c r="CL89" s="2">
        <v>1</v>
      </c>
      <c r="CM89" s="2">
        <v>1</v>
      </c>
      <c r="CN89" s="2">
        <v>0</v>
      </c>
      <c r="CO89" s="2">
        <v>0</v>
      </c>
      <c r="CP89" s="2">
        <v>0</v>
      </c>
      <c r="CQ89" s="2">
        <v>1</v>
      </c>
      <c r="CR89" s="2">
        <v>0</v>
      </c>
      <c r="CS89" s="2">
        <v>0</v>
      </c>
      <c r="CT89" s="2">
        <v>0</v>
      </c>
      <c r="CU89" s="2">
        <v>0</v>
      </c>
      <c r="CV89" s="2">
        <v>0</v>
      </c>
      <c r="CW89" s="2">
        <v>1</v>
      </c>
      <c r="CX89" s="2">
        <v>0</v>
      </c>
      <c r="CY89" s="2">
        <v>0</v>
      </c>
      <c r="CZ89" s="2">
        <v>0</v>
      </c>
      <c r="DA89" s="2">
        <v>0</v>
      </c>
      <c r="DB89" s="2">
        <v>0</v>
      </c>
      <c r="DC89" s="2">
        <v>0</v>
      </c>
      <c r="DD89" s="2">
        <v>0</v>
      </c>
      <c r="DE89" s="2">
        <v>0</v>
      </c>
      <c r="DF89" s="2">
        <v>0</v>
      </c>
      <c r="DG89" s="2">
        <v>0</v>
      </c>
      <c r="DH89" s="2">
        <v>0</v>
      </c>
      <c r="DI89" s="2">
        <v>0</v>
      </c>
      <c r="DJ89" s="2">
        <v>0</v>
      </c>
      <c r="DK89" s="2">
        <v>0</v>
      </c>
      <c r="DL89" s="2">
        <v>3</v>
      </c>
      <c r="DM89" s="2">
        <v>1</v>
      </c>
      <c r="DN89" s="2">
        <v>0</v>
      </c>
      <c r="DO89" s="2">
        <v>0</v>
      </c>
      <c r="DP89" s="2">
        <v>0</v>
      </c>
      <c r="DQ89" s="2">
        <v>1</v>
      </c>
      <c r="DR89" s="2">
        <v>0</v>
      </c>
      <c r="DS89" s="2">
        <v>1</v>
      </c>
      <c r="DT89" s="2">
        <v>0</v>
      </c>
      <c r="DU89" s="2">
        <v>0</v>
      </c>
      <c r="DV89" s="2">
        <v>0</v>
      </c>
      <c r="DW89" s="2">
        <v>0</v>
      </c>
      <c r="DX89" s="2">
        <v>1</v>
      </c>
      <c r="DY89" s="2">
        <v>0</v>
      </c>
      <c r="DZ89" s="2">
        <v>0</v>
      </c>
      <c r="EA89" s="2">
        <v>0</v>
      </c>
      <c r="EB89" s="2">
        <v>0</v>
      </c>
      <c r="EC89" s="2">
        <v>0</v>
      </c>
      <c r="ED89" s="2">
        <v>0</v>
      </c>
      <c r="EE89" s="2">
        <v>0</v>
      </c>
      <c r="EF89" s="2">
        <v>0</v>
      </c>
      <c r="EG89" s="2">
        <v>0</v>
      </c>
      <c r="EH89" s="2">
        <v>0</v>
      </c>
      <c r="EI89" s="2">
        <v>0</v>
      </c>
      <c r="EJ89" s="2">
        <v>1</v>
      </c>
      <c r="EK89" s="2">
        <v>0</v>
      </c>
      <c r="EL89" s="2">
        <v>0</v>
      </c>
      <c r="EM89" s="2">
        <v>0</v>
      </c>
      <c r="EN89" s="2">
        <v>1</v>
      </c>
      <c r="EO89" s="2">
        <v>0</v>
      </c>
      <c r="EP89" s="2">
        <v>0</v>
      </c>
      <c r="EQ89" s="2">
        <v>0</v>
      </c>
      <c r="ER89" s="2">
        <v>0</v>
      </c>
      <c r="ES89" s="2">
        <v>0</v>
      </c>
      <c r="ET89" s="2">
        <v>0</v>
      </c>
      <c r="EU89" s="2">
        <v>3</v>
      </c>
      <c r="EV89" s="2">
        <v>1</v>
      </c>
      <c r="EW89" s="2">
        <v>1</v>
      </c>
      <c r="EX89" s="2">
        <v>1</v>
      </c>
      <c r="EY89" s="2">
        <v>0</v>
      </c>
      <c r="EZ89" s="2">
        <v>0</v>
      </c>
      <c r="FA89" s="2">
        <v>0</v>
      </c>
      <c r="FB89" s="2">
        <v>0</v>
      </c>
      <c r="FC89" s="2">
        <v>0</v>
      </c>
      <c r="FD89" s="2">
        <v>0</v>
      </c>
      <c r="FE89" s="2">
        <v>0</v>
      </c>
      <c r="FF89" s="2">
        <v>0</v>
      </c>
      <c r="FG89" s="2">
        <v>0</v>
      </c>
      <c r="FH89" s="2">
        <v>0</v>
      </c>
      <c r="FI89" s="2">
        <v>0</v>
      </c>
      <c r="FJ89" s="2">
        <v>0</v>
      </c>
      <c r="FK89" s="2">
        <v>0</v>
      </c>
      <c r="FL89" s="2">
        <v>1</v>
      </c>
      <c r="FM89" s="2">
        <v>0</v>
      </c>
      <c r="FN89" s="2">
        <v>0</v>
      </c>
      <c r="FO89" s="2">
        <v>0</v>
      </c>
      <c r="FP89" s="2">
        <v>0</v>
      </c>
      <c r="FQ89" s="2">
        <v>0</v>
      </c>
      <c r="FR89" s="2">
        <v>1</v>
      </c>
      <c r="FS89" s="2">
        <v>0</v>
      </c>
      <c r="FT89" s="2">
        <v>0</v>
      </c>
      <c r="FU89" s="2">
        <v>1</v>
      </c>
      <c r="FV89" s="2">
        <v>1</v>
      </c>
      <c r="FW89" s="2">
        <v>0</v>
      </c>
      <c r="FX89" s="2">
        <v>1</v>
      </c>
      <c r="FY89" s="2">
        <v>0</v>
      </c>
      <c r="FZ89" s="2">
        <v>0</v>
      </c>
      <c r="GA89" s="2">
        <v>0</v>
      </c>
      <c r="GB89" s="2">
        <v>0</v>
      </c>
      <c r="GC89" s="2" t="s">
        <v>274</v>
      </c>
      <c r="GD89" s="2">
        <v>0</v>
      </c>
      <c r="GE89" s="2">
        <v>1</v>
      </c>
      <c r="GF89" s="2">
        <v>0</v>
      </c>
      <c r="GG89" s="2">
        <v>0</v>
      </c>
      <c r="GH89" s="2">
        <v>1</v>
      </c>
      <c r="GI89" s="2">
        <v>0</v>
      </c>
      <c r="GJ89" s="2">
        <v>0</v>
      </c>
      <c r="GK89" s="2">
        <v>0</v>
      </c>
      <c r="GL89" s="2">
        <v>0</v>
      </c>
      <c r="GM89" s="2">
        <v>0</v>
      </c>
      <c r="GN89" s="3">
        <v>3</v>
      </c>
      <c r="GO89" s="3">
        <v>3</v>
      </c>
      <c r="GP89" s="3">
        <v>1</v>
      </c>
      <c r="GQ89" s="3">
        <v>3</v>
      </c>
      <c r="GR89" s="3">
        <v>1</v>
      </c>
      <c r="GS89" s="3">
        <v>0</v>
      </c>
      <c r="GT89" s="3">
        <v>3</v>
      </c>
      <c r="GU89" s="3">
        <v>2</v>
      </c>
      <c r="GV89" s="3">
        <v>3</v>
      </c>
      <c r="GW89" s="3">
        <v>1</v>
      </c>
      <c r="GX89" s="3">
        <v>4</v>
      </c>
      <c r="GY89" s="3">
        <v>4</v>
      </c>
      <c r="GZ89" s="3">
        <v>3</v>
      </c>
      <c r="HA89" s="3">
        <v>2</v>
      </c>
      <c r="HB89" s="3">
        <v>0</v>
      </c>
      <c r="HC89" s="3">
        <v>4</v>
      </c>
      <c r="HD89" s="3">
        <v>0</v>
      </c>
      <c r="HE89" s="3">
        <v>3</v>
      </c>
      <c r="HF89" s="3">
        <v>1</v>
      </c>
      <c r="HG89" s="3">
        <v>1</v>
      </c>
      <c r="HH89" s="3">
        <v>3</v>
      </c>
      <c r="HI89" s="3">
        <v>3</v>
      </c>
      <c r="HJ89" s="3">
        <v>0</v>
      </c>
      <c r="HK89" s="3">
        <v>3</v>
      </c>
      <c r="HL89" s="3">
        <v>3</v>
      </c>
      <c r="HM89" s="3">
        <v>1</v>
      </c>
      <c r="HN89" s="3">
        <v>1</v>
      </c>
      <c r="HO89" s="3">
        <v>1</v>
      </c>
      <c r="HP89" s="3">
        <v>1</v>
      </c>
      <c r="HQ89" s="3">
        <v>1</v>
      </c>
      <c r="HR89" s="3">
        <v>0</v>
      </c>
      <c r="HS89" s="3">
        <v>0</v>
      </c>
      <c r="HT89" s="3">
        <v>1</v>
      </c>
      <c r="HU89" s="3">
        <v>1</v>
      </c>
      <c r="HV89" s="3">
        <v>2</v>
      </c>
      <c r="HW89" s="3">
        <v>1</v>
      </c>
      <c r="HX89" s="3">
        <v>1</v>
      </c>
      <c r="HY89" s="3">
        <v>0</v>
      </c>
      <c r="HZ89" s="3">
        <v>0</v>
      </c>
      <c r="IA89" s="3">
        <v>3</v>
      </c>
      <c r="IB89" s="3">
        <v>3</v>
      </c>
      <c r="IC89" s="3">
        <v>0</v>
      </c>
      <c r="ID89" s="3">
        <v>1</v>
      </c>
      <c r="IE89" s="3">
        <v>3</v>
      </c>
      <c r="IF89" s="3">
        <v>0</v>
      </c>
      <c r="IG89" s="3">
        <v>0</v>
      </c>
      <c r="IH89" s="3">
        <v>0</v>
      </c>
      <c r="II89" s="3">
        <v>2</v>
      </c>
      <c r="IJ89" s="3">
        <v>0</v>
      </c>
      <c r="IK89" s="3">
        <v>0</v>
      </c>
      <c r="IL89" s="3">
        <v>1</v>
      </c>
      <c r="IM89" s="3">
        <v>1</v>
      </c>
      <c r="IN89" s="3">
        <v>3</v>
      </c>
      <c r="IO89" s="3">
        <v>3</v>
      </c>
      <c r="IP89" s="3">
        <v>1</v>
      </c>
      <c r="IQ89" s="3">
        <v>1</v>
      </c>
      <c r="IR89" s="3" t="s">
        <v>744</v>
      </c>
      <c r="IS89" s="3">
        <v>1</v>
      </c>
      <c r="IT89" s="3">
        <v>1</v>
      </c>
      <c r="IU89" s="3">
        <v>4</v>
      </c>
      <c r="IV89" s="3">
        <v>1</v>
      </c>
      <c r="IW89" s="3">
        <v>1</v>
      </c>
      <c r="IX89" s="3">
        <v>0</v>
      </c>
      <c r="IY89" s="3">
        <v>1</v>
      </c>
      <c r="IZ89" s="2" t="s">
        <v>268</v>
      </c>
      <c r="JA89" s="2" t="s">
        <v>274</v>
      </c>
    </row>
    <row r="90" spans="1:261" ht="13.2" x14ac:dyDescent="0.25">
      <c r="A90" s="10" t="s">
        <v>274</v>
      </c>
      <c r="B90" s="2" t="s">
        <v>745</v>
      </c>
      <c r="C90" s="2" t="s">
        <v>276</v>
      </c>
      <c r="D90" s="2" t="s">
        <v>373</v>
      </c>
      <c r="E90" s="2">
        <v>44</v>
      </c>
      <c r="F90" s="11" t="s">
        <v>746</v>
      </c>
      <c r="G90" s="11" t="s">
        <v>747</v>
      </c>
      <c r="H90" s="2" t="s">
        <v>748</v>
      </c>
      <c r="I90" s="3">
        <v>4</v>
      </c>
      <c r="J90" s="3">
        <v>4</v>
      </c>
      <c r="K90" s="3">
        <v>4</v>
      </c>
      <c r="L90" s="3">
        <v>4</v>
      </c>
      <c r="M90" s="3">
        <v>3</v>
      </c>
      <c r="N90" s="3">
        <v>4</v>
      </c>
      <c r="O90" s="3">
        <v>3</v>
      </c>
      <c r="P90" s="3">
        <v>3</v>
      </c>
      <c r="Q90" s="3">
        <v>3</v>
      </c>
      <c r="R90" s="3">
        <v>2</v>
      </c>
      <c r="S90" s="3">
        <v>1</v>
      </c>
      <c r="T90" s="3">
        <v>1</v>
      </c>
      <c r="U90" s="3">
        <v>0</v>
      </c>
      <c r="V90" s="3">
        <v>1</v>
      </c>
      <c r="W90" s="3">
        <v>2</v>
      </c>
      <c r="X90" s="3">
        <v>2</v>
      </c>
      <c r="Y90" s="3">
        <v>2</v>
      </c>
      <c r="Z90" s="3">
        <v>1</v>
      </c>
      <c r="AA90" s="3">
        <v>2</v>
      </c>
      <c r="AB90" s="3">
        <v>2</v>
      </c>
      <c r="AC90" s="3">
        <v>2</v>
      </c>
      <c r="AD90" s="3">
        <v>1</v>
      </c>
      <c r="AE90" s="3">
        <v>2</v>
      </c>
      <c r="AF90" s="3">
        <v>0</v>
      </c>
      <c r="AG90" s="3">
        <v>0</v>
      </c>
      <c r="AH90" s="3">
        <v>0</v>
      </c>
      <c r="AI90" s="3">
        <v>1</v>
      </c>
      <c r="AJ90" s="3">
        <v>3</v>
      </c>
      <c r="AK90" s="3">
        <v>2</v>
      </c>
      <c r="AL90" s="3">
        <v>2</v>
      </c>
      <c r="AM90" s="3">
        <v>1</v>
      </c>
      <c r="AN90" s="3">
        <v>0</v>
      </c>
      <c r="AO90" s="3">
        <v>4</v>
      </c>
      <c r="AP90" s="3">
        <v>0</v>
      </c>
      <c r="AQ90" s="3">
        <v>1</v>
      </c>
      <c r="AR90" s="3">
        <v>0</v>
      </c>
      <c r="AS90" s="3">
        <v>0</v>
      </c>
      <c r="AT90" s="3">
        <v>1</v>
      </c>
      <c r="AU90" s="3">
        <v>1</v>
      </c>
      <c r="AV90" s="3">
        <v>0</v>
      </c>
      <c r="AW90" s="3">
        <v>1</v>
      </c>
      <c r="AX90" s="3">
        <v>0</v>
      </c>
      <c r="AY90" s="3">
        <v>0</v>
      </c>
      <c r="AZ90" s="3">
        <v>0</v>
      </c>
      <c r="BA90" s="3">
        <v>0</v>
      </c>
      <c r="BB90" s="3">
        <v>2</v>
      </c>
      <c r="BC90" s="3">
        <v>1</v>
      </c>
      <c r="BD90" s="3">
        <v>2</v>
      </c>
      <c r="BE90" s="3">
        <v>2</v>
      </c>
      <c r="BF90" s="3">
        <v>1</v>
      </c>
      <c r="BG90" s="3">
        <v>0</v>
      </c>
      <c r="BH90" s="3">
        <v>1</v>
      </c>
      <c r="BI90" s="3">
        <v>1</v>
      </c>
      <c r="BJ90" s="3">
        <v>4</v>
      </c>
      <c r="BK90" s="3">
        <v>1</v>
      </c>
      <c r="BL90" s="3">
        <v>0</v>
      </c>
      <c r="BM90" s="3" t="s">
        <v>274</v>
      </c>
      <c r="BN90" s="3">
        <v>4</v>
      </c>
      <c r="BO90" s="3">
        <v>1</v>
      </c>
      <c r="BP90" s="3">
        <v>1</v>
      </c>
      <c r="BQ90" s="3">
        <v>3</v>
      </c>
      <c r="BR90" s="3">
        <v>1</v>
      </c>
      <c r="BS90" s="3">
        <v>3</v>
      </c>
      <c r="BT90" s="3">
        <v>1</v>
      </c>
      <c r="BU90" s="2">
        <v>4</v>
      </c>
      <c r="BV90" s="2">
        <v>1</v>
      </c>
      <c r="BW90" s="2">
        <v>4</v>
      </c>
      <c r="BX90" s="2">
        <v>1</v>
      </c>
      <c r="BY90" s="2">
        <v>0</v>
      </c>
      <c r="BZ90" s="2">
        <v>1</v>
      </c>
      <c r="CA90" s="2">
        <v>0</v>
      </c>
      <c r="CB90" s="2">
        <v>1</v>
      </c>
      <c r="CC90" s="2">
        <v>0</v>
      </c>
      <c r="CD90" s="2">
        <v>1</v>
      </c>
      <c r="CE90" s="2">
        <v>0</v>
      </c>
      <c r="CF90" s="2">
        <v>3</v>
      </c>
      <c r="CG90" s="2">
        <v>2</v>
      </c>
      <c r="CH90" s="2">
        <v>2</v>
      </c>
      <c r="CI90" s="2">
        <v>4</v>
      </c>
      <c r="CJ90" s="2">
        <v>1</v>
      </c>
      <c r="CK90" s="2">
        <v>1</v>
      </c>
      <c r="CL90" s="2">
        <v>1</v>
      </c>
      <c r="CM90" s="2">
        <v>2</v>
      </c>
      <c r="CN90" s="2">
        <v>1</v>
      </c>
      <c r="CO90" s="2">
        <v>0</v>
      </c>
      <c r="CP90" s="2">
        <v>1</v>
      </c>
      <c r="CQ90" s="2">
        <v>0</v>
      </c>
      <c r="CR90" s="2">
        <v>3</v>
      </c>
      <c r="CS90" s="2">
        <v>1</v>
      </c>
      <c r="CT90" s="2">
        <v>0</v>
      </c>
      <c r="CU90" s="2">
        <v>0</v>
      </c>
      <c r="CV90" s="2">
        <v>0</v>
      </c>
      <c r="CW90" s="2">
        <v>1</v>
      </c>
      <c r="CX90" s="2">
        <v>0</v>
      </c>
      <c r="CY90" s="2">
        <v>0</v>
      </c>
      <c r="CZ90" s="2">
        <v>2</v>
      </c>
      <c r="DA90" s="2">
        <v>1</v>
      </c>
      <c r="DB90" s="2">
        <v>1</v>
      </c>
      <c r="DC90" s="2">
        <v>0</v>
      </c>
      <c r="DD90" s="2">
        <v>0</v>
      </c>
      <c r="DE90" s="2">
        <v>4</v>
      </c>
      <c r="DF90" s="2">
        <v>1</v>
      </c>
      <c r="DG90" s="2">
        <v>1</v>
      </c>
      <c r="DH90" s="2">
        <v>4</v>
      </c>
      <c r="DI90" s="2">
        <v>4</v>
      </c>
      <c r="DJ90" s="2">
        <v>0</v>
      </c>
      <c r="DK90" s="2">
        <v>0</v>
      </c>
      <c r="DL90" s="2">
        <v>3</v>
      </c>
      <c r="DM90" s="2">
        <v>3</v>
      </c>
      <c r="DN90" s="2">
        <v>3</v>
      </c>
      <c r="DO90" s="2">
        <v>3</v>
      </c>
      <c r="DP90" s="2">
        <v>2</v>
      </c>
      <c r="DQ90" s="2">
        <v>2</v>
      </c>
      <c r="DR90" s="2">
        <v>0</v>
      </c>
      <c r="DS90" s="2">
        <v>2</v>
      </c>
      <c r="DT90" s="2">
        <v>1</v>
      </c>
      <c r="DU90" s="2">
        <v>0</v>
      </c>
      <c r="DV90" s="2">
        <v>0</v>
      </c>
      <c r="DW90" s="2">
        <v>0</v>
      </c>
      <c r="DX90" s="2">
        <v>4</v>
      </c>
      <c r="DY90" s="2">
        <v>1</v>
      </c>
      <c r="DZ90" s="2">
        <v>1</v>
      </c>
      <c r="EA90" s="2">
        <v>0</v>
      </c>
      <c r="EB90" s="2">
        <v>0</v>
      </c>
      <c r="EC90" s="2">
        <v>0</v>
      </c>
      <c r="ED90" s="2">
        <v>0</v>
      </c>
      <c r="EE90" s="2">
        <v>0</v>
      </c>
      <c r="EF90" s="2">
        <v>0</v>
      </c>
      <c r="EG90" s="2">
        <v>0</v>
      </c>
      <c r="EH90" s="2">
        <v>0</v>
      </c>
      <c r="EI90" s="2">
        <v>1</v>
      </c>
      <c r="EJ90" s="2">
        <v>1</v>
      </c>
      <c r="EK90" s="2">
        <v>1</v>
      </c>
      <c r="EL90" s="2">
        <v>2</v>
      </c>
      <c r="EM90" s="2">
        <v>1</v>
      </c>
      <c r="EN90" s="2">
        <v>1</v>
      </c>
      <c r="EO90" s="2">
        <v>0</v>
      </c>
      <c r="EP90" s="2">
        <v>1</v>
      </c>
      <c r="EQ90" s="2">
        <v>0</v>
      </c>
      <c r="ER90" s="2">
        <v>0</v>
      </c>
      <c r="ES90" s="2">
        <v>0</v>
      </c>
      <c r="ET90" s="2">
        <v>0</v>
      </c>
      <c r="EU90" s="2">
        <v>1</v>
      </c>
      <c r="EV90" s="2">
        <v>1</v>
      </c>
      <c r="EW90" s="2">
        <v>1</v>
      </c>
      <c r="EX90" s="2">
        <v>4</v>
      </c>
      <c r="EY90" s="2">
        <v>1</v>
      </c>
      <c r="EZ90" s="2">
        <v>1</v>
      </c>
      <c r="FA90" s="2">
        <v>1</v>
      </c>
      <c r="FB90" s="2">
        <v>0</v>
      </c>
      <c r="FC90" s="2">
        <v>1</v>
      </c>
      <c r="FD90" s="2">
        <v>0</v>
      </c>
      <c r="FE90" s="2">
        <v>0</v>
      </c>
      <c r="FF90" s="2">
        <v>1</v>
      </c>
      <c r="FG90" s="2">
        <v>0</v>
      </c>
      <c r="FH90" s="2">
        <v>0</v>
      </c>
      <c r="FI90" s="2">
        <v>0</v>
      </c>
      <c r="FJ90" s="2">
        <v>0</v>
      </c>
      <c r="FK90" s="2">
        <v>0</v>
      </c>
      <c r="FL90" s="2">
        <v>0</v>
      </c>
      <c r="FM90" s="2">
        <v>0</v>
      </c>
      <c r="FN90" s="2">
        <v>0</v>
      </c>
      <c r="FO90" s="2">
        <v>0</v>
      </c>
      <c r="FP90" s="2">
        <v>0</v>
      </c>
      <c r="FQ90" s="2">
        <v>1</v>
      </c>
      <c r="FR90" s="2">
        <v>1</v>
      </c>
      <c r="FS90" s="2">
        <v>1</v>
      </c>
      <c r="FT90" s="2">
        <v>0</v>
      </c>
      <c r="FU90" s="2">
        <v>1</v>
      </c>
      <c r="FV90" s="2">
        <v>1</v>
      </c>
      <c r="FW90" s="2">
        <v>0</v>
      </c>
      <c r="FX90" s="2">
        <v>0</v>
      </c>
      <c r="FY90" s="2">
        <v>1</v>
      </c>
      <c r="FZ90" s="2">
        <v>0</v>
      </c>
      <c r="GA90" s="2">
        <v>0</v>
      </c>
      <c r="GB90" s="2">
        <v>1</v>
      </c>
      <c r="GC90" s="2" t="s">
        <v>274</v>
      </c>
      <c r="GD90" s="2">
        <v>1</v>
      </c>
      <c r="GE90" s="2">
        <v>0</v>
      </c>
      <c r="GF90" s="2">
        <v>0</v>
      </c>
      <c r="GG90" s="2">
        <v>0</v>
      </c>
      <c r="GH90" s="2">
        <v>4</v>
      </c>
      <c r="GI90" s="2">
        <v>1</v>
      </c>
      <c r="GJ90" s="2">
        <v>1</v>
      </c>
      <c r="GK90" s="2">
        <v>1</v>
      </c>
      <c r="GL90" s="2">
        <v>1</v>
      </c>
      <c r="GM90" s="2">
        <v>0</v>
      </c>
      <c r="GN90" s="3">
        <v>4</v>
      </c>
      <c r="GO90" s="3">
        <v>1</v>
      </c>
      <c r="GP90" s="3">
        <v>4</v>
      </c>
      <c r="GQ90" s="3">
        <v>1</v>
      </c>
      <c r="GR90" s="3">
        <v>4</v>
      </c>
      <c r="GS90" s="3">
        <v>2</v>
      </c>
      <c r="GT90" s="3">
        <v>2</v>
      </c>
      <c r="GU90" s="3">
        <v>1</v>
      </c>
      <c r="GV90" s="3">
        <v>4</v>
      </c>
      <c r="GW90" s="3">
        <v>3</v>
      </c>
      <c r="GX90" s="3">
        <v>4</v>
      </c>
      <c r="GY90" s="3">
        <v>1</v>
      </c>
      <c r="GZ90" s="3">
        <v>2</v>
      </c>
      <c r="HA90" s="3">
        <v>2</v>
      </c>
      <c r="HB90" s="3">
        <v>1</v>
      </c>
      <c r="HC90" s="3">
        <v>0</v>
      </c>
      <c r="HD90" s="3">
        <v>3</v>
      </c>
      <c r="HE90" s="3">
        <v>0</v>
      </c>
      <c r="HF90" s="3">
        <v>1</v>
      </c>
      <c r="HG90" s="3">
        <v>1</v>
      </c>
      <c r="HH90" s="3">
        <v>1</v>
      </c>
      <c r="HI90" s="3">
        <v>0</v>
      </c>
      <c r="HJ90" s="3">
        <v>3</v>
      </c>
      <c r="HK90" s="3">
        <v>2</v>
      </c>
      <c r="HL90" s="3">
        <v>0</v>
      </c>
      <c r="HM90" s="3">
        <v>2</v>
      </c>
      <c r="HN90" s="3">
        <v>0</v>
      </c>
      <c r="HO90" s="3">
        <v>1</v>
      </c>
      <c r="HP90" s="3">
        <v>0</v>
      </c>
      <c r="HQ90" s="3">
        <v>0</v>
      </c>
      <c r="HR90" s="3">
        <v>0</v>
      </c>
      <c r="HS90" s="3">
        <v>0</v>
      </c>
      <c r="HT90" s="3">
        <v>0</v>
      </c>
      <c r="HU90" s="3">
        <v>0</v>
      </c>
      <c r="HV90" s="3">
        <v>4</v>
      </c>
      <c r="HW90" s="3">
        <v>1</v>
      </c>
      <c r="HX90" s="3">
        <v>0</v>
      </c>
      <c r="HY90" s="3">
        <v>0</v>
      </c>
      <c r="HZ90" s="3">
        <v>0</v>
      </c>
      <c r="IA90" s="3">
        <v>0</v>
      </c>
      <c r="IB90" s="3">
        <v>0</v>
      </c>
      <c r="IC90" s="3">
        <v>0</v>
      </c>
      <c r="ID90" s="3">
        <v>0</v>
      </c>
      <c r="IE90" s="3">
        <v>0</v>
      </c>
      <c r="IF90" s="3">
        <v>0</v>
      </c>
      <c r="IG90" s="3">
        <v>0</v>
      </c>
      <c r="IH90" s="3">
        <v>0</v>
      </c>
      <c r="II90" s="3">
        <v>0</v>
      </c>
      <c r="IJ90" s="3">
        <v>0</v>
      </c>
      <c r="IK90" s="3">
        <v>0</v>
      </c>
      <c r="IL90" s="3">
        <v>0</v>
      </c>
      <c r="IM90" s="3">
        <v>0</v>
      </c>
      <c r="IN90" s="3">
        <v>0</v>
      </c>
      <c r="IO90" s="3">
        <v>0</v>
      </c>
      <c r="IP90" s="3">
        <v>0</v>
      </c>
      <c r="IQ90" s="3">
        <v>1</v>
      </c>
      <c r="IR90" s="3" t="s">
        <v>274</v>
      </c>
      <c r="IS90" s="3">
        <v>4</v>
      </c>
      <c r="IT90" s="3">
        <v>1</v>
      </c>
      <c r="IU90" s="3">
        <v>0</v>
      </c>
      <c r="IV90" s="3">
        <v>1</v>
      </c>
      <c r="IW90" s="3">
        <v>1</v>
      </c>
      <c r="IX90" s="3">
        <v>1</v>
      </c>
      <c r="IY90" s="3">
        <v>0</v>
      </c>
      <c r="IZ90" s="2" t="s">
        <v>268</v>
      </c>
      <c r="JA90" s="2" t="s">
        <v>274</v>
      </c>
    </row>
    <row r="91" spans="1:261" ht="13.2" x14ac:dyDescent="0.25">
      <c r="A91" s="10" t="s">
        <v>274</v>
      </c>
      <c r="B91" s="2" t="s">
        <v>749</v>
      </c>
      <c r="C91" s="2" t="s">
        <v>261</v>
      </c>
      <c r="D91" s="2" t="s">
        <v>270</v>
      </c>
      <c r="E91" s="2">
        <v>29</v>
      </c>
      <c r="F91" s="11" t="s">
        <v>750</v>
      </c>
      <c r="G91" s="11" t="s">
        <v>751</v>
      </c>
      <c r="H91" s="2" t="s">
        <v>752</v>
      </c>
      <c r="I91" s="3">
        <v>3</v>
      </c>
      <c r="J91" s="3">
        <v>2</v>
      </c>
      <c r="K91" s="3">
        <v>1</v>
      </c>
      <c r="L91" s="3">
        <v>2</v>
      </c>
      <c r="M91" s="3">
        <v>0</v>
      </c>
      <c r="N91" s="3">
        <v>3</v>
      </c>
      <c r="O91" s="3">
        <v>1</v>
      </c>
      <c r="P91" s="3">
        <v>1</v>
      </c>
      <c r="Q91" s="3">
        <v>2</v>
      </c>
      <c r="R91" s="3">
        <v>0</v>
      </c>
      <c r="S91" s="3">
        <v>0</v>
      </c>
      <c r="T91" s="3">
        <v>0</v>
      </c>
      <c r="U91" s="3">
        <v>0</v>
      </c>
      <c r="V91" s="3">
        <v>1</v>
      </c>
      <c r="W91" s="3">
        <v>1</v>
      </c>
      <c r="X91" s="3">
        <v>0</v>
      </c>
      <c r="Y91" s="3">
        <v>2</v>
      </c>
      <c r="Z91" s="3">
        <v>0</v>
      </c>
      <c r="AA91" s="3">
        <v>4</v>
      </c>
      <c r="AB91" s="3">
        <v>3</v>
      </c>
      <c r="AC91" s="3">
        <v>3</v>
      </c>
      <c r="AD91" s="3">
        <v>0</v>
      </c>
      <c r="AE91" s="3">
        <v>2</v>
      </c>
      <c r="AF91" s="3">
        <v>2</v>
      </c>
      <c r="AG91" s="3">
        <v>2</v>
      </c>
      <c r="AH91" s="3">
        <v>2</v>
      </c>
      <c r="AI91" s="3">
        <v>0</v>
      </c>
      <c r="AJ91" s="3">
        <v>0</v>
      </c>
      <c r="AK91" s="3">
        <v>0</v>
      </c>
      <c r="AL91" s="3">
        <v>0</v>
      </c>
      <c r="AM91" s="3">
        <v>0</v>
      </c>
      <c r="AN91" s="3">
        <v>1</v>
      </c>
      <c r="AO91" s="3">
        <v>2</v>
      </c>
      <c r="AP91" s="3">
        <v>0</v>
      </c>
      <c r="AQ91" s="3">
        <v>0</v>
      </c>
      <c r="AR91" s="3">
        <v>0</v>
      </c>
      <c r="AS91" s="3">
        <v>0</v>
      </c>
      <c r="AT91" s="3">
        <v>0</v>
      </c>
      <c r="AU91" s="3">
        <v>0</v>
      </c>
      <c r="AV91" s="3">
        <v>0</v>
      </c>
      <c r="AW91" s="3">
        <v>2</v>
      </c>
      <c r="AX91" s="3">
        <v>0</v>
      </c>
      <c r="AY91" s="3">
        <v>1</v>
      </c>
      <c r="AZ91" s="3">
        <v>4</v>
      </c>
      <c r="BA91" s="3">
        <v>0</v>
      </c>
      <c r="BB91" s="3">
        <v>0</v>
      </c>
      <c r="BC91" s="3">
        <v>0</v>
      </c>
      <c r="BD91" s="3">
        <v>2</v>
      </c>
      <c r="BE91" s="3">
        <v>0</v>
      </c>
      <c r="BF91" s="3">
        <v>0</v>
      </c>
      <c r="BG91" s="3">
        <v>0</v>
      </c>
      <c r="BH91" s="3">
        <v>0</v>
      </c>
      <c r="BI91" s="3">
        <v>2</v>
      </c>
      <c r="BJ91" s="3">
        <v>1</v>
      </c>
      <c r="BK91" s="3">
        <v>0</v>
      </c>
      <c r="BL91" s="3">
        <v>0</v>
      </c>
      <c r="BM91" s="3" t="s">
        <v>274</v>
      </c>
      <c r="BN91" s="3">
        <v>2</v>
      </c>
      <c r="BO91" s="3">
        <v>2</v>
      </c>
      <c r="BP91" s="3">
        <v>2</v>
      </c>
      <c r="BQ91" s="3">
        <v>2</v>
      </c>
      <c r="BR91" s="3">
        <v>2</v>
      </c>
      <c r="BS91" s="3">
        <v>2</v>
      </c>
      <c r="BT91" s="3">
        <v>0</v>
      </c>
      <c r="BU91" s="2">
        <v>1</v>
      </c>
      <c r="BV91" s="2">
        <v>0</v>
      </c>
      <c r="BW91" s="2">
        <v>2</v>
      </c>
      <c r="BX91" s="2">
        <v>0</v>
      </c>
      <c r="BY91" s="2">
        <v>0</v>
      </c>
      <c r="BZ91" s="2">
        <v>0</v>
      </c>
      <c r="CA91" s="2">
        <v>0</v>
      </c>
      <c r="CB91" s="2">
        <v>3</v>
      </c>
      <c r="CC91" s="2">
        <v>0</v>
      </c>
      <c r="CD91" s="2">
        <v>0</v>
      </c>
      <c r="CE91" s="2">
        <v>0</v>
      </c>
      <c r="CF91" s="2">
        <v>0</v>
      </c>
      <c r="CG91" s="2">
        <v>0</v>
      </c>
      <c r="CH91" s="2">
        <v>0</v>
      </c>
      <c r="CI91" s="2">
        <v>0</v>
      </c>
      <c r="CJ91" s="2">
        <v>0</v>
      </c>
      <c r="CK91" s="2">
        <v>0</v>
      </c>
      <c r="CL91" s="2">
        <v>0</v>
      </c>
      <c r="CM91" s="2">
        <v>0</v>
      </c>
      <c r="CN91" s="2">
        <v>0</v>
      </c>
      <c r="CO91" s="2">
        <v>0</v>
      </c>
      <c r="CP91" s="2">
        <v>0</v>
      </c>
      <c r="CQ91" s="2">
        <v>0</v>
      </c>
      <c r="CR91" s="2">
        <v>0</v>
      </c>
      <c r="CS91" s="2">
        <v>1</v>
      </c>
      <c r="CT91" s="2">
        <v>0</v>
      </c>
      <c r="CU91" s="2">
        <v>0</v>
      </c>
      <c r="CV91" s="2">
        <v>0</v>
      </c>
      <c r="CW91" s="2">
        <v>0</v>
      </c>
      <c r="CX91" s="2">
        <v>0</v>
      </c>
      <c r="CY91" s="2">
        <v>0</v>
      </c>
      <c r="CZ91" s="2">
        <v>1</v>
      </c>
      <c r="DA91" s="2">
        <v>1</v>
      </c>
      <c r="DB91" s="2">
        <v>0</v>
      </c>
      <c r="DC91" s="2">
        <v>0</v>
      </c>
      <c r="DD91" s="2">
        <v>0</v>
      </c>
      <c r="DE91" s="2">
        <v>0</v>
      </c>
      <c r="DF91" s="2">
        <v>0</v>
      </c>
      <c r="DG91" s="2">
        <v>0</v>
      </c>
      <c r="DH91" s="2">
        <v>0</v>
      </c>
      <c r="DI91" s="2">
        <v>0</v>
      </c>
      <c r="DJ91" s="2">
        <v>0</v>
      </c>
      <c r="DK91" s="2">
        <v>0</v>
      </c>
      <c r="DL91" s="2">
        <v>1</v>
      </c>
      <c r="DM91" s="2">
        <v>0</v>
      </c>
      <c r="DN91" s="2">
        <v>0</v>
      </c>
      <c r="DO91" s="2">
        <v>0</v>
      </c>
      <c r="DP91" s="2">
        <v>1</v>
      </c>
      <c r="DQ91" s="2">
        <v>0</v>
      </c>
      <c r="DR91" s="2">
        <v>0</v>
      </c>
      <c r="DS91" s="2">
        <v>2</v>
      </c>
      <c r="DT91" s="2">
        <v>0</v>
      </c>
      <c r="DU91" s="2">
        <v>0</v>
      </c>
      <c r="DV91" s="2">
        <v>2</v>
      </c>
      <c r="DW91" s="2">
        <v>0</v>
      </c>
      <c r="DX91" s="2">
        <v>0</v>
      </c>
      <c r="DY91" s="2">
        <v>0</v>
      </c>
      <c r="DZ91" s="2">
        <v>0</v>
      </c>
      <c r="EA91" s="2">
        <v>0</v>
      </c>
      <c r="EB91" s="2">
        <v>2</v>
      </c>
      <c r="EC91" s="2">
        <v>2</v>
      </c>
      <c r="ED91" s="2">
        <v>2</v>
      </c>
      <c r="EE91" s="2">
        <v>2</v>
      </c>
      <c r="EF91" s="2">
        <v>2</v>
      </c>
      <c r="EG91" s="2">
        <v>2</v>
      </c>
      <c r="EH91" s="2">
        <v>2</v>
      </c>
      <c r="EI91" s="2">
        <v>2</v>
      </c>
      <c r="EJ91" s="2">
        <v>0</v>
      </c>
      <c r="EK91" s="2">
        <v>0</v>
      </c>
      <c r="EL91" s="2">
        <v>0</v>
      </c>
      <c r="EM91" s="2">
        <v>0</v>
      </c>
      <c r="EN91" s="2">
        <v>0</v>
      </c>
      <c r="EO91" s="2">
        <v>0</v>
      </c>
      <c r="EP91" s="2">
        <v>0</v>
      </c>
      <c r="EQ91" s="2">
        <v>1</v>
      </c>
      <c r="ER91" s="2">
        <v>0</v>
      </c>
      <c r="ES91" s="2">
        <v>0</v>
      </c>
      <c r="ET91" s="2">
        <v>0</v>
      </c>
      <c r="EU91" s="2">
        <v>0</v>
      </c>
      <c r="EV91" s="2">
        <v>0</v>
      </c>
      <c r="EW91" s="2">
        <v>0</v>
      </c>
      <c r="EX91" s="2">
        <v>0</v>
      </c>
      <c r="EY91" s="2">
        <v>0</v>
      </c>
      <c r="EZ91" s="2">
        <v>0</v>
      </c>
      <c r="FA91" s="2">
        <v>0</v>
      </c>
      <c r="FB91" s="2">
        <v>0</v>
      </c>
      <c r="FC91" s="2">
        <v>0</v>
      </c>
      <c r="FD91" s="2">
        <v>0</v>
      </c>
      <c r="FE91" s="2">
        <v>0</v>
      </c>
      <c r="FF91" s="2">
        <v>0</v>
      </c>
      <c r="FG91" s="2">
        <v>0</v>
      </c>
      <c r="FH91" s="2">
        <v>0</v>
      </c>
      <c r="FI91" s="2">
        <v>0</v>
      </c>
      <c r="FJ91" s="2">
        <v>0</v>
      </c>
      <c r="FK91" s="2">
        <v>1</v>
      </c>
      <c r="FL91" s="2">
        <v>1</v>
      </c>
      <c r="FM91" s="2">
        <v>0</v>
      </c>
      <c r="FN91" s="2">
        <v>1</v>
      </c>
      <c r="FO91" s="2">
        <v>0</v>
      </c>
      <c r="FP91" s="2">
        <v>0</v>
      </c>
      <c r="FQ91" s="2">
        <v>0</v>
      </c>
      <c r="FR91" s="2">
        <v>0</v>
      </c>
      <c r="FS91" s="2">
        <v>0</v>
      </c>
      <c r="FT91" s="2">
        <v>0</v>
      </c>
      <c r="FU91" s="2">
        <v>0</v>
      </c>
      <c r="FV91" s="2">
        <v>0</v>
      </c>
      <c r="FW91" s="2">
        <v>0</v>
      </c>
      <c r="FX91" s="2">
        <v>0</v>
      </c>
      <c r="FY91" s="2">
        <v>0</v>
      </c>
      <c r="FZ91" s="2">
        <v>0</v>
      </c>
      <c r="GA91" s="2">
        <v>0</v>
      </c>
      <c r="GB91" s="2">
        <v>0</v>
      </c>
      <c r="GC91" s="2" t="s">
        <v>274</v>
      </c>
      <c r="GD91" s="2">
        <v>0</v>
      </c>
      <c r="GE91" s="2">
        <v>0</v>
      </c>
      <c r="GF91" s="2">
        <v>0</v>
      </c>
      <c r="GG91" s="2">
        <v>0</v>
      </c>
      <c r="GH91" s="2">
        <v>2</v>
      </c>
      <c r="GI91" s="2">
        <v>2</v>
      </c>
      <c r="GJ91" s="2">
        <v>1</v>
      </c>
      <c r="GK91" s="2">
        <v>1</v>
      </c>
      <c r="GL91" s="2">
        <v>0</v>
      </c>
      <c r="GM91" s="2">
        <v>2</v>
      </c>
      <c r="GN91" s="3">
        <v>0</v>
      </c>
      <c r="GO91" s="3">
        <v>1</v>
      </c>
      <c r="GP91" s="3">
        <v>0</v>
      </c>
      <c r="GQ91" s="3">
        <v>0</v>
      </c>
      <c r="GR91" s="3">
        <v>0</v>
      </c>
      <c r="GS91" s="3">
        <v>0</v>
      </c>
      <c r="GT91" s="3">
        <v>0</v>
      </c>
      <c r="GU91" s="3">
        <v>0</v>
      </c>
      <c r="GV91" s="3">
        <v>1</v>
      </c>
      <c r="GW91" s="3">
        <v>0</v>
      </c>
      <c r="GX91" s="3">
        <v>1</v>
      </c>
      <c r="GY91" s="3">
        <v>0</v>
      </c>
      <c r="GZ91" s="3">
        <v>0</v>
      </c>
      <c r="HA91" s="3">
        <v>0</v>
      </c>
      <c r="HB91" s="3">
        <v>0</v>
      </c>
      <c r="HC91" s="3">
        <v>0</v>
      </c>
      <c r="HD91" s="3">
        <v>0</v>
      </c>
      <c r="HE91" s="3">
        <v>0</v>
      </c>
      <c r="HF91" s="3">
        <v>0</v>
      </c>
      <c r="HG91" s="3">
        <v>0</v>
      </c>
      <c r="HH91" s="3">
        <v>0</v>
      </c>
      <c r="HI91" s="3">
        <v>0</v>
      </c>
      <c r="HJ91" s="3">
        <v>0</v>
      </c>
      <c r="HK91" s="3">
        <v>0</v>
      </c>
      <c r="HL91" s="3">
        <v>0</v>
      </c>
      <c r="HM91" s="3">
        <v>0</v>
      </c>
      <c r="HN91" s="3">
        <v>0</v>
      </c>
      <c r="HO91" s="3">
        <v>0</v>
      </c>
      <c r="HP91" s="3">
        <v>0</v>
      </c>
      <c r="HQ91" s="3">
        <v>0</v>
      </c>
      <c r="HR91" s="3">
        <v>0</v>
      </c>
      <c r="HS91" s="3">
        <v>0</v>
      </c>
      <c r="HT91" s="3">
        <v>0</v>
      </c>
      <c r="HU91" s="3">
        <v>0</v>
      </c>
      <c r="HV91" s="3">
        <v>0</v>
      </c>
      <c r="HW91" s="3">
        <v>0</v>
      </c>
      <c r="HX91" s="3">
        <v>0</v>
      </c>
      <c r="HY91" s="3">
        <v>1</v>
      </c>
      <c r="HZ91" s="3">
        <v>1</v>
      </c>
      <c r="IA91" s="3">
        <v>0</v>
      </c>
      <c r="IB91" s="3">
        <v>0</v>
      </c>
      <c r="IC91" s="3">
        <v>0</v>
      </c>
      <c r="ID91" s="3">
        <v>0</v>
      </c>
      <c r="IE91" s="3">
        <v>0</v>
      </c>
      <c r="IF91" s="3">
        <v>0</v>
      </c>
      <c r="IG91" s="3">
        <v>0</v>
      </c>
      <c r="IH91" s="3">
        <v>0</v>
      </c>
      <c r="II91" s="3">
        <v>0</v>
      </c>
      <c r="IJ91" s="3">
        <v>0</v>
      </c>
      <c r="IK91" s="3">
        <v>0</v>
      </c>
      <c r="IL91" s="3">
        <v>0</v>
      </c>
      <c r="IM91" s="3">
        <v>1</v>
      </c>
      <c r="IN91" s="3">
        <v>0</v>
      </c>
      <c r="IO91" s="3">
        <v>0</v>
      </c>
      <c r="IP91" s="3">
        <v>0</v>
      </c>
      <c r="IQ91" s="3">
        <v>1</v>
      </c>
      <c r="IR91" s="3" t="s">
        <v>274</v>
      </c>
      <c r="IS91" s="3">
        <v>2</v>
      </c>
      <c r="IT91" s="3">
        <v>0</v>
      </c>
      <c r="IU91" s="3">
        <v>0</v>
      </c>
      <c r="IV91" s="3">
        <v>1</v>
      </c>
      <c r="IW91" s="3">
        <v>2</v>
      </c>
      <c r="IX91" s="3">
        <v>1</v>
      </c>
      <c r="IY91" s="3">
        <v>2</v>
      </c>
      <c r="IZ91" s="2" t="s">
        <v>268</v>
      </c>
      <c r="JA91" s="2" t="s">
        <v>274</v>
      </c>
    </row>
    <row r="92" spans="1:261" ht="13.2" x14ac:dyDescent="0.25">
      <c r="A92" s="10" t="s">
        <v>274</v>
      </c>
      <c r="B92" s="2" t="s">
        <v>753</v>
      </c>
      <c r="C92" s="2" t="s">
        <v>261</v>
      </c>
      <c r="D92" s="2" t="s">
        <v>270</v>
      </c>
      <c r="E92" s="2">
        <v>21</v>
      </c>
      <c r="F92" s="11" t="s">
        <v>754</v>
      </c>
      <c r="G92" s="11" t="s">
        <v>755</v>
      </c>
      <c r="H92" s="2" t="s">
        <v>756</v>
      </c>
      <c r="I92" s="3">
        <v>2</v>
      </c>
      <c r="J92" s="3">
        <v>3</v>
      </c>
      <c r="K92" s="3">
        <v>4</v>
      </c>
      <c r="L92" s="3">
        <v>2</v>
      </c>
      <c r="M92" s="3">
        <v>2</v>
      </c>
      <c r="N92" s="3">
        <v>2</v>
      </c>
      <c r="O92" s="3">
        <v>3</v>
      </c>
      <c r="P92" s="3">
        <v>2</v>
      </c>
      <c r="Q92" s="3">
        <v>3</v>
      </c>
      <c r="R92" s="3">
        <v>4</v>
      </c>
      <c r="S92" s="3">
        <v>4</v>
      </c>
      <c r="T92" s="3">
        <v>3</v>
      </c>
      <c r="U92" s="3">
        <v>3</v>
      </c>
      <c r="V92" s="3">
        <v>2</v>
      </c>
      <c r="W92" s="3">
        <v>4</v>
      </c>
      <c r="X92" s="3">
        <v>2</v>
      </c>
      <c r="Y92" s="3">
        <v>4</v>
      </c>
      <c r="Z92" s="3">
        <v>3</v>
      </c>
      <c r="AA92" s="3">
        <v>2</v>
      </c>
      <c r="AB92" s="3">
        <v>3</v>
      </c>
      <c r="AC92" s="3">
        <v>2</v>
      </c>
      <c r="AD92" s="3">
        <v>3</v>
      </c>
      <c r="AE92" s="3">
        <v>2</v>
      </c>
      <c r="AF92" s="3">
        <v>3</v>
      </c>
      <c r="AG92" s="3">
        <v>3</v>
      </c>
      <c r="AH92" s="3">
        <v>2</v>
      </c>
      <c r="AI92" s="3">
        <v>3</v>
      </c>
      <c r="AJ92" s="3">
        <v>3</v>
      </c>
      <c r="AK92" s="3">
        <v>4</v>
      </c>
      <c r="AL92" s="3">
        <v>3</v>
      </c>
      <c r="AM92" s="3">
        <v>3</v>
      </c>
      <c r="AN92" s="3">
        <v>3</v>
      </c>
      <c r="AO92" s="3">
        <v>2</v>
      </c>
      <c r="AP92" s="3">
        <v>3</v>
      </c>
      <c r="AQ92" s="3">
        <v>2</v>
      </c>
      <c r="AR92" s="3">
        <v>3</v>
      </c>
      <c r="AS92" s="3">
        <v>2</v>
      </c>
      <c r="AT92" s="3">
        <v>3</v>
      </c>
      <c r="AU92" s="3">
        <v>3</v>
      </c>
      <c r="AV92" s="3">
        <v>2</v>
      </c>
      <c r="AW92" s="3">
        <v>2</v>
      </c>
      <c r="AX92" s="3">
        <v>3</v>
      </c>
      <c r="AY92" s="3">
        <v>2</v>
      </c>
      <c r="AZ92" s="3">
        <v>4</v>
      </c>
      <c r="BA92" s="3">
        <v>3</v>
      </c>
      <c r="BB92" s="3">
        <v>2</v>
      </c>
      <c r="BC92" s="3">
        <v>3</v>
      </c>
      <c r="BD92" s="3">
        <v>4</v>
      </c>
      <c r="BE92" s="3">
        <v>4</v>
      </c>
      <c r="BF92" s="3">
        <v>4</v>
      </c>
      <c r="BG92" s="3">
        <v>3</v>
      </c>
      <c r="BH92" s="3">
        <v>3</v>
      </c>
      <c r="BI92" s="3">
        <v>4</v>
      </c>
      <c r="BJ92" s="3">
        <v>3</v>
      </c>
      <c r="BK92" s="3">
        <v>4</v>
      </c>
      <c r="BL92" s="3">
        <v>3</v>
      </c>
      <c r="BM92" s="3" t="s">
        <v>274</v>
      </c>
      <c r="BN92" s="3">
        <v>4</v>
      </c>
      <c r="BO92" s="3">
        <v>4</v>
      </c>
      <c r="BP92" s="3">
        <v>4</v>
      </c>
      <c r="BQ92" s="3">
        <v>4</v>
      </c>
      <c r="BR92" s="3">
        <v>4</v>
      </c>
      <c r="BS92" s="3">
        <v>3</v>
      </c>
      <c r="BT92" s="3">
        <v>3</v>
      </c>
      <c r="BU92" s="2">
        <v>3</v>
      </c>
      <c r="BV92" s="2">
        <v>3</v>
      </c>
      <c r="BW92" s="2">
        <v>3</v>
      </c>
      <c r="BX92" s="2">
        <v>4</v>
      </c>
      <c r="BY92" s="2">
        <v>3</v>
      </c>
      <c r="BZ92" s="2">
        <v>4</v>
      </c>
      <c r="CA92" s="2">
        <v>3</v>
      </c>
      <c r="CB92" s="2">
        <v>3</v>
      </c>
      <c r="CC92" s="2">
        <v>3</v>
      </c>
      <c r="CD92" s="2">
        <v>3</v>
      </c>
      <c r="CE92" s="2">
        <v>4</v>
      </c>
      <c r="CF92" s="2">
        <v>4</v>
      </c>
      <c r="CG92" s="2">
        <v>4</v>
      </c>
      <c r="CH92" s="2">
        <v>3</v>
      </c>
      <c r="CI92" s="2">
        <v>4</v>
      </c>
      <c r="CJ92" s="2">
        <v>3</v>
      </c>
      <c r="CK92" s="2">
        <v>3</v>
      </c>
      <c r="CL92" s="2">
        <v>3</v>
      </c>
      <c r="CM92" s="2">
        <v>4</v>
      </c>
      <c r="CN92" s="2">
        <v>3</v>
      </c>
      <c r="CO92" s="2">
        <v>4</v>
      </c>
      <c r="CP92" s="2">
        <v>3</v>
      </c>
      <c r="CQ92" s="2">
        <v>3</v>
      </c>
      <c r="CR92" s="2">
        <v>4</v>
      </c>
      <c r="CS92" s="2">
        <v>3</v>
      </c>
      <c r="CT92" s="2">
        <v>4</v>
      </c>
      <c r="CU92" s="2">
        <v>3</v>
      </c>
      <c r="CV92" s="2">
        <v>3</v>
      </c>
      <c r="CW92" s="2">
        <v>4</v>
      </c>
      <c r="CX92" s="2">
        <v>3</v>
      </c>
      <c r="CY92" s="2">
        <v>4</v>
      </c>
      <c r="CZ92" s="2">
        <v>4</v>
      </c>
      <c r="DA92" s="2">
        <v>3</v>
      </c>
      <c r="DB92" s="2">
        <v>4</v>
      </c>
      <c r="DC92" s="2">
        <v>0</v>
      </c>
      <c r="DD92" s="2">
        <v>0</v>
      </c>
      <c r="DE92" s="2">
        <v>4</v>
      </c>
      <c r="DF92" s="2">
        <v>4</v>
      </c>
      <c r="DG92" s="2">
        <v>3</v>
      </c>
      <c r="DH92" s="2">
        <v>3</v>
      </c>
      <c r="DI92" s="2">
        <v>3</v>
      </c>
      <c r="DJ92" s="2">
        <v>3</v>
      </c>
      <c r="DK92" s="2">
        <v>4</v>
      </c>
      <c r="DL92" s="2">
        <v>3</v>
      </c>
      <c r="DM92" s="2">
        <v>4</v>
      </c>
      <c r="DN92" s="2">
        <v>3</v>
      </c>
      <c r="DO92" s="2">
        <v>4</v>
      </c>
      <c r="DP92" s="2">
        <v>3</v>
      </c>
      <c r="DQ92" s="2">
        <v>3</v>
      </c>
      <c r="DR92" s="2">
        <v>4</v>
      </c>
      <c r="DS92" s="2">
        <v>3</v>
      </c>
      <c r="DT92" s="2">
        <v>3</v>
      </c>
      <c r="DU92" s="2">
        <v>3</v>
      </c>
      <c r="DV92" s="2">
        <v>3</v>
      </c>
      <c r="DW92" s="2">
        <v>4</v>
      </c>
      <c r="DX92" s="2">
        <v>2</v>
      </c>
      <c r="DY92" s="2">
        <v>4</v>
      </c>
      <c r="DZ92" s="2">
        <v>3</v>
      </c>
      <c r="EA92" s="2">
        <v>4</v>
      </c>
      <c r="EB92" s="2">
        <v>3</v>
      </c>
      <c r="EC92" s="2">
        <v>3</v>
      </c>
      <c r="ED92" s="2">
        <v>3</v>
      </c>
      <c r="EE92" s="2">
        <v>4</v>
      </c>
      <c r="EF92" s="2">
        <v>4</v>
      </c>
      <c r="EG92" s="2">
        <v>3</v>
      </c>
      <c r="EH92" s="2">
        <v>3</v>
      </c>
      <c r="EI92" s="2">
        <v>4</v>
      </c>
      <c r="EJ92" s="2">
        <v>4</v>
      </c>
      <c r="EK92" s="2">
        <v>3</v>
      </c>
      <c r="EL92" s="2">
        <v>3</v>
      </c>
      <c r="EM92" s="2">
        <v>4</v>
      </c>
      <c r="EN92" s="2">
        <v>3</v>
      </c>
      <c r="EO92" s="2">
        <v>3</v>
      </c>
      <c r="EP92" s="2">
        <v>4</v>
      </c>
      <c r="EQ92" s="2">
        <v>4</v>
      </c>
      <c r="ER92" s="2">
        <v>3</v>
      </c>
      <c r="ES92" s="2">
        <v>3</v>
      </c>
      <c r="ET92" s="2">
        <v>4</v>
      </c>
      <c r="EU92" s="2">
        <v>3</v>
      </c>
      <c r="EV92" s="2">
        <v>4</v>
      </c>
      <c r="EW92" s="2">
        <v>3</v>
      </c>
      <c r="EX92" s="2">
        <v>3</v>
      </c>
      <c r="EY92" s="2">
        <v>3</v>
      </c>
      <c r="EZ92" s="2">
        <v>4</v>
      </c>
      <c r="FA92" s="2">
        <v>4</v>
      </c>
      <c r="FB92" s="2">
        <v>3</v>
      </c>
      <c r="FC92" s="2">
        <v>4</v>
      </c>
      <c r="FD92" s="2">
        <v>3</v>
      </c>
      <c r="FE92" s="2">
        <v>4</v>
      </c>
      <c r="FF92" s="2">
        <v>4</v>
      </c>
      <c r="FG92" s="2">
        <v>3</v>
      </c>
      <c r="FH92" s="2">
        <v>4</v>
      </c>
      <c r="FI92" s="2">
        <v>3</v>
      </c>
      <c r="FJ92" s="2">
        <v>4</v>
      </c>
      <c r="FK92" s="2">
        <v>3</v>
      </c>
      <c r="FL92" s="2">
        <v>4</v>
      </c>
      <c r="FM92" s="2">
        <v>3</v>
      </c>
      <c r="FN92" s="2">
        <v>3</v>
      </c>
      <c r="FO92" s="2">
        <v>4</v>
      </c>
      <c r="FP92" s="2">
        <v>3</v>
      </c>
      <c r="FQ92" s="2">
        <v>4</v>
      </c>
      <c r="FR92" s="2">
        <v>4</v>
      </c>
      <c r="FS92" s="2">
        <v>3</v>
      </c>
      <c r="FT92" s="2">
        <v>3</v>
      </c>
      <c r="FU92" s="2">
        <v>4</v>
      </c>
      <c r="FV92" s="2">
        <v>3</v>
      </c>
      <c r="FW92" s="2">
        <v>4</v>
      </c>
      <c r="FX92" s="2">
        <v>3</v>
      </c>
      <c r="FY92" s="2">
        <v>3</v>
      </c>
      <c r="FZ92" s="2">
        <v>3</v>
      </c>
      <c r="GA92" s="2">
        <v>4</v>
      </c>
      <c r="GB92" s="2">
        <v>3</v>
      </c>
      <c r="GC92" s="2" t="s">
        <v>274</v>
      </c>
      <c r="GD92" s="2">
        <v>3</v>
      </c>
      <c r="GE92" s="2">
        <v>4</v>
      </c>
      <c r="GF92" s="2">
        <v>3</v>
      </c>
      <c r="GG92" s="2">
        <v>4</v>
      </c>
      <c r="GH92" s="2">
        <v>3</v>
      </c>
      <c r="GI92" s="2">
        <v>3</v>
      </c>
      <c r="GJ92" s="2">
        <v>3</v>
      </c>
      <c r="GK92" s="2">
        <v>3</v>
      </c>
      <c r="GL92" s="2">
        <v>4</v>
      </c>
      <c r="GM92" s="2">
        <v>4</v>
      </c>
      <c r="GN92" s="3">
        <v>4</v>
      </c>
      <c r="GO92" s="3">
        <v>4</v>
      </c>
      <c r="GP92" s="3">
        <v>3</v>
      </c>
      <c r="GQ92" s="3">
        <v>4</v>
      </c>
      <c r="GR92" s="3">
        <v>3</v>
      </c>
      <c r="GS92" s="3">
        <v>4</v>
      </c>
      <c r="GT92" s="3">
        <v>3</v>
      </c>
      <c r="GU92" s="3">
        <v>4</v>
      </c>
      <c r="GV92" s="3">
        <v>3</v>
      </c>
      <c r="GW92" s="3">
        <v>3</v>
      </c>
      <c r="GX92" s="3">
        <v>4</v>
      </c>
      <c r="GY92" s="3">
        <v>3</v>
      </c>
      <c r="GZ92" s="3">
        <v>4</v>
      </c>
      <c r="HA92" s="3">
        <v>3</v>
      </c>
      <c r="HB92" s="3">
        <v>3</v>
      </c>
      <c r="HC92" s="3">
        <v>3</v>
      </c>
      <c r="HD92" s="3">
        <v>4</v>
      </c>
      <c r="HE92" s="3">
        <v>3</v>
      </c>
      <c r="HF92" s="3">
        <v>4</v>
      </c>
      <c r="HG92" s="3">
        <v>3</v>
      </c>
      <c r="HH92" s="3">
        <v>4</v>
      </c>
      <c r="HI92" s="3">
        <v>2</v>
      </c>
      <c r="HJ92" s="3">
        <v>3</v>
      </c>
      <c r="HK92" s="3">
        <v>4</v>
      </c>
      <c r="HL92" s="3">
        <v>3</v>
      </c>
      <c r="HM92" s="3">
        <v>4</v>
      </c>
      <c r="HN92" s="3">
        <v>2</v>
      </c>
      <c r="HO92" s="3">
        <v>4</v>
      </c>
      <c r="HP92" s="3">
        <v>4</v>
      </c>
      <c r="HQ92" s="3">
        <v>3</v>
      </c>
      <c r="HR92" s="3">
        <v>2</v>
      </c>
      <c r="HS92" s="3">
        <v>2</v>
      </c>
      <c r="HT92" s="3">
        <v>4</v>
      </c>
      <c r="HU92" s="3">
        <v>3</v>
      </c>
      <c r="HV92" s="3">
        <v>4</v>
      </c>
      <c r="HW92" s="3">
        <v>3</v>
      </c>
      <c r="HX92" s="3">
        <v>3</v>
      </c>
      <c r="HY92" s="3">
        <v>4</v>
      </c>
      <c r="HZ92" s="3">
        <v>3</v>
      </c>
      <c r="IA92" s="3">
        <v>4</v>
      </c>
      <c r="IB92" s="3">
        <v>3</v>
      </c>
      <c r="IC92" s="3">
        <v>3</v>
      </c>
      <c r="ID92" s="3">
        <v>4</v>
      </c>
      <c r="IE92" s="3">
        <v>3</v>
      </c>
      <c r="IF92" s="3">
        <v>3</v>
      </c>
      <c r="IG92" s="3">
        <v>4</v>
      </c>
      <c r="IH92" s="3">
        <v>0</v>
      </c>
      <c r="II92" s="3">
        <v>0</v>
      </c>
      <c r="IJ92" s="3">
        <v>4</v>
      </c>
      <c r="IK92" s="3">
        <v>3</v>
      </c>
      <c r="IL92" s="3">
        <v>4</v>
      </c>
      <c r="IM92" s="3">
        <v>2</v>
      </c>
      <c r="IN92" s="3">
        <v>3</v>
      </c>
      <c r="IO92" s="3">
        <v>0</v>
      </c>
      <c r="IP92" s="3">
        <v>3</v>
      </c>
      <c r="IQ92" s="3">
        <v>2</v>
      </c>
      <c r="IR92" s="3" t="s">
        <v>274</v>
      </c>
      <c r="IS92" s="3">
        <v>3</v>
      </c>
      <c r="IT92" s="3">
        <v>1</v>
      </c>
      <c r="IU92" s="3">
        <v>1</v>
      </c>
      <c r="IV92" s="3">
        <v>1</v>
      </c>
      <c r="IW92" s="3">
        <v>1</v>
      </c>
      <c r="IX92" s="3">
        <v>2</v>
      </c>
      <c r="IY92" s="3">
        <v>1</v>
      </c>
      <c r="IZ92" s="2" t="s">
        <v>268</v>
      </c>
      <c r="JA92" s="2" t="s">
        <v>274</v>
      </c>
    </row>
    <row r="93" spans="1:261" ht="13.2" x14ac:dyDescent="0.25">
      <c r="A93" s="10" t="s">
        <v>274</v>
      </c>
      <c r="B93" s="2" t="s">
        <v>757</v>
      </c>
      <c r="C93" s="2" t="s">
        <v>261</v>
      </c>
      <c r="D93" s="2" t="s">
        <v>325</v>
      </c>
      <c r="E93" s="2">
        <v>27</v>
      </c>
      <c r="F93" s="11" t="s">
        <v>758</v>
      </c>
      <c r="G93" s="11" t="s">
        <v>759</v>
      </c>
      <c r="H93" s="2" t="s">
        <v>641</v>
      </c>
      <c r="I93" s="3">
        <v>2</v>
      </c>
      <c r="J93" s="3">
        <v>1</v>
      </c>
      <c r="K93" s="3">
        <v>2</v>
      </c>
      <c r="L93" s="3">
        <v>3</v>
      </c>
      <c r="M93" s="3">
        <v>1</v>
      </c>
      <c r="N93" s="3">
        <v>3</v>
      </c>
      <c r="O93" s="3">
        <v>4</v>
      </c>
      <c r="P93" s="3">
        <v>2</v>
      </c>
      <c r="Q93" s="3">
        <v>1</v>
      </c>
      <c r="R93" s="3">
        <v>2</v>
      </c>
      <c r="S93" s="3">
        <v>1</v>
      </c>
      <c r="T93" s="3">
        <v>1</v>
      </c>
      <c r="U93" s="3">
        <v>2</v>
      </c>
      <c r="V93" s="3">
        <v>0</v>
      </c>
      <c r="W93" s="3">
        <v>3</v>
      </c>
      <c r="X93" s="3">
        <v>3</v>
      </c>
      <c r="Y93" s="3">
        <v>2</v>
      </c>
      <c r="Z93" s="3">
        <v>2</v>
      </c>
      <c r="AA93" s="3">
        <v>1</v>
      </c>
      <c r="AB93" s="3">
        <v>1</v>
      </c>
      <c r="AC93" s="3">
        <v>0</v>
      </c>
      <c r="AD93" s="3">
        <v>1</v>
      </c>
      <c r="AE93" s="3">
        <v>2</v>
      </c>
      <c r="AF93" s="3">
        <v>0</v>
      </c>
      <c r="AG93" s="3">
        <v>0</v>
      </c>
      <c r="AH93" s="3">
        <v>0</v>
      </c>
      <c r="AI93" s="3">
        <v>3</v>
      </c>
      <c r="AJ93" s="3">
        <v>3</v>
      </c>
      <c r="AK93" s="3">
        <v>3</v>
      </c>
      <c r="AL93" s="3">
        <v>3</v>
      </c>
      <c r="AM93" s="3">
        <v>4</v>
      </c>
      <c r="AN93" s="3">
        <v>0</v>
      </c>
      <c r="AO93" s="3">
        <v>2</v>
      </c>
      <c r="AP93" s="3">
        <v>1</v>
      </c>
      <c r="AQ93" s="3">
        <v>2</v>
      </c>
      <c r="AR93" s="3">
        <v>1</v>
      </c>
      <c r="AS93" s="3">
        <v>1</v>
      </c>
      <c r="AT93" s="3">
        <v>2</v>
      </c>
      <c r="AU93" s="3">
        <v>2</v>
      </c>
      <c r="AV93" s="3">
        <v>2</v>
      </c>
      <c r="AW93" s="3">
        <v>0</v>
      </c>
      <c r="AX93" s="3">
        <v>0</v>
      </c>
      <c r="AY93" s="3">
        <v>0</v>
      </c>
      <c r="AZ93" s="3">
        <v>0</v>
      </c>
      <c r="BA93" s="3">
        <v>0</v>
      </c>
      <c r="BB93" s="3">
        <v>2</v>
      </c>
      <c r="BC93" s="3">
        <v>2</v>
      </c>
      <c r="BD93" s="3">
        <v>2</v>
      </c>
      <c r="BE93" s="3">
        <v>2</v>
      </c>
      <c r="BF93" s="3">
        <v>2</v>
      </c>
      <c r="BG93" s="3">
        <v>2</v>
      </c>
      <c r="BH93" s="3">
        <v>2</v>
      </c>
      <c r="BI93" s="3">
        <v>2</v>
      </c>
      <c r="BJ93" s="3">
        <v>3</v>
      </c>
      <c r="BK93" s="3">
        <v>3</v>
      </c>
      <c r="BL93" s="3">
        <v>2</v>
      </c>
      <c r="BM93" s="3" t="s">
        <v>760</v>
      </c>
      <c r="BN93" s="3">
        <v>3</v>
      </c>
      <c r="BO93" s="3">
        <v>3</v>
      </c>
      <c r="BP93" s="3">
        <v>2</v>
      </c>
      <c r="BQ93" s="3">
        <v>2</v>
      </c>
      <c r="BR93" s="3">
        <v>2</v>
      </c>
      <c r="BS93" s="3">
        <v>2</v>
      </c>
      <c r="BT93" s="3">
        <v>2</v>
      </c>
      <c r="BU93" s="2">
        <v>2</v>
      </c>
      <c r="BV93" s="2">
        <v>2</v>
      </c>
      <c r="BW93" s="2">
        <v>2</v>
      </c>
      <c r="BX93" s="2">
        <v>1</v>
      </c>
      <c r="BY93" s="2">
        <v>2</v>
      </c>
      <c r="BZ93" s="2">
        <v>2</v>
      </c>
      <c r="CA93" s="2">
        <v>1</v>
      </c>
      <c r="CB93" s="2">
        <v>3</v>
      </c>
      <c r="CC93" s="2">
        <v>2</v>
      </c>
      <c r="CD93" s="2">
        <v>2</v>
      </c>
      <c r="CE93" s="2">
        <v>2</v>
      </c>
      <c r="CF93" s="2">
        <v>1</v>
      </c>
      <c r="CG93" s="2">
        <v>1</v>
      </c>
      <c r="CH93" s="2">
        <v>1</v>
      </c>
      <c r="CI93" s="2">
        <v>3</v>
      </c>
      <c r="CJ93" s="2">
        <v>2</v>
      </c>
      <c r="CK93" s="2">
        <v>2</v>
      </c>
      <c r="CL93" s="2">
        <v>4</v>
      </c>
      <c r="CM93" s="2">
        <v>2</v>
      </c>
      <c r="CN93" s="2">
        <v>1</v>
      </c>
      <c r="CO93" s="2">
        <v>3</v>
      </c>
      <c r="CP93" s="2">
        <v>1</v>
      </c>
      <c r="CQ93" s="2">
        <v>4</v>
      </c>
      <c r="CR93" s="2">
        <v>4</v>
      </c>
      <c r="CS93" s="2">
        <v>4</v>
      </c>
      <c r="CT93" s="2">
        <v>1</v>
      </c>
      <c r="CU93" s="2">
        <v>1</v>
      </c>
      <c r="CV93" s="2">
        <v>2</v>
      </c>
      <c r="CW93" s="2">
        <v>2</v>
      </c>
      <c r="CX93" s="2">
        <v>0</v>
      </c>
      <c r="CY93" s="2">
        <v>0</v>
      </c>
      <c r="CZ93" s="2">
        <v>0</v>
      </c>
      <c r="DA93" s="2">
        <v>1</v>
      </c>
      <c r="DB93" s="2">
        <v>0</v>
      </c>
      <c r="DC93" s="2">
        <v>0</v>
      </c>
      <c r="DD93" s="2">
        <v>0</v>
      </c>
      <c r="DE93" s="2">
        <v>4</v>
      </c>
      <c r="DF93" s="2">
        <v>2</v>
      </c>
      <c r="DG93" s="2">
        <v>4</v>
      </c>
      <c r="DH93" s="2">
        <v>2</v>
      </c>
      <c r="DI93" s="2">
        <v>2</v>
      </c>
      <c r="DJ93" s="2">
        <v>4</v>
      </c>
      <c r="DK93" s="2">
        <v>2</v>
      </c>
      <c r="DL93" s="2">
        <v>1</v>
      </c>
      <c r="DM93" s="2">
        <v>0</v>
      </c>
      <c r="DN93" s="2">
        <v>0</v>
      </c>
      <c r="DO93" s="2">
        <v>0</v>
      </c>
      <c r="DP93" s="2">
        <v>2</v>
      </c>
      <c r="DQ93" s="2">
        <v>0</v>
      </c>
      <c r="DR93" s="2">
        <v>1</v>
      </c>
      <c r="DS93" s="2">
        <v>0</v>
      </c>
      <c r="DT93" s="2">
        <v>0</v>
      </c>
      <c r="DU93" s="2">
        <v>2</v>
      </c>
      <c r="DV93" s="2">
        <v>0</v>
      </c>
      <c r="DW93" s="2">
        <v>0</v>
      </c>
      <c r="DX93" s="2">
        <v>2</v>
      </c>
      <c r="DY93" s="2">
        <v>1</v>
      </c>
      <c r="DZ93" s="2">
        <v>0</v>
      </c>
      <c r="EA93" s="2">
        <v>0</v>
      </c>
      <c r="EB93" s="2">
        <v>0</v>
      </c>
      <c r="EC93" s="2">
        <v>0</v>
      </c>
      <c r="ED93" s="2">
        <v>0</v>
      </c>
      <c r="EE93" s="2">
        <v>0</v>
      </c>
      <c r="EF93" s="2">
        <v>0</v>
      </c>
      <c r="EG93" s="2">
        <v>0</v>
      </c>
      <c r="EH93" s="2">
        <v>0</v>
      </c>
      <c r="EI93" s="2">
        <v>3</v>
      </c>
      <c r="EJ93" s="2">
        <v>2</v>
      </c>
      <c r="EK93" s="2">
        <v>3</v>
      </c>
      <c r="EL93" s="2">
        <v>2</v>
      </c>
      <c r="EM93" s="2">
        <v>0</v>
      </c>
      <c r="EN93" s="2">
        <v>1</v>
      </c>
      <c r="EO93" s="2">
        <v>0</v>
      </c>
      <c r="EP93" s="2">
        <v>0</v>
      </c>
      <c r="EQ93" s="2">
        <v>0</v>
      </c>
      <c r="ER93" s="2">
        <v>0</v>
      </c>
      <c r="ES93" s="2">
        <v>0</v>
      </c>
      <c r="ET93" s="2">
        <v>0</v>
      </c>
      <c r="EU93" s="2">
        <v>1</v>
      </c>
      <c r="EV93" s="2">
        <v>2</v>
      </c>
      <c r="EW93" s="2">
        <v>0</v>
      </c>
      <c r="EX93" s="2">
        <v>4</v>
      </c>
      <c r="EY93" s="2">
        <v>0</v>
      </c>
      <c r="EZ93" s="2">
        <v>0</v>
      </c>
      <c r="FA93" s="2">
        <v>0</v>
      </c>
      <c r="FB93" s="2">
        <v>0</v>
      </c>
      <c r="FC93" s="2">
        <v>0</v>
      </c>
      <c r="FD93" s="2">
        <v>0</v>
      </c>
      <c r="FE93" s="2">
        <v>0</v>
      </c>
      <c r="FF93" s="2">
        <v>1</v>
      </c>
      <c r="FG93" s="2">
        <v>0</v>
      </c>
      <c r="FH93" s="2">
        <v>0</v>
      </c>
      <c r="FI93" s="2">
        <v>0</v>
      </c>
      <c r="FJ93" s="2">
        <v>0</v>
      </c>
      <c r="FK93" s="2">
        <v>0</v>
      </c>
      <c r="FL93" s="2">
        <v>0</v>
      </c>
      <c r="FM93" s="2">
        <v>0</v>
      </c>
      <c r="FN93" s="2">
        <v>0</v>
      </c>
      <c r="FO93" s="2">
        <v>0</v>
      </c>
      <c r="FP93" s="2">
        <v>0</v>
      </c>
      <c r="FQ93" s="2">
        <v>0</v>
      </c>
      <c r="FR93" s="2">
        <v>0</v>
      </c>
      <c r="FS93" s="2">
        <v>0</v>
      </c>
      <c r="FT93" s="2">
        <v>0</v>
      </c>
      <c r="FU93" s="2">
        <v>0</v>
      </c>
      <c r="FV93" s="2">
        <v>0</v>
      </c>
      <c r="FW93" s="2">
        <v>2</v>
      </c>
      <c r="FX93" s="2">
        <v>0</v>
      </c>
      <c r="FY93" s="2">
        <v>0</v>
      </c>
      <c r="FZ93" s="2">
        <v>0</v>
      </c>
      <c r="GA93" s="2">
        <v>0</v>
      </c>
      <c r="GB93" s="2">
        <v>0</v>
      </c>
      <c r="GC93" s="2" t="s">
        <v>761</v>
      </c>
      <c r="GD93" s="2">
        <v>3</v>
      </c>
      <c r="GE93" s="2">
        <v>0</v>
      </c>
      <c r="GF93" s="2">
        <v>0</v>
      </c>
      <c r="GG93" s="2">
        <v>0</v>
      </c>
      <c r="GH93" s="2">
        <v>2</v>
      </c>
      <c r="GI93" s="2">
        <v>0</v>
      </c>
      <c r="GJ93" s="2">
        <v>0</v>
      </c>
      <c r="GK93" s="2">
        <v>2</v>
      </c>
      <c r="GL93" s="2">
        <v>0</v>
      </c>
      <c r="GM93" s="2">
        <v>0</v>
      </c>
      <c r="GN93" s="3">
        <v>3</v>
      </c>
      <c r="GO93" s="3">
        <v>1</v>
      </c>
      <c r="GP93" s="3">
        <v>0</v>
      </c>
      <c r="GQ93" s="3">
        <v>3</v>
      </c>
      <c r="GR93" s="3">
        <v>0</v>
      </c>
      <c r="GS93" s="3">
        <v>0</v>
      </c>
      <c r="GT93" s="3">
        <v>4</v>
      </c>
      <c r="GU93" s="3">
        <v>3</v>
      </c>
      <c r="GV93" s="3">
        <v>2</v>
      </c>
      <c r="GW93" s="3">
        <v>0</v>
      </c>
      <c r="GX93" s="3">
        <v>4</v>
      </c>
      <c r="GY93" s="3">
        <v>4</v>
      </c>
      <c r="GZ93" s="3">
        <v>2</v>
      </c>
      <c r="HA93" s="3">
        <v>4</v>
      </c>
      <c r="HB93" s="3">
        <v>0</v>
      </c>
      <c r="HC93" s="3">
        <v>2</v>
      </c>
      <c r="HD93" s="3">
        <v>0</v>
      </c>
      <c r="HE93" s="3">
        <v>0</v>
      </c>
      <c r="HF93" s="3">
        <v>2</v>
      </c>
      <c r="HG93" s="3">
        <v>0</v>
      </c>
      <c r="HH93" s="3">
        <v>1</v>
      </c>
      <c r="HI93" s="3">
        <v>4</v>
      </c>
      <c r="HJ93" s="3">
        <v>2</v>
      </c>
      <c r="HK93" s="3">
        <v>2</v>
      </c>
      <c r="HL93" s="3">
        <v>0</v>
      </c>
      <c r="HM93" s="3">
        <v>0</v>
      </c>
      <c r="HN93" s="3">
        <v>0</v>
      </c>
      <c r="HO93" s="3">
        <v>4</v>
      </c>
      <c r="HP93" s="3">
        <v>4</v>
      </c>
      <c r="HQ93" s="3">
        <v>2</v>
      </c>
      <c r="HR93" s="3">
        <v>0</v>
      </c>
      <c r="HS93" s="3">
        <v>0</v>
      </c>
      <c r="HT93" s="3">
        <v>0</v>
      </c>
      <c r="HU93" s="3">
        <v>0</v>
      </c>
      <c r="HV93" s="3">
        <v>3</v>
      </c>
      <c r="HW93" s="3">
        <v>4</v>
      </c>
      <c r="HX93" s="3">
        <v>0</v>
      </c>
      <c r="HY93" s="3">
        <v>1</v>
      </c>
      <c r="HZ93" s="3">
        <v>2</v>
      </c>
      <c r="IA93" s="3">
        <v>4</v>
      </c>
      <c r="IB93" s="3">
        <v>4</v>
      </c>
      <c r="IC93" s="3">
        <v>0</v>
      </c>
      <c r="ID93" s="3">
        <v>0</v>
      </c>
      <c r="IE93" s="3">
        <v>0</v>
      </c>
      <c r="IF93" s="3">
        <v>0</v>
      </c>
      <c r="IG93" s="3">
        <v>0</v>
      </c>
      <c r="IH93" s="3">
        <v>0</v>
      </c>
      <c r="II93" s="3">
        <v>4</v>
      </c>
      <c r="IJ93" s="3">
        <v>2</v>
      </c>
      <c r="IK93" s="3">
        <v>0</v>
      </c>
      <c r="IL93" s="3">
        <v>4</v>
      </c>
      <c r="IM93" s="3">
        <v>0</v>
      </c>
      <c r="IN93" s="3">
        <v>0</v>
      </c>
      <c r="IO93" s="3">
        <v>0</v>
      </c>
      <c r="IP93" s="3">
        <v>3</v>
      </c>
      <c r="IQ93" s="3">
        <v>1</v>
      </c>
      <c r="IR93" s="3" t="s">
        <v>762</v>
      </c>
      <c r="IS93" s="3">
        <v>1</v>
      </c>
      <c r="IT93" s="3">
        <v>4</v>
      </c>
      <c r="IU93" s="3">
        <v>4</v>
      </c>
      <c r="IV93" s="3">
        <v>2</v>
      </c>
      <c r="IW93" s="3">
        <v>2</v>
      </c>
      <c r="IX93" s="3">
        <v>2</v>
      </c>
      <c r="IY93" s="3">
        <v>3</v>
      </c>
      <c r="IZ93" s="2" t="s">
        <v>268</v>
      </c>
      <c r="JA93" s="2" t="s">
        <v>274</v>
      </c>
    </row>
    <row r="94" spans="1:261" ht="13.2" x14ac:dyDescent="0.25">
      <c r="A94" s="10" t="s">
        <v>274</v>
      </c>
      <c r="B94" s="2" t="s">
        <v>763</v>
      </c>
      <c r="C94" s="2" t="s">
        <v>261</v>
      </c>
      <c r="D94" s="2" t="s">
        <v>270</v>
      </c>
      <c r="E94" s="2">
        <v>20</v>
      </c>
      <c r="F94" s="11" t="s">
        <v>764</v>
      </c>
      <c r="G94" s="11" t="s">
        <v>765</v>
      </c>
      <c r="H94" s="2" t="s">
        <v>766</v>
      </c>
      <c r="I94" s="3">
        <v>4</v>
      </c>
      <c r="J94" s="3">
        <v>4</v>
      </c>
      <c r="K94" s="3">
        <v>4</v>
      </c>
      <c r="L94" s="3">
        <v>4</v>
      </c>
      <c r="M94" s="3">
        <v>4</v>
      </c>
      <c r="N94" s="3">
        <v>4</v>
      </c>
      <c r="O94" s="3">
        <v>4</v>
      </c>
      <c r="P94" s="3">
        <v>3</v>
      </c>
      <c r="Q94" s="3">
        <v>3</v>
      </c>
      <c r="R94" s="3">
        <v>3</v>
      </c>
      <c r="S94" s="3">
        <v>4</v>
      </c>
      <c r="T94" s="3">
        <v>4</v>
      </c>
      <c r="U94" s="3">
        <v>3</v>
      </c>
      <c r="V94" s="3">
        <v>4</v>
      </c>
      <c r="W94" s="3">
        <v>3</v>
      </c>
      <c r="X94" s="3">
        <v>3</v>
      </c>
      <c r="Y94" s="3">
        <v>3</v>
      </c>
      <c r="Z94" s="3">
        <v>3</v>
      </c>
      <c r="AA94" s="3">
        <v>3</v>
      </c>
      <c r="AB94" s="3">
        <v>3</v>
      </c>
      <c r="AC94" s="3">
        <v>3</v>
      </c>
      <c r="AD94" s="3">
        <v>3</v>
      </c>
      <c r="AE94" s="3">
        <v>3</v>
      </c>
      <c r="AF94" s="3">
        <v>2</v>
      </c>
      <c r="AG94" s="3">
        <v>2</v>
      </c>
      <c r="AH94" s="3">
        <v>2</v>
      </c>
      <c r="AI94" s="3">
        <v>3</v>
      </c>
      <c r="AJ94" s="3">
        <v>3</v>
      </c>
      <c r="AK94" s="3">
        <v>3</v>
      </c>
      <c r="AL94" s="3">
        <v>3</v>
      </c>
      <c r="AM94" s="3">
        <v>1</v>
      </c>
      <c r="AN94" s="3">
        <v>4</v>
      </c>
      <c r="AO94" s="3">
        <v>3</v>
      </c>
      <c r="AP94" s="3">
        <v>4</v>
      </c>
      <c r="AQ94" s="3">
        <v>3</v>
      </c>
      <c r="AR94" s="3">
        <v>3</v>
      </c>
      <c r="AS94" s="3">
        <v>3</v>
      </c>
      <c r="AT94" s="3">
        <v>3</v>
      </c>
      <c r="AU94" s="3">
        <v>3</v>
      </c>
      <c r="AV94" s="3">
        <v>3</v>
      </c>
      <c r="AW94" s="3">
        <v>3</v>
      </c>
      <c r="AX94" s="3">
        <v>3</v>
      </c>
      <c r="AY94" s="3">
        <v>3</v>
      </c>
      <c r="AZ94" s="3">
        <v>3</v>
      </c>
      <c r="BA94" s="3">
        <v>3</v>
      </c>
      <c r="BB94" s="3">
        <v>2</v>
      </c>
      <c r="BC94" s="3">
        <v>2</v>
      </c>
      <c r="BD94" s="3">
        <v>1</v>
      </c>
      <c r="BE94" s="3">
        <v>3</v>
      </c>
      <c r="BF94" s="3">
        <v>3</v>
      </c>
      <c r="BG94" s="3">
        <v>3</v>
      </c>
      <c r="BH94" s="3">
        <v>3</v>
      </c>
      <c r="BI94" s="3">
        <v>3</v>
      </c>
      <c r="BJ94" s="3">
        <v>3</v>
      </c>
      <c r="BK94" s="3">
        <v>3</v>
      </c>
      <c r="BL94" s="3">
        <v>3</v>
      </c>
      <c r="BM94" s="3" t="s">
        <v>767</v>
      </c>
      <c r="BN94" s="3">
        <v>3</v>
      </c>
      <c r="BO94" s="3">
        <v>3</v>
      </c>
      <c r="BP94" s="3">
        <v>3</v>
      </c>
      <c r="BQ94" s="3">
        <v>3</v>
      </c>
      <c r="BR94" s="3">
        <v>3</v>
      </c>
      <c r="BS94" s="3">
        <v>3</v>
      </c>
      <c r="BT94" s="3">
        <v>3</v>
      </c>
      <c r="BU94" s="2">
        <v>4</v>
      </c>
      <c r="BV94" s="2">
        <v>3</v>
      </c>
      <c r="BW94" s="2">
        <v>4</v>
      </c>
      <c r="BX94" s="2">
        <v>4</v>
      </c>
      <c r="BY94" s="2">
        <v>4</v>
      </c>
      <c r="BZ94" s="2">
        <v>4</v>
      </c>
      <c r="CA94" s="2">
        <v>4</v>
      </c>
      <c r="CB94" s="2">
        <v>3</v>
      </c>
      <c r="CC94" s="2">
        <v>4</v>
      </c>
      <c r="CD94" s="2">
        <v>4</v>
      </c>
      <c r="CE94" s="2">
        <v>3</v>
      </c>
      <c r="CF94" s="2">
        <v>4</v>
      </c>
      <c r="CG94" s="2">
        <v>4</v>
      </c>
      <c r="CH94" s="2">
        <v>4</v>
      </c>
      <c r="CI94" s="2">
        <v>3</v>
      </c>
      <c r="CJ94" s="2">
        <v>3</v>
      </c>
      <c r="CK94" s="2">
        <v>4</v>
      </c>
      <c r="CL94" s="2">
        <v>4</v>
      </c>
      <c r="CM94" s="2">
        <v>4</v>
      </c>
      <c r="CN94" s="2">
        <v>4</v>
      </c>
      <c r="CO94" s="2">
        <v>3</v>
      </c>
      <c r="CP94" s="2">
        <v>3</v>
      </c>
      <c r="CQ94" s="2">
        <v>3</v>
      </c>
      <c r="CR94" s="2">
        <v>3</v>
      </c>
      <c r="CS94" s="2">
        <v>3</v>
      </c>
      <c r="CT94" s="2">
        <v>3</v>
      </c>
      <c r="CU94" s="2">
        <v>3</v>
      </c>
      <c r="CV94" s="2">
        <v>3</v>
      </c>
      <c r="CW94" s="2">
        <v>3</v>
      </c>
      <c r="CX94" s="2">
        <v>4</v>
      </c>
      <c r="CY94" s="2">
        <v>4</v>
      </c>
      <c r="CZ94" s="2">
        <v>4</v>
      </c>
      <c r="DA94" s="2">
        <v>4</v>
      </c>
      <c r="DB94" s="2">
        <v>4</v>
      </c>
      <c r="DC94" s="2">
        <v>4</v>
      </c>
      <c r="DD94" s="2">
        <v>4</v>
      </c>
      <c r="DE94" s="2">
        <v>3</v>
      </c>
      <c r="DF94" s="2">
        <v>4</v>
      </c>
      <c r="DG94" s="2">
        <v>3</v>
      </c>
      <c r="DH94" s="2">
        <v>4</v>
      </c>
      <c r="DI94" s="2">
        <v>4</v>
      </c>
      <c r="DJ94" s="2">
        <v>3</v>
      </c>
      <c r="DK94" s="2">
        <v>3</v>
      </c>
      <c r="DL94" s="2">
        <v>4</v>
      </c>
      <c r="DM94" s="2">
        <v>4</v>
      </c>
      <c r="DN94" s="2">
        <v>4</v>
      </c>
      <c r="DO94" s="2">
        <v>3</v>
      </c>
      <c r="DP94" s="2">
        <v>3</v>
      </c>
      <c r="DQ94" s="2">
        <v>4</v>
      </c>
      <c r="DR94" s="2">
        <v>3</v>
      </c>
      <c r="DS94" s="2">
        <v>4</v>
      </c>
      <c r="DT94" s="2">
        <v>4</v>
      </c>
      <c r="DU94" s="2">
        <v>3</v>
      </c>
      <c r="DV94" s="2">
        <v>4</v>
      </c>
      <c r="DW94" s="2">
        <v>4</v>
      </c>
      <c r="DX94" s="2">
        <v>3</v>
      </c>
      <c r="DY94" s="2">
        <v>4</v>
      </c>
      <c r="DZ94" s="2">
        <v>3</v>
      </c>
      <c r="EA94" s="2">
        <v>3</v>
      </c>
      <c r="EB94" s="2">
        <v>1</v>
      </c>
      <c r="EC94" s="2">
        <v>1</v>
      </c>
      <c r="ED94" s="2">
        <v>1</v>
      </c>
      <c r="EE94" s="2">
        <v>1</v>
      </c>
      <c r="EF94" s="2">
        <v>1</v>
      </c>
      <c r="EG94" s="2">
        <v>1</v>
      </c>
      <c r="EH94" s="2">
        <v>1</v>
      </c>
      <c r="EI94" s="2">
        <v>4</v>
      </c>
      <c r="EJ94" s="2">
        <v>4</v>
      </c>
      <c r="EK94" s="2">
        <v>3</v>
      </c>
      <c r="EL94" s="2">
        <v>3</v>
      </c>
      <c r="EM94" s="2">
        <v>3</v>
      </c>
      <c r="EN94" s="2">
        <v>2</v>
      </c>
      <c r="EO94" s="2">
        <v>2</v>
      </c>
      <c r="EP94" s="2">
        <v>2</v>
      </c>
      <c r="EQ94" s="2">
        <v>4</v>
      </c>
      <c r="ER94" s="2">
        <v>3</v>
      </c>
      <c r="ES94" s="2">
        <v>4</v>
      </c>
      <c r="ET94" s="2">
        <v>4</v>
      </c>
      <c r="EU94" s="2">
        <v>4</v>
      </c>
      <c r="EV94" s="2">
        <v>3</v>
      </c>
      <c r="EW94" s="2">
        <v>3</v>
      </c>
      <c r="EX94" s="2">
        <v>3</v>
      </c>
      <c r="EY94" s="2">
        <v>3</v>
      </c>
      <c r="EZ94" s="2">
        <v>2</v>
      </c>
      <c r="FA94" s="2">
        <v>4</v>
      </c>
      <c r="FB94" s="2">
        <v>4</v>
      </c>
      <c r="FC94" s="2">
        <v>4</v>
      </c>
      <c r="FD94" s="2">
        <v>3</v>
      </c>
      <c r="FE94" s="2">
        <v>3</v>
      </c>
      <c r="FF94" s="2">
        <v>4</v>
      </c>
      <c r="FG94" s="2">
        <v>4</v>
      </c>
      <c r="FH94" s="2">
        <v>3</v>
      </c>
      <c r="FI94" s="2">
        <v>4</v>
      </c>
      <c r="FJ94" s="2">
        <v>4</v>
      </c>
      <c r="FK94" s="2">
        <v>4</v>
      </c>
      <c r="FL94" s="2">
        <v>4</v>
      </c>
      <c r="FM94" s="2">
        <v>3</v>
      </c>
      <c r="FN94" s="2">
        <v>3</v>
      </c>
      <c r="FO94" s="2">
        <v>3</v>
      </c>
      <c r="FP94" s="2">
        <v>3</v>
      </c>
      <c r="FQ94" s="2">
        <v>1</v>
      </c>
      <c r="FR94" s="2">
        <v>2</v>
      </c>
      <c r="FS94" s="2">
        <v>2</v>
      </c>
      <c r="FT94" s="2">
        <v>1</v>
      </c>
      <c r="FU94" s="2">
        <v>1</v>
      </c>
      <c r="FV94" s="2">
        <v>4</v>
      </c>
      <c r="FW94" s="2">
        <v>1</v>
      </c>
      <c r="FX94" s="2">
        <v>2</v>
      </c>
      <c r="FY94" s="2">
        <v>2</v>
      </c>
      <c r="FZ94" s="2">
        <v>1</v>
      </c>
      <c r="GA94" s="2">
        <v>3</v>
      </c>
      <c r="GB94" s="2">
        <v>1</v>
      </c>
      <c r="GC94" s="2" t="s">
        <v>768</v>
      </c>
      <c r="GD94" s="2">
        <v>1</v>
      </c>
      <c r="GE94" s="2">
        <v>2</v>
      </c>
      <c r="GF94" s="2">
        <v>4</v>
      </c>
      <c r="GG94" s="2">
        <v>1</v>
      </c>
      <c r="GH94" s="2">
        <v>2</v>
      </c>
      <c r="GI94" s="2">
        <v>1</v>
      </c>
      <c r="GJ94" s="2">
        <v>1</v>
      </c>
      <c r="GK94" s="2">
        <v>1</v>
      </c>
      <c r="GL94" s="2">
        <v>1</v>
      </c>
      <c r="GM94" s="2">
        <v>2</v>
      </c>
      <c r="GN94" s="3">
        <v>4</v>
      </c>
      <c r="GO94" s="3">
        <v>4</v>
      </c>
      <c r="GP94" s="3">
        <v>3</v>
      </c>
      <c r="GQ94" s="3">
        <v>4</v>
      </c>
      <c r="GR94" s="3">
        <v>3</v>
      </c>
      <c r="GS94" s="3">
        <v>1</v>
      </c>
      <c r="GT94" s="3">
        <v>4</v>
      </c>
      <c r="GU94" s="3">
        <v>3</v>
      </c>
      <c r="GV94" s="3">
        <v>3</v>
      </c>
      <c r="GW94" s="3">
        <v>3</v>
      </c>
      <c r="GX94" s="3">
        <v>4</v>
      </c>
      <c r="GY94" s="3">
        <v>3</v>
      </c>
      <c r="GZ94" s="3">
        <v>3</v>
      </c>
      <c r="HA94" s="3">
        <v>4</v>
      </c>
      <c r="HB94" s="3">
        <v>3</v>
      </c>
      <c r="HC94" s="3">
        <v>3</v>
      </c>
      <c r="HD94" s="3">
        <v>4</v>
      </c>
      <c r="HE94" s="3">
        <v>3</v>
      </c>
      <c r="HF94" s="3">
        <v>4</v>
      </c>
      <c r="HG94" s="3">
        <v>4</v>
      </c>
      <c r="HH94" s="3">
        <v>4</v>
      </c>
      <c r="HI94" s="3">
        <v>3</v>
      </c>
      <c r="HJ94" s="3">
        <v>4</v>
      </c>
      <c r="HK94" s="3">
        <v>4</v>
      </c>
      <c r="HL94" s="3">
        <v>3</v>
      </c>
      <c r="HM94" s="3">
        <v>4</v>
      </c>
      <c r="HN94" s="3">
        <v>3</v>
      </c>
      <c r="HO94" s="3">
        <v>4</v>
      </c>
      <c r="HP94" s="3">
        <v>3</v>
      </c>
      <c r="HQ94" s="3">
        <v>3</v>
      </c>
      <c r="HR94" s="3">
        <v>4</v>
      </c>
      <c r="HS94" s="3">
        <v>1</v>
      </c>
      <c r="HT94" s="3">
        <v>1</v>
      </c>
      <c r="HU94" s="3">
        <v>1</v>
      </c>
      <c r="HV94" s="3">
        <v>2</v>
      </c>
      <c r="HW94" s="3">
        <v>3</v>
      </c>
      <c r="HX94" s="3">
        <v>3</v>
      </c>
      <c r="HY94" s="3">
        <v>1</v>
      </c>
      <c r="HZ94" s="3">
        <v>3</v>
      </c>
      <c r="IA94" s="3">
        <v>4</v>
      </c>
      <c r="IB94" s="3">
        <v>3</v>
      </c>
      <c r="IC94" s="3">
        <v>3</v>
      </c>
      <c r="ID94" s="3">
        <v>4</v>
      </c>
      <c r="IE94" s="3">
        <v>3</v>
      </c>
      <c r="IF94" s="3">
        <v>3</v>
      </c>
      <c r="IG94" s="3">
        <v>4</v>
      </c>
      <c r="IH94" s="3">
        <v>2</v>
      </c>
      <c r="II94" s="3">
        <v>3</v>
      </c>
      <c r="IJ94" s="3">
        <v>4</v>
      </c>
      <c r="IK94" s="3">
        <v>4</v>
      </c>
      <c r="IL94" s="3">
        <v>4</v>
      </c>
      <c r="IM94" s="3">
        <v>3</v>
      </c>
      <c r="IN94" s="3">
        <v>2</v>
      </c>
      <c r="IO94" s="3">
        <v>2</v>
      </c>
      <c r="IP94" s="3">
        <v>4</v>
      </c>
      <c r="IQ94" s="3">
        <v>3</v>
      </c>
      <c r="IR94" s="3" t="s">
        <v>769</v>
      </c>
      <c r="IS94" s="3">
        <v>2</v>
      </c>
      <c r="IT94" s="3">
        <v>4</v>
      </c>
      <c r="IU94" s="3">
        <v>3</v>
      </c>
      <c r="IV94" s="3">
        <v>3</v>
      </c>
      <c r="IW94" s="3">
        <v>3</v>
      </c>
      <c r="IX94" s="3">
        <v>4</v>
      </c>
      <c r="IY94" s="3">
        <v>4</v>
      </c>
      <c r="IZ94" s="2" t="s">
        <v>268</v>
      </c>
      <c r="JA94" s="2" t="s">
        <v>274</v>
      </c>
    </row>
    <row r="95" spans="1:261" ht="13.2" x14ac:dyDescent="0.25">
      <c r="A95" s="10" t="s">
        <v>274</v>
      </c>
      <c r="B95" s="2" t="s">
        <v>770</v>
      </c>
      <c r="C95" s="2" t="s">
        <v>276</v>
      </c>
      <c r="D95" s="2" t="s">
        <v>262</v>
      </c>
      <c r="E95" s="2">
        <v>27</v>
      </c>
      <c r="F95" s="11" t="s">
        <v>771</v>
      </c>
      <c r="G95" s="11" t="s">
        <v>772</v>
      </c>
      <c r="H95" s="2" t="s">
        <v>773</v>
      </c>
      <c r="I95" s="3">
        <v>4</v>
      </c>
      <c r="J95" s="3">
        <v>2</v>
      </c>
      <c r="K95" s="3">
        <v>2</v>
      </c>
      <c r="L95" s="3">
        <v>4</v>
      </c>
      <c r="M95" s="3">
        <v>4</v>
      </c>
      <c r="N95" s="3">
        <v>2</v>
      </c>
      <c r="O95" s="3">
        <v>2</v>
      </c>
      <c r="P95" s="3">
        <v>2</v>
      </c>
      <c r="Q95" s="3">
        <v>2</v>
      </c>
      <c r="R95" s="3">
        <v>1</v>
      </c>
      <c r="S95" s="3">
        <v>4</v>
      </c>
      <c r="T95" s="3">
        <v>3</v>
      </c>
      <c r="U95" s="3">
        <v>2</v>
      </c>
      <c r="V95" s="3">
        <v>2</v>
      </c>
      <c r="W95" s="3">
        <v>3</v>
      </c>
      <c r="X95" s="3">
        <v>2</v>
      </c>
      <c r="Y95" s="3">
        <v>3</v>
      </c>
      <c r="Z95" s="3">
        <v>3</v>
      </c>
      <c r="AA95" s="3">
        <v>3</v>
      </c>
      <c r="AB95" s="3">
        <v>3</v>
      </c>
      <c r="AC95" s="3">
        <v>4</v>
      </c>
      <c r="AD95" s="3">
        <v>3</v>
      </c>
      <c r="AE95" s="3">
        <v>4</v>
      </c>
      <c r="AF95" s="3">
        <v>1</v>
      </c>
      <c r="AG95" s="3">
        <v>1</v>
      </c>
      <c r="AH95" s="3">
        <v>1</v>
      </c>
      <c r="AI95" s="3">
        <v>4</v>
      </c>
      <c r="AJ95" s="3">
        <v>4</v>
      </c>
      <c r="AK95" s="3">
        <v>4</v>
      </c>
      <c r="AL95" s="3">
        <v>4</v>
      </c>
      <c r="AM95" s="3">
        <v>2</v>
      </c>
      <c r="AN95" s="3">
        <v>1</v>
      </c>
      <c r="AO95" s="3">
        <v>4</v>
      </c>
      <c r="AP95" s="3">
        <v>2</v>
      </c>
      <c r="AQ95" s="3">
        <v>4</v>
      </c>
      <c r="AR95" s="3">
        <v>2</v>
      </c>
      <c r="AS95" s="3">
        <v>2</v>
      </c>
      <c r="AT95" s="3">
        <v>3</v>
      </c>
      <c r="AU95" s="3">
        <v>4</v>
      </c>
      <c r="AV95" s="3">
        <v>4</v>
      </c>
      <c r="AW95" s="3">
        <v>4</v>
      </c>
      <c r="AX95" s="3">
        <v>2</v>
      </c>
      <c r="AY95" s="3">
        <v>4</v>
      </c>
      <c r="AZ95" s="3">
        <v>4</v>
      </c>
      <c r="BA95" s="3">
        <v>2</v>
      </c>
      <c r="BB95" s="3">
        <v>4</v>
      </c>
      <c r="BC95" s="3">
        <v>2</v>
      </c>
      <c r="BD95" s="3">
        <v>4</v>
      </c>
      <c r="BE95" s="3">
        <v>4</v>
      </c>
      <c r="BF95" s="3">
        <v>4</v>
      </c>
      <c r="BG95" s="3">
        <v>4</v>
      </c>
      <c r="BH95" s="3">
        <v>3</v>
      </c>
      <c r="BI95" s="3">
        <v>3</v>
      </c>
      <c r="BJ95" s="3">
        <v>3</v>
      </c>
      <c r="BK95" s="3">
        <v>4</v>
      </c>
      <c r="BL95" s="3">
        <v>2</v>
      </c>
      <c r="BM95" s="3" t="s">
        <v>774</v>
      </c>
      <c r="BN95" s="3">
        <v>4</v>
      </c>
      <c r="BO95" s="3">
        <v>4</v>
      </c>
      <c r="BP95" s="3">
        <v>4</v>
      </c>
      <c r="BQ95" s="3">
        <v>4</v>
      </c>
      <c r="BR95" s="3">
        <v>4</v>
      </c>
      <c r="BS95" s="3">
        <v>4</v>
      </c>
      <c r="BT95" s="3">
        <v>4</v>
      </c>
      <c r="BU95" s="2">
        <v>4</v>
      </c>
      <c r="BV95" s="2">
        <v>4</v>
      </c>
      <c r="BW95" s="2">
        <v>4</v>
      </c>
      <c r="BX95" s="2">
        <v>4</v>
      </c>
      <c r="BY95" s="2">
        <v>4</v>
      </c>
      <c r="BZ95" s="2">
        <v>2</v>
      </c>
      <c r="CA95" s="2">
        <v>2</v>
      </c>
      <c r="CB95" s="2">
        <v>3</v>
      </c>
      <c r="CC95" s="2">
        <v>2</v>
      </c>
      <c r="CD95" s="2">
        <v>2</v>
      </c>
      <c r="CE95" s="2">
        <v>3</v>
      </c>
      <c r="CF95" s="2">
        <v>3</v>
      </c>
      <c r="CG95" s="2">
        <v>0</v>
      </c>
      <c r="CH95" s="2">
        <v>0</v>
      </c>
      <c r="CI95" s="2">
        <v>4</v>
      </c>
      <c r="CJ95" s="2">
        <v>3</v>
      </c>
      <c r="CK95" s="2">
        <v>3</v>
      </c>
      <c r="CL95" s="2">
        <v>4</v>
      </c>
      <c r="CM95" s="2">
        <v>2</v>
      </c>
      <c r="CN95" s="2">
        <v>2</v>
      </c>
      <c r="CO95" s="2">
        <v>2</v>
      </c>
      <c r="CP95" s="2">
        <v>2</v>
      </c>
      <c r="CQ95" s="2">
        <v>4</v>
      </c>
      <c r="CR95" s="2">
        <v>1</v>
      </c>
      <c r="CS95" s="2">
        <v>1</v>
      </c>
      <c r="CT95" s="2">
        <v>1</v>
      </c>
      <c r="CU95" s="2">
        <v>1</v>
      </c>
      <c r="CV95" s="2">
        <v>2</v>
      </c>
      <c r="CW95" s="2">
        <v>3</v>
      </c>
      <c r="CX95" s="2">
        <v>1</v>
      </c>
      <c r="CY95" s="2">
        <v>0</v>
      </c>
      <c r="CZ95" s="2">
        <v>2</v>
      </c>
      <c r="DA95" s="2">
        <v>2</v>
      </c>
      <c r="DB95" s="2">
        <v>2</v>
      </c>
      <c r="DC95" s="2">
        <v>0</v>
      </c>
      <c r="DD95" s="2">
        <v>0</v>
      </c>
      <c r="DE95" s="2">
        <v>4</v>
      </c>
      <c r="DF95" s="2">
        <v>4</v>
      </c>
      <c r="DG95" s="2">
        <v>4</v>
      </c>
      <c r="DH95" s="2">
        <v>4</v>
      </c>
      <c r="DI95" s="2">
        <v>3</v>
      </c>
      <c r="DJ95" s="2">
        <v>1</v>
      </c>
      <c r="DK95" s="2">
        <v>2</v>
      </c>
      <c r="DL95" s="2">
        <v>2</v>
      </c>
      <c r="DM95" s="2">
        <v>1</v>
      </c>
      <c r="DN95" s="2">
        <v>3</v>
      </c>
      <c r="DO95" s="2">
        <v>2</v>
      </c>
      <c r="DP95" s="2">
        <v>4</v>
      </c>
      <c r="DQ95" s="2">
        <v>4</v>
      </c>
      <c r="DR95" s="2">
        <v>4</v>
      </c>
      <c r="DS95" s="2">
        <v>4</v>
      </c>
      <c r="DT95" s="2">
        <v>4</v>
      </c>
      <c r="DU95" s="2">
        <v>4</v>
      </c>
      <c r="DV95" s="2">
        <v>3</v>
      </c>
      <c r="DW95" s="2">
        <v>2</v>
      </c>
      <c r="DX95" s="2">
        <v>4</v>
      </c>
      <c r="DY95" s="2">
        <v>4</v>
      </c>
      <c r="DZ95" s="2">
        <v>4</v>
      </c>
      <c r="EA95" s="2">
        <v>3</v>
      </c>
      <c r="EB95" s="2">
        <v>1</v>
      </c>
      <c r="EC95" s="2">
        <v>1</v>
      </c>
      <c r="ED95" s="2">
        <v>1</v>
      </c>
      <c r="EE95" s="2">
        <v>1</v>
      </c>
      <c r="EF95" s="2">
        <v>2</v>
      </c>
      <c r="EG95" s="2">
        <v>2</v>
      </c>
      <c r="EH95" s="2">
        <v>1</v>
      </c>
      <c r="EI95" s="2">
        <v>4</v>
      </c>
      <c r="EJ95" s="2">
        <v>4</v>
      </c>
      <c r="EK95" s="2">
        <v>4</v>
      </c>
      <c r="EL95" s="2">
        <v>2</v>
      </c>
      <c r="EM95" s="2">
        <v>2</v>
      </c>
      <c r="EN95" s="2">
        <v>2</v>
      </c>
      <c r="EO95" s="2">
        <v>1</v>
      </c>
      <c r="EP95" s="2">
        <v>1</v>
      </c>
      <c r="EQ95" s="2">
        <v>3</v>
      </c>
      <c r="ER95" s="2">
        <v>1</v>
      </c>
      <c r="ES95" s="2">
        <v>2</v>
      </c>
      <c r="ET95" s="2">
        <v>2</v>
      </c>
      <c r="EU95" s="2">
        <v>4</v>
      </c>
      <c r="EV95" s="2">
        <v>4</v>
      </c>
      <c r="EW95" s="2">
        <v>4</v>
      </c>
      <c r="EX95" s="2">
        <v>4</v>
      </c>
      <c r="EY95" s="2">
        <v>3</v>
      </c>
      <c r="EZ95" s="2">
        <v>3</v>
      </c>
      <c r="FA95" s="2">
        <v>2</v>
      </c>
      <c r="FB95" s="2">
        <v>2</v>
      </c>
      <c r="FC95" s="2">
        <v>2</v>
      </c>
      <c r="FD95" s="2">
        <v>4</v>
      </c>
      <c r="FE95" s="2">
        <v>2</v>
      </c>
      <c r="FF95" s="2">
        <v>4</v>
      </c>
      <c r="FG95" s="2">
        <v>2</v>
      </c>
      <c r="FH95" s="2">
        <v>3</v>
      </c>
      <c r="FI95" s="2">
        <v>3</v>
      </c>
      <c r="FJ95" s="2">
        <v>3</v>
      </c>
      <c r="FK95" s="2">
        <v>2</v>
      </c>
      <c r="FL95" s="2">
        <v>4</v>
      </c>
      <c r="FM95" s="2">
        <v>3</v>
      </c>
      <c r="FN95" s="2">
        <v>1</v>
      </c>
      <c r="FO95" s="2">
        <v>1</v>
      </c>
      <c r="FP95" s="2">
        <v>2</v>
      </c>
      <c r="FQ95" s="2">
        <v>4</v>
      </c>
      <c r="FR95" s="2">
        <v>4</v>
      </c>
      <c r="FS95" s="2">
        <v>4</v>
      </c>
      <c r="FT95" s="2">
        <v>4</v>
      </c>
      <c r="FU95" s="2">
        <v>4</v>
      </c>
      <c r="FV95" s="2">
        <v>2</v>
      </c>
      <c r="FW95" s="2">
        <v>4</v>
      </c>
      <c r="FX95" s="2">
        <v>3</v>
      </c>
      <c r="FY95" s="2">
        <v>3</v>
      </c>
      <c r="FZ95" s="2">
        <v>3</v>
      </c>
      <c r="GA95" s="2">
        <v>2</v>
      </c>
      <c r="GB95" s="2">
        <v>4</v>
      </c>
      <c r="GC95" s="2" t="s">
        <v>274</v>
      </c>
      <c r="GD95" s="2">
        <v>2</v>
      </c>
      <c r="GE95" s="2">
        <v>2</v>
      </c>
      <c r="GF95" s="2">
        <v>2</v>
      </c>
      <c r="GG95" s="2">
        <v>4</v>
      </c>
      <c r="GH95" s="2">
        <v>4</v>
      </c>
      <c r="GI95" s="2">
        <v>4</v>
      </c>
      <c r="GJ95" s="2">
        <v>2</v>
      </c>
      <c r="GK95" s="2">
        <v>3</v>
      </c>
      <c r="GL95" s="2">
        <v>2</v>
      </c>
      <c r="GM95" s="2">
        <v>2</v>
      </c>
      <c r="GN95" s="3">
        <v>4</v>
      </c>
      <c r="GO95" s="3">
        <v>3</v>
      </c>
      <c r="GP95" s="3">
        <v>4</v>
      </c>
      <c r="GQ95" s="3">
        <v>3</v>
      </c>
      <c r="GR95" s="3">
        <v>2</v>
      </c>
      <c r="GS95" s="3">
        <v>2</v>
      </c>
      <c r="GT95" s="3">
        <v>4</v>
      </c>
      <c r="GU95" s="3">
        <v>2</v>
      </c>
      <c r="GV95" s="3">
        <v>4</v>
      </c>
      <c r="GW95" s="3">
        <v>4</v>
      </c>
      <c r="GX95" s="3">
        <v>2</v>
      </c>
      <c r="GY95" s="3">
        <v>3</v>
      </c>
      <c r="GZ95" s="3">
        <v>4</v>
      </c>
      <c r="HA95" s="3">
        <v>4</v>
      </c>
      <c r="HB95" s="3">
        <v>2</v>
      </c>
      <c r="HC95" s="3">
        <v>2</v>
      </c>
      <c r="HD95" s="3">
        <v>1</v>
      </c>
      <c r="HE95" s="3">
        <v>1</v>
      </c>
      <c r="HF95" s="3">
        <v>2</v>
      </c>
      <c r="HG95" s="3">
        <v>2</v>
      </c>
      <c r="HH95" s="3">
        <v>4</v>
      </c>
      <c r="HI95" s="3">
        <v>4</v>
      </c>
      <c r="HJ95" s="3">
        <v>4</v>
      </c>
      <c r="HK95" s="3">
        <v>4</v>
      </c>
      <c r="HL95" s="3">
        <v>2</v>
      </c>
      <c r="HM95" s="3">
        <v>4</v>
      </c>
      <c r="HN95" s="3">
        <v>4</v>
      </c>
      <c r="HO95" s="3">
        <v>4</v>
      </c>
      <c r="HP95" s="3">
        <v>3</v>
      </c>
      <c r="HQ95" s="3">
        <v>4</v>
      </c>
      <c r="HR95" s="3">
        <v>4</v>
      </c>
      <c r="HS95" s="3">
        <v>2</v>
      </c>
      <c r="HT95" s="3">
        <v>2</v>
      </c>
      <c r="HU95" s="3">
        <v>3</v>
      </c>
      <c r="HV95" s="3">
        <v>4</v>
      </c>
      <c r="HW95" s="3">
        <v>4</v>
      </c>
      <c r="HX95" s="3">
        <v>3</v>
      </c>
      <c r="HY95" s="3">
        <v>2</v>
      </c>
      <c r="HZ95" s="3">
        <v>4</v>
      </c>
      <c r="IA95" s="3">
        <v>4</v>
      </c>
      <c r="IB95" s="3">
        <v>4</v>
      </c>
      <c r="IC95" s="3">
        <v>0</v>
      </c>
      <c r="ID95" s="3">
        <v>4</v>
      </c>
      <c r="IE95" s="3">
        <v>2</v>
      </c>
      <c r="IF95" s="3">
        <v>4</v>
      </c>
      <c r="IG95" s="3">
        <v>3</v>
      </c>
      <c r="IH95" s="3">
        <v>0</v>
      </c>
      <c r="II95" s="3">
        <v>2</v>
      </c>
      <c r="IJ95" s="3">
        <v>3</v>
      </c>
      <c r="IK95" s="3">
        <v>3</v>
      </c>
      <c r="IL95" s="3">
        <v>4</v>
      </c>
      <c r="IM95" s="3">
        <v>1</v>
      </c>
      <c r="IN95" s="3">
        <v>4</v>
      </c>
      <c r="IO95" s="3">
        <v>4</v>
      </c>
      <c r="IP95" s="3">
        <v>4</v>
      </c>
      <c r="IQ95" s="3">
        <v>4</v>
      </c>
      <c r="IR95" s="3" t="s">
        <v>274</v>
      </c>
      <c r="IS95" s="3">
        <v>2</v>
      </c>
      <c r="IT95" s="3">
        <v>4</v>
      </c>
      <c r="IU95" s="3">
        <v>2</v>
      </c>
      <c r="IV95" s="3">
        <v>4</v>
      </c>
      <c r="IW95" s="3">
        <v>4</v>
      </c>
      <c r="IX95" s="3">
        <v>4</v>
      </c>
      <c r="IY95" s="3">
        <v>4</v>
      </c>
      <c r="IZ95" s="2" t="s">
        <v>268</v>
      </c>
      <c r="JA95" s="2" t="s">
        <v>274</v>
      </c>
    </row>
    <row r="96" spans="1:261" ht="13.2" x14ac:dyDescent="0.25">
      <c r="A96" s="10" t="s">
        <v>274</v>
      </c>
      <c r="B96" s="2" t="s">
        <v>775</v>
      </c>
      <c r="C96" s="2" t="s">
        <v>276</v>
      </c>
      <c r="D96" s="2" t="s">
        <v>262</v>
      </c>
      <c r="E96" s="2">
        <v>28</v>
      </c>
      <c r="F96" s="11" t="s">
        <v>776</v>
      </c>
      <c r="G96" s="11" t="s">
        <v>777</v>
      </c>
      <c r="H96" s="2" t="s">
        <v>778</v>
      </c>
      <c r="I96" s="3">
        <v>3</v>
      </c>
      <c r="J96" s="3">
        <v>2</v>
      </c>
      <c r="K96" s="3">
        <v>3</v>
      </c>
      <c r="L96" s="3">
        <v>2</v>
      </c>
      <c r="M96" s="3">
        <v>2</v>
      </c>
      <c r="N96" s="3">
        <v>3</v>
      </c>
      <c r="O96" s="3">
        <v>3</v>
      </c>
      <c r="P96" s="3">
        <v>3</v>
      </c>
      <c r="Q96" s="3">
        <v>3</v>
      </c>
      <c r="R96" s="3">
        <v>3</v>
      </c>
      <c r="S96" s="3">
        <v>3</v>
      </c>
      <c r="T96" s="3">
        <v>3</v>
      </c>
      <c r="U96" s="3">
        <v>3</v>
      </c>
      <c r="V96" s="3">
        <v>0</v>
      </c>
      <c r="W96" s="3">
        <v>3</v>
      </c>
      <c r="X96" s="3">
        <v>2</v>
      </c>
      <c r="Y96" s="3">
        <v>3</v>
      </c>
      <c r="Z96" s="3">
        <v>3</v>
      </c>
      <c r="AA96" s="3">
        <v>3</v>
      </c>
      <c r="AB96" s="3">
        <v>3</v>
      </c>
      <c r="AC96" s="3">
        <v>3</v>
      </c>
      <c r="AD96" s="3">
        <v>3</v>
      </c>
      <c r="AE96" s="3">
        <v>3</v>
      </c>
      <c r="AF96" s="3">
        <v>2</v>
      </c>
      <c r="AG96" s="3">
        <v>2</v>
      </c>
      <c r="AH96" s="3">
        <v>2</v>
      </c>
      <c r="AI96" s="3">
        <v>3</v>
      </c>
      <c r="AJ96" s="3">
        <v>3</v>
      </c>
      <c r="AK96" s="3">
        <v>3</v>
      </c>
      <c r="AL96" s="3">
        <v>3</v>
      </c>
      <c r="AM96" s="3">
        <v>3</v>
      </c>
      <c r="AN96" s="3">
        <v>2</v>
      </c>
      <c r="AO96" s="3">
        <v>2</v>
      </c>
      <c r="AP96" s="3">
        <v>2</v>
      </c>
      <c r="AQ96" s="3">
        <v>2</v>
      </c>
      <c r="AR96" s="3">
        <v>2</v>
      </c>
      <c r="AS96" s="3">
        <v>2</v>
      </c>
      <c r="AT96" s="3">
        <v>2</v>
      </c>
      <c r="AU96" s="3">
        <v>3</v>
      </c>
      <c r="AV96" s="3">
        <v>3</v>
      </c>
      <c r="AW96" s="3">
        <v>3</v>
      </c>
      <c r="AX96" s="3">
        <v>3</v>
      </c>
      <c r="AY96" s="3">
        <v>3</v>
      </c>
      <c r="AZ96" s="3">
        <v>3</v>
      </c>
      <c r="BA96" s="3">
        <v>3</v>
      </c>
      <c r="BB96" s="3">
        <v>2</v>
      </c>
      <c r="BC96" s="3">
        <v>2</v>
      </c>
      <c r="BD96" s="3">
        <v>2</v>
      </c>
      <c r="BE96" s="3">
        <v>2</v>
      </c>
      <c r="BF96" s="3">
        <v>2</v>
      </c>
      <c r="BG96" s="3">
        <v>2</v>
      </c>
      <c r="BH96" s="3">
        <v>2</v>
      </c>
      <c r="BI96" s="3">
        <v>2</v>
      </c>
      <c r="BJ96" s="3">
        <v>2</v>
      </c>
      <c r="BK96" s="3">
        <v>2</v>
      </c>
      <c r="BL96" s="3">
        <v>2</v>
      </c>
      <c r="BM96" s="3" t="s">
        <v>274</v>
      </c>
      <c r="BN96" s="3">
        <v>3</v>
      </c>
      <c r="BO96" s="3">
        <v>3</v>
      </c>
      <c r="BP96" s="3">
        <v>3</v>
      </c>
      <c r="BQ96" s="3">
        <v>3</v>
      </c>
      <c r="BR96" s="3">
        <v>2</v>
      </c>
      <c r="BS96" s="3">
        <v>3</v>
      </c>
      <c r="BT96" s="3">
        <v>3</v>
      </c>
      <c r="BU96" s="2">
        <v>2</v>
      </c>
      <c r="BV96" s="2">
        <v>2</v>
      </c>
      <c r="BW96" s="2">
        <v>2</v>
      </c>
      <c r="BX96" s="2">
        <v>1</v>
      </c>
      <c r="BY96" s="2">
        <v>1</v>
      </c>
      <c r="BZ96" s="2">
        <v>0</v>
      </c>
      <c r="CA96" s="2">
        <v>1</v>
      </c>
      <c r="CB96" s="2">
        <v>3</v>
      </c>
      <c r="CC96" s="2">
        <v>1</v>
      </c>
      <c r="CD96" s="2">
        <v>1</v>
      </c>
      <c r="CE96" s="2">
        <v>1</v>
      </c>
      <c r="CF96" s="2">
        <v>1</v>
      </c>
      <c r="CG96" s="2">
        <v>0</v>
      </c>
      <c r="CH96" s="2">
        <v>0</v>
      </c>
      <c r="CI96" s="2">
        <v>0</v>
      </c>
      <c r="CJ96" s="2">
        <v>0</v>
      </c>
      <c r="CK96" s="2">
        <v>0</v>
      </c>
      <c r="CL96" s="2">
        <v>0</v>
      </c>
      <c r="CM96" s="2">
        <v>0</v>
      </c>
      <c r="CN96" s="2">
        <v>0</v>
      </c>
      <c r="CO96" s="2">
        <v>0</v>
      </c>
      <c r="CP96" s="2">
        <v>0</v>
      </c>
      <c r="CQ96" s="2">
        <v>1</v>
      </c>
      <c r="CR96" s="2">
        <v>1</v>
      </c>
      <c r="CS96" s="2">
        <v>1</v>
      </c>
      <c r="CT96" s="2">
        <v>0</v>
      </c>
      <c r="CU96" s="2">
        <v>0</v>
      </c>
      <c r="CV96" s="2">
        <v>2</v>
      </c>
      <c r="CW96" s="2">
        <v>2</v>
      </c>
      <c r="CX96" s="2">
        <v>1</v>
      </c>
      <c r="CY96" s="2">
        <v>0</v>
      </c>
      <c r="CZ96" s="2">
        <v>2</v>
      </c>
      <c r="DA96" s="2">
        <v>2</v>
      </c>
      <c r="DB96" s="2">
        <v>2</v>
      </c>
      <c r="DC96" s="2">
        <v>2</v>
      </c>
      <c r="DD96" s="2">
        <v>2</v>
      </c>
      <c r="DE96" s="2">
        <v>3</v>
      </c>
      <c r="DF96" s="2">
        <v>3</v>
      </c>
      <c r="DG96" s="2">
        <v>3</v>
      </c>
      <c r="DH96" s="2">
        <v>3</v>
      </c>
      <c r="DI96" s="2">
        <v>3</v>
      </c>
      <c r="DJ96" s="2">
        <v>3</v>
      </c>
      <c r="DK96" s="2">
        <v>3</v>
      </c>
      <c r="DL96" s="2">
        <v>2</v>
      </c>
      <c r="DM96" s="2">
        <v>2</v>
      </c>
      <c r="DN96" s="2">
        <v>2</v>
      </c>
      <c r="DO96" s="2">
        <v>2</v>
      </c>
      <c r="DP96" s="2">
        <v>2</v>
      </c>
      <c r="DQ96" s="2">
        <v>2</v>
      </c>
      <c r="DR96" s="2">
        <v>2</v>
      </c>
      <c r="DS96" s="2">
        <v>2</v>
      </c>
      <c r="DT96" s="2">
        <v>2</v>
      </c>
      <c r="DU96" s="2">
        <v>2</v>
      </c>
      <c r="DV96" s="2">
        <v>2</v>
      </c>
      <c r="DW96" s="2">
        <v>2</v>
      </c>
      <c r="DX96" s="2">
        <v>3</v>
      </c>
      <c r="DY96" s="2">
        <v>3</v>
      </c>
      <c r="DZ96" s="2">
        <v>3</v>
      </c>
      <c r="EA96" s="2">
        <v>3</v>
      </c>
      <c r="EB96" s="2">
        <v>3</v>
      </c>
      <c r="EC96" s="2">
        <v>2</v>
      </c>
      <c r="ED96" s="2">
        <v>2</v>
      </c>
      <c r="EE96" s="2">
        <v>2</v>
      </c>
      <c r="EF96" s="2">
        <v>2</v>
      </c>
      <c r="EG96" s="2">
        <v>2</v>
      </c>
      <c r="EH96" s="2">
        <v>2</v>
      </c>
      <c r="EI96" s="2">
        <v>3</v>
      </c>
      <c r="EJ96" s="2">
        <v>3</v>
      </c>
      <c r="EK96" s="2">
        <v>3</v>
      </c>
      <c r="EL96" s="2">
        <v>3</v>
      </c>
      <c r="EM96" s="2">
        <v>3</v>
      </c>
      <c r="EN96" s="2">
        <v>3</v>
      </c>
      <c r="EO96" s="2">
        <v>3</v>
      </c>
      <c r="EP96" s="2">
        <v>2</v>
      </c>
      <c r="EQ96" s="2">
        <v>2</v>
      </c>
      <c r="ER96" s="2">
        <v>2</v>
      </c>
      <c r="ES96" s="2">
        <v>2</v>
      </c>
      <c r="ET96" s="2">
        <v>2</v>
      </c>
      <c r="EU96" s="2">
        <v>2</v>
      </c>
      <c r="EV96" s="2">
        <v>2</v>
      </c>
      <c r="EW96" s="2">
        <v>2</v>
      </c>
      <c r="EX96" s="2">
        <v>2</v>
      </c>
      <c r="EY96" s="2">
        <v>2</v>
      </c>
      <c r="EZ96" s="2">
        <v>2</v>
      </c>
      <c r="FA96" s="2">
        <v>3</v>
      </c>
      <c r="FB96" s="2">
        <v>3</v>
      </c>
      <c r="FC96" s="2">
        <v>3</v>
      </c>
      <c r="FD96" s="2">
        <v>3</v>
      </c>
      <c r="FE96" s="2">
        <v>3</v>
      </c>
      <c r="FF96" s="2">
        <v>3</v>
      </c>
      <c r="FG96" s="2">
        <v>3</v>
      </c>
      <c r="FH96" s="2">
        <v>3</v>
      </c>
      <c r="FI96" s="2">
        <v>3</v>
      </c>
      <c r="FJ96" s="2">
        <v>3</v>
      </c>
      <c r="FK96" s="2">
        <v>3</v>
      </c>
      <c r="FL96" s="2">
        <v>2</v>
      </c>
      <c r="FM96" s="2">
        <v>2</v>
      </c>
      <c r="FN96" s="2">
        <v>2</v>
      </c>
      <c r="FO96" s="2">
        <v>2</v>
      </c>
      <c r="FP96" s="2">
        <v>2</v>
      </c>
      <c r="FQ96" s="2">
        <v>2</v>
      </c>
      <c r="FR96" s="2">
        <v>2</v>
      </c>
      <c r="FS96" s="2">
        <v>2</v>
      </c>
      <c r="FT96" s="2">
        <v>2</v>
      </c>
      <c r="FU96" s="2">
        <v>3</v>
      </c>
      <c r="FV96" s="2">
        <v>2</v>
      </c>
      <c r="FW96" s="2">
        <v>2</v>
      </c>
      <c r="FX96" s="2">
        <v>2</v>
      </c>
      <c r="FY96" s="2">
        <v>2</v>
      </c>
      <c r="FZ96" s="2">
        <v>2</v>
      </c>
      <c r="GA96" s="2">
        <v>2</v>
      </c>
      <c r="GB96" s="2">
        <v>2</v>
      </c>
      <c r="GC96" s="2" t="s">
        <v>274</v>
      </c>
      <c r="GD96" s="2">
        <v>2</v>
      </c>
      <c r="GE96" s="2">
        <v>2</v>
      </c>
      <c r="GF96" s="2">
        <v>2</v>
      </c>
      <c r="GG96" s="2">
        <v>2</v>
      </c>
      <c r="GH96" s="2">
        <v>2</v>
      </c>
      <c r="GI96" s="2">
        <v>2</v>
      </c>
      <c r="GJ96" s="2">
        <v>2</v>
      </c>
      <c r="GK96" s="2">
        <v>2</v>
      </c>
      <c r="GL96" s="2">
        <v>2</v>
      </c>
      <c r="GM96" s="2">
        <v>2</v>
      </c>
      <c r="GN96" s="3">
        <v>3</v>
      </c>
      <c r="GO96" s="3">
        <v>2</v>
      </c>
      <c r="GP96" s="3">
        <v>2</v>
      </c>
      <c r="GQ96" s="3">
        <v>2</v>
      </c>
      <c r="GR96" s="3">
        <v>2</v>
      </c>
      <c r="GS96" s="3">
        <v>1</v>
      </c>
      <c r="GT96" s="3">
        <v>2</v>
      </c>
      <c r="GU96" s="3">
        <v>1</v>
      </c>
      <c r="GV96" s="3">
        <v>1</v>
      </c>
      <c r="GW96" s="3">
        <v>2</v>
      </c>
      <c r="GX96" s="3">
        <v>2</v>
      </c>
      <c r="GY96" s="3">
        <v>3</v>
      </c>
      <c r="GZ96" s="3">
        <v>2</v>
      </c>
      <c r="HA96" s="3">
        <v>2</v>
      </c>
      <c r="HB96" s="3">
        <v>2</v>
      </c>
      <c r="HC96" s="3">
        <v>1</v>
      </c>
      <c r="HD96" s="3">
        <v>1</v>
      </c>
      <c r="HE96" s="3">
        <v>2</v>
      </c>
      <c r="HF96" s="3">
        <v>2</v>
      </c>
      <c r="HG96" s="3">
        <v>2</v>
      </c>
      <c r="HH96" s="3">
        <v>3</v>
      </c>
      <c r="HI96" s="3">
        <v>3</v>
      </c>
      <c r="HJ96" s="3">
        <v>3</v>
      </c>
      <c r="HK96" s="3">
        <v>2</v>
      </c>
      <c r="HL96" s="3">
        <v>1</v>
      </c>
      <c r="HM96" s="3">
        <v>2</v>
      </c>
      <c r="HN96" s="3">
        <v>3</v>
      </c>
      <c r="HO96" s="3">
        <v>3</v>
      </c>
      <c r="HP96" s="3">
        <v>3</v>
      </c>
      <c r="HQ96" s="3">
        <v>2</v>
      </c>
      <c r="HR96" s="3">
        <v>1</v>
      </c>
      <c r="HS96" s="3">
        <v>1</v>
      </c>
      <c r="HT96" s="3">
        <v>1</v>
      </c>
      <c r="HU96" s="3">
        <v>1</v>
      </c>
      <c r="HV96" s="3">
        <v>3</v>
      </c>
      <c r="HW96" s="3">
        <v>3</v>
      </c>
      <c r="HX96" s="3">
        <v>2</v>
      </c>
      <c r="HY96" s="3">
        <v>2</v>
      </c>
      <c r="HZ96" s="3">
        <v>2</v>
      </c>
      <c r="IA96" s="3">
        <v>2</v>
      </c>
      <c r="IB96" s="3">
        <v>2</v>
      </c>
      <c r="IC96" s="3">
        <v>2</v>
      </c>
      <c r="ID96" s="3">
        <v>2</v>
      </c>
      <c r="IE96" s="3">
        <v>3</v>
      </c>
      <c r="IF96" s="3">
        <v>2</v>
      </c>
      <c r="IG96" s="3">
        <v>1</v>
      </c>
      <c r="IH96" s="3">
        <v>0</v>
      </c>
      <c r="II96" s="3">
        <v>2</v>
      </c>
      <c r="IJ96" s="3">
        <v>1</v>
      </c>
      <c r="IK96" s="3">
        <v>1</v>
      </c>
      <c r="IL96" s="3">
        <v>1</v>
      </c>
      <c r="IM96" s="3">
        <v>2</v>
      </c>
      <c r="IN96" s="3">
        <v>2</v>
      </c>
      <c r="IO96" s="3">
        <v>4</v>
      </c>
      <c r="IP96" s="3">
        <v>2</v>
      </c>
      <c r="IQ96" s="3">
        <v>2</v>
      </c>
      <c r="IR96" s="3" t="s">
        <v>274</v>
      </c>
      <c r="IS96" s="3">
        <v>2</v>
      </c>
      <c r="IT96" s="3">
        <v>2</v>
      </c>
      <c r="IU96" s="3">
        <v>2</v>
      </c>
      <c r="IV96" s="3">
        <v>2</v>
      </c>
      <c r="IW96" s="3">
        <v>2</v>
      </c>
      <c r="IX96" s="3">
        <v>2</v>
      </c>
      <c r="IY96" s="3">
        <v>2</v>
      </c>
      <c r="IZ96" s="2" t="s">
        <v>268</v>
      </c>
      <c r="JA96" s="2" t="s">
        <v>274</v>
      </c>
    </row>
    <row r="97" spans="1:261" ht="13.2" x14ac:dyDescent="0.25">
      <c r="A97" s="10" t="s">
        <v>274</v>
      </c>
      <c r="B97" s="2" t="s">
        <v>779</v>
      </c>
      <c r="C97" s="2" t="s">
        <v>276</v>
      </c>
      <c r="D97" s="2" t="s">
        <v>373</v>
      </c>
      <c r="E97" s="2">
        <v>31</v>
      </c>
      <c r="F97" s="11" t="s">
        <v>780</v>
      </c>
      <c r="G97" s="11" t="s">
        <v>781</v>
      </c>
      <c r="H97" s="2" t="s">
        <v>782</v>
      </c>
      <c r="I97" s="3">
        <v>4</v>
      </c>
      <c r="J97" s="3">
        <v>2</v>
      </c>
      <c r="K97" s="3">
        <v>4</v>
      </c>
      <c r="L97" s="3">
        <v>3</v>
      </c>
      <c r="M97" s="3">
        <v>1</v>
      </c>
      <c r="N97" s="3">
        <v>3</v>
      </c>
      <c r="O97" s="3">
        <v>3</v>
      </c>
      <c r="P97" s="3">
        <v>0</v>
      </c>
      <c r="Q97" s="3">
        <v>2</v>
      </c>
      <c r="R97" s="3">
        <v>1</v>
      </c>
      <c r="S97" s="3">
        <v>0</v>
      </c>
      <c r="T97" s="3">
        <v>1</v>
      </c>
      <c r="U97" s="3">
        <v>2</v>
      </c>
      <c r="V97" s="3">
        <v>0</v>
      </c>
      <c r="W97" s="3">
        <v>2</v>
      </c>
      <c r="X97" s="3">
        <v>2</v>
      </c>
      <c r="Y97" s="3">
        <v>3</v>
      </c>
      <c r="Z97" s="3">
        <v>3</v>
      </c>
      <c r="AA97" s="3">
        <v>1</v>
      </c>
      <c r="AB97" s="3">
        <v>1</v>
      </c>
      <c r="AC97" s="3">
        <v>1</v>
      </c>
      <c r="AD97" s="3">
        <v>1</v>
      </c>
      <c r="AE97" s="3">
        <v>2</v>
      </c>
      <c r="AF97" s="3">
        <v>0</v>
      </c>
      <c r="AG97" s="3">
        <v>0</v>
      </c>
      <c r="AH97" s="3">
        <v>0</v>
      </c>
      <c r="AI97" s="3">
        <v>2</v>
      </c>
      <c r="AJ97" s="3">
        <v>3</v>
      </c>
      <c r="AK97" s="3">
        <v>3</v>
      </c>
      <c r="AL97" s="3">
        <v>2</v>
      </c>
      <c r="AM97" s="3">
        <v>0</v>
      </c>
      <c r="AN97" s="3">
        <v>0</v>
      </c>
      <c r="AO97" s="3">
        <v>2</v>
      </c>
      <c r="AP97" s="3">
        <v>3</v>
      </c>
      <c r="AQ97" s="3">
        <v>1</v>
      </c>
      <c r="AR97" s="3">
        <v>2</v>
      </c>
      <c r="AS97" s="3">
        <v>1</v>
      </c>
      <c r="AT97" s="3">
        <v>1</v>
      </c>
      <c r="AU97" s="3">
        <v>1</v>
      </c>
      <c r="AV97" s="3">
        <v>1</v>
      </c>
      <c r="AW97" s="3">
        <v>3</v>
      </c>
      <c r="AX97" s="3">
        <v>1</v>
      </c>
      <c r="AY97" s="3">
        <v>2</v>
      </c>
      <c r="AZ97" s="3">
        <v>3</v>
      </c>
      <c r="BA97" s="3">
        <v>2</v>
      </c>
      <c r="BB97" s="3">
        <v>4</v>
      </c>
      <c r="BC97" s="3">
        <v>3</v>
      </c>
      <c r="BD97" s="3">
        <v>4</v>
      </c>
      <c r="BE97" s="3">
        <v>3</v>
      </c>
      <c r="BF97" s="3">
        <v>3</v>
      </c>
      <c r="BG97" s="3">
        <v>3</v>
      </c>
      <c r="BH97" s="3">
        <v>3</v>
      </c>
      <c r="BI97" s="3">
        <v>3</v>
      </c>
      <c r="BJ97" s="3">
        <v>3</v>
      </c>
      <c r="BK97" s="3">
        <v>2</v>
      </c>
      <c r="BL97" s="3">
        <v>2</v>
      </c>
      <c r="BM97" s="3" t="s">
        <v>274</v>
      </c>
      <c r="BN97" s="3">
        <v>3</v>
      </c>
      <c r="BO97" s="3">
        <v>2</v>
      </c>
      <c r="BP97" s="3">
        <v>0</v>
      </c>
      <c r="BQ97" s="3">
        <v>3</v>
      </c>
      <c r="BR97" s="3">
        <v>2</v>
      </c>
      <c r="BS97" s="3">
        <v>1</v>
      </c>
      <c r="BT97" s="3">
        <v>2</v>
      </c>
      <c r="BU97" s="2">
        <v>2</v>
      </c>
      <c r="BV97" s="2">
        <v>1</v>
      </c>
      <c r="BW97" s="2">
        <v>3</v>
      </c>
      <c r="BX97" s="2">
        <v>2</v>
      </c>
      <c r="BY97" s="2">
        <v>1</v>
      </c>
      <c r="BZ97" s="2">
        <v>1</v>
      </c>
      <c r="CA97" s="2">
        <v>1</v>
      </c>
      <c r="CB97" s="2">
        <v>3</v>
      </c>
      <c r="CC97" s="2">
        <v>3</v>
      </c>
      <c r="CD97" s="2">
        <v>2</v>
      </c>
      <c r="CE97" s="2">
        <v>1</v>
      </c>
      <c r="CF97" s="2">
        <v>2</v>
      </c>
      <c r="CG97" s="2">
        <v>1</v>
      </c>
      <c r="CH97" s="2">
        <v>1</v>
      </c>
      <c r="CI97" s="2">
        <v>2</v>
      </c>
      <c r="CJ97" s="2">
        <v>1</v>
      </c>
      <c r="CK97" s="2">
        <v>1</v>
      </c>
      <c r="CL97" s="2">
        <v>2</v>
      </c>
      <c r="CM97" s="2">
        <v>2</v>
      </c>
      <c r="CN97" s="2">
        <v>2</v>
      </c>
      <c r="CO97" s="2">
        <v>1</v>
      </c>
      <c r="CP97" s="2">
        <v>1</v>
      </c>
      <c r="CQ97" s="2">
        <v>2</v>
      </c>
      <c r="CR97" s="2">
        <v>1</v>
      </c>
      <c r="CS97" s="2">
        <v>2</v>
      </c>
      <c r="CT97" s="2">
        <v>3</v>
      </c>
      <c r="CU97" s="2">
        <v>1</v>
      </c>
      <c r="CV97" s="2">
        <v>1</v>
      </c>
      <c r="CW97" s="2">
        <v>2</v>
      </c>
      <c r="CX97" s="2">
        <v>1</v>
      </c>
      <c r="CY97" s="2">
        <v>1</v>
      </c>
      <c r="CZ97" s="2">
        <v>2</v>
      </c>
      <c r="DA97" s="2">
        <v>3</v>
      </c>
      <c r="DB97" s="2">
        <v>3</v>
      </c>
      <c r="DC97" s="2">
        <v>1</v>
      </c>
      <c r="DD97" s="2">
        <v>1</v>
      </c>
      <c r="DE97" s="2">
        <v>1</v>
      </c>
      <c r="DF97" s="2">
        <v>1</v>
      </c>
      <c r="DG97" s="2">
        <v>2</v>
      </c>
      <c r="DH97" s="2">
        <v>3</v>
      </c>
      <c r="DI97" s="2">
        <v>4</v>
      </c>
      <c r="DJ97" s="2">
        <v>3</v>
      </c>
      <c r="DK97" s="2">
        <v>2</v>
      </c>
      <c r="DL97" s="2">
        <v>1</v>
      </c>
      <c r="DM97" s="2">
        <v>1</v>
      </c>
      <c r="DN97" s="2">
        <v>2</v>
      </c>
      <c r="DO97" s="2">
        <v>1</v>
      </c>
      <c r="DP97" s="2">
        <v>1</v>
      </c>
      <c r="DQ97" s="2">
        <v>0</v>
      </c>
      <c r="DR97" s="2">
        <v>0</v>
      </c>
      <c r="DS97" s="2">
        <v>2</v>
      </c>
      <c r="DT97" s="2">
        <v>2</v>
      </c>
      <c r="DU97" s="2">
        <v>1</v>
      </c>
      <c r="DV97" s="2">
        <v>1</v>
      </c>
      <c r="DW97" s="2">
        <v>1</v>
      </c>
      <c r="DX97" s="2">
        <v>2</v>
      </c>
      <c r="DY97" s="2">
        <v>2</v>
      </c>
      <c r="DZ97" s="2">
        <v>3</v>
      </c>
      <c r="EA97" s="2">
        <v>2</v>
      </c>
      <c r="EB97" s="2">
        <v>0</v>
      </c>
      <c r="EC97" s="2">
        <v>0</v>
      </c>
      <c r="ED97" s="2">
        <v>0</v>
      </c>
      <c r="EE97" s="2">
        <v>0</v>
      </c>
      <c r="EF97" s="2">
        <v>0</v>
      </c>
      <c r="EG97" s="2">
        <v>0</v>
      </c>
      <c r="EH97" s="2">
        <v>0</v>
      </c>
      <c r="EI97" s="2">
        <v>2</v>
      </c>
      <c r="EJ97" s="2">
        <v>1</v>
      </c>
      <c r="EK97" s="2">
        <v>3</v>
      </c>
      <c r="EL97" s="2">
        <v>3</v>
      </c>
      <c r="EM97" s="2">
        <v>1</v>
      </c>
      <c r="EN97" s="2">
        <v>0</v>
      </c>
      <c r="EO97" s="2">
        <v>0</v>
      </c>
      <c r="EP97" s="2">
        <v>0</v>
      </c>
      <c r="EQ97" s="2">
        <v>0</v>
      </c>
      <c r="ER97" s="2">
        <v>0</v>
      </c>
      <c r="ES97" s="2">
        <v>0</v>
      </c>
      <c r="ET97" s="2">
        <v>0</v>
      </c>
      <c r="EU97" s="2">
        <v>3</v>
      </c>
      <c r="EV97" s="2">
        <v>1</v>
      </c>
      <c r="EW97" s="2">
        <v>3</v>
      </c>
      <c r="EX97" s="2">
        <v>2</v>
      </c>
      <c r="EY97" s="2">
        <v>2</v>
      </c>
      <c r="EZ97" s="2">
        <v>1</v>
      </c>
      <c r="FA97" s="2">
        <v>2</v>
      </c>
      <c r="FB97" s="2">
        <v>1</v>
      </c>
      <c r="FC97" s="2">
        <v>1</v>
      </c>
      <c r="FD97" s="2">
        <v>3</v>
      </c>
      <c r="FE97" s="2">
        <v>2</v>
      </c>
      <c r="FF97" s="2">
        <v>2</v>
      </c>
      <c r="FG97" s="2">
        <v>1</v>
      </c>
      <c r="FH97" s="2">
        <v>1</v>
      </c>
      <c r="FI97" s="2">
        <v>1</v>
      </c>
      <c r="FJ97" s="2">
        <v>1</v>
      </c>
      <c r="FK97" s="2">
        <v>3</v>
      </c>
      <c r="FL97" s="2">
        <v>4</v>
      </c>
      <c r="FM97" s="2">
        <v>3</v>
      </c>
      <c r="FN97" s="2">
        <v>3</v>
      </c>
      <c r="FO97" s="2">
        <v>2</v>
      </c>
      <c r="FP97" s="2">
        <v>2</v>
      </c>
      <c r="FQ97" s="2">
        <v>4</v>
      </c>
      <c r="FR97" s="2">
        <v>4</v>
      </c>
      <c r="FS97" s="2">
        <v>4</v>
      </c>
      <c r="FT97" s="2">
        <v>3</v>
      </c>
      <c r="FU97" s="2">
        <v>3</v>
      </c>
      <c r="FV97" s="2">
        <v>1</v>
      </c>
      <c r="FW97" s="2">
        <v>2</v>
      </c>
      <c r="FX97" s="2">
        <v>2</v>
      </c>
      <c r="FY97" s="2">
        <v>2</v>
      </c>
      <c r="FZ97" s="2">
        <v>2</v>
      </c>
      <c r="GA97" s="2">
        <v>1</v>
      </c>
      <c r="GB97" s="2">
        <v>2</v>
      </c>
      <c r="GC97" s="2" t="s">
        <v>783</v>
      </c>
      <c r="GD97" s="2">
        <v>3</v>
      </c>
      <c r="GE97" s="2">
        <v>3</v>
      </c>
      <c r="GF97" s="2">
        <v>3</v>
      </c>
      <c r="GG97" s="2">
        <v>3</v>
      </c>
      <c r="GH97" s="2">
        <v>3</v>
      </c>
      <c r="GI97" s="2">
        <v>4</v>
      </c>
      <c r="GJ97" s="2">
        <v>3</v>
      </c>
      <c r="GK97" s="2">
        <v>4</v>
      </c>
      <c r="GL97" s="2">
        <v>2</v>
      </c>
      <c r="GM97" s="2">
        <v>3</v>
      </c>
      <c r="GN97" s="3">
        <v>4</v>
      </c>
      <c r="GO97" s="3">
        <v>4</v>
      </c>
      <c r="GP97" s="3">
        <v>2</v>
      </c>
      <c r="GQ97" s="3">
        <v>4</v>
      </c>
      <c r="GR97" s="3">
        <v>4</v>
      </c>
      <c r="GS97" s="3">
        <v>4</v>
      </c>
      <c r="GT97" s="3">
        <v>0</v>
      </c>
      <c r="GU97" s="3">
        <v>3</v>
      </c>
      <c r="GV97" s="3">
        <v>3</v>
      </c>
      <c r="GW97" s="3">
        <v>2</v>
      </c>
      <c r="GX97" s="3">
        <v>3</v>
      </c>
      <c r="GY97" s="3">
        <v>2</v>
      </c>
      <c r="GZ97" s="3">
        <v>3</v>
      </c>
      <c r="HA97" s="3">
        <v>3</v>
      </c>
      <c r="HB97" s="3">
        <v>4</v>
      </c>
      <c r="HC97" s="3">
        <v>3</v>
      </c>
      <c r="HD97" s="3">
        <v>3</v>
      </c>
      <c r="HE97" s="3">
        <v>2</v>
      </c>
      <c r="HF97" s="3">
        <v>3</v>
      </c>
      <c r="HG97" s="3">
        <v>1</v>
      </c>
      <c r="HH97" s="3">
        <v>3</v>
      </c>
      <c r="HI97" s="3">
        <v>3</v>
      </c>
      <c r="HJ97" s="3">
        <v>2</v>
      </c>
      <c r="HK97" s="3">
        <v>4</v>
      </c>
      <c r="HL97" s="3">
        <v>3</v>
      </c>
      <c r="HM97" s="3">
        <v>2</v>
      </c>
      <c r="HN97" s="3">
        <v>1</v>
      </c>
      <c r="HO97" s="3">
        <v>3</v>
      </c>
      <c r="HP97" s="3">
        <v>1</v>
      </c>
      <c r="HQ97" s="3">
        <v>3</v>
      </c>
      <c r="HR97" s="3">
        <v>1</v>
      </c>
      <c r="HS97" s="3">
        <v>1</v>
      </c>
      <c r="HT97" s="3">
        <v>1</v>
      </c>
      <c r="HU97" s="3">
        <v>1</v>
      </c>
      <c r="HV97" s="3">
        <v>4</v>
      </c>
      <c r="HW97" s="3">
        <v>2</v>
      </c>
      <c r="HX97" s="3">
        <v>1</v>
      </c>
      <c r="HY97" s="3">
        <v>1</v>
      </c>
      <c r="HZ97" s="3">
        <v>1</v>
      </c>
      <c r="IA97" s="3">
        <v>3</v>
      </c>
      <c r="IB97" s="3">
        <v>3</v>
      </c>
      <c r="IC97" s="3">
        <v>2</v>
      </c>
      <c r="ID97" s="3">
        <v>4</v>
      </c>
      <c r="IE97" s="3">
        <v>2</v>
      </c>
      <c r="IF97" s="3">
        <v>3</v>
      </c>
      <c r="IG97" s="3">
        <v>2</v>
      </c>
      <c r="IH97" s="3">
        <v>1</v>
      </c>
      <c r="II97" s="3">
        <v>1</v>
      </c>
      <c r="IJ97" s="3">
        <v>2</v>
      </c>
      <c r="IK97" s="3">
        <v>2</v>
      </c>
      <c r="IL97" s="3">
        <v>1</v>
      </c>
      <c r="IM97" s="3">
        <v>3</v>
      </c>
      <c r="IN97" s="3">
        <v>2</v>
      </c>
      <c r="IO97" s="3">
        <v>4</v>
      </c>
      <c r="IP97" s="3">
        <v>4</v>
      </c>
      <c r="IQ97" s="3">
        <v>3</v>
      </c>
      <c r="IR97" s="3" t="s">
        <v>784</v>
      </c>
      <c r="IS97" s="3">
        <v>4</v>
      </c>
      <c r="IT97" s="3">
        <v>4</v>
      </c>
      <c r="IU97" s="3">
        <v>2</v>
      </c>
      <c r="IV97" s="3">
        <v>3</v>
      </c>
      <c r="IW97" s="3">
        <v>4</v>
      </c>
      <c r="IX97" s="3">
        <v>2</v>
      </c>
      <c r="IY97" s="3">
        <v>4</v>
      </c>
      <c r="IZ97" s="2" t="s">
        <v>268</v>
      </c>
      <c r="JA97" s="2" t="s">
        <v>274</v>
      </c>
    </row>
    <row r="98" spans="1:261" ht="13.2" x14ac:dyDescent="0.25">
      <c r="A98" s="10" t="s">
        <v>274</v>
      </c>
      <c r="B98" s="2" t="s">
        <v>785</v>
      </c>
      <c r="C98" s="2" t="s">
        <v>276</v>
      </c>
      <c r="D98" s="2" t="s">
        <v>270</v>
      </c>
      <c r="E98" s="2">
        <v>20</v>
      </c>
      <c r="F98" s="11" t="s">
        <v>786</v>
      </c>
      <c r="G98" s="11" t="s">
        <v>781</v>
      </c>
      <c r="H98" s="2" t="s">
        <v>787</v>
      </c>
      <c r="I98" s="3">
        <v>3</v>
      </c>
      <c r="J98" s="3">
        <v>3</v>
      </c>
      <c r="K98" s="3">
        <v>1</v>
      </c>
      <c r="L98" s="3">
        <v>3</v>
      </c>
      <c r="M98" s="3">
        <v>3</v>
      </c>
      <c r="N98" s="3">
        <v>4</v>
      </c>
      <c r="O98" s="3">
        <v>3</v>
      </c>
      <c r="P98" s="3">
        <v>3</v>
      </c>
      <c r="Q98" s="3">
        <v>2</v>
      </c>
      <c r="R98" s="3">
        <v>1</v>
      </c>
      <c r="S98" s="3">
        <v>0</v>
      </c>
      <c r="T98" s="3">
        <v>0</v>
      </c>
      <c r="U98" s="3">
        <v>0</v>
      </c>
      <c r="V98" s="3">
        <v>1</v>
      </c>
      <c r="W98" s="3">
        <v>3</v>
      </c>
      <c r="X98" s="3">
        <v>1</v>
      </c>
      <c r="Y98" s="3">
        <v>2</v>
      </c>
      <c r="Z98" s="3">
        <v>2</v>
      </c>
      <c r="AA98" s="3">
        <v>2</v>
      </c>
      <c r="AB98" s="3">
        <v>1</v>
      </c>
      <c r="AC98" s="3">
        <v>2</v>
      </c>
      <c r="AD98" s="3">
        <v>2</v>
      </c>
      <c r="AE98" s="3">
        <v>3</v>
      </c>
      <c r="AF98" s="3">
        <v>0</v>
      </c>
      <c r="AG98" s="3">
        <v>3</v>
      </c>
      <c r="AH98" s="3">
        <v>3</v>
      </c>
      <c r="AI98" s="3">
        <v>4</v>
      </c>
      <c r="AJ98" s="3">
        <v>4</v>
      </c>
      <c r="AK98" s="3">
        <v>3</v>
      </c>
      <c r="AL98" s="3">
        <v>3</v>
      </c>
      <c r="AM98" s="3">
        <v>3</v>
      </c>
      <c r="AN98" s="3">
        <v>1</v>
      </c>
      <c r="AO98" s="3">
        <v>4</v>
      </c>
      <c r="AP98" s="3">
        <v>2</v>
      </c>
      <c r="AQ98" s="3">
        <v>0</v>
      </c>
      <c r="AR98" s="3">
        <v>3</v>
      </c>
      <c r="AS98" s="3">
        <v>2</v>
      </c>
      <c r="AT98" s="3">
        <v>1</v>
      </c>
      <c r="AU98" s="3">
        <v>2</v>
      </c>
      <c r="AV98" s="3">
        <v>2</v>
      </c>
      <c r="AW98" s="3">
        <v>1</v>
      </c>
      <c r="AX98" s="3">
        <v>0</v>
      </c>
      <c r="AY98" s="3">
        <v>0</v>
      </c>
      <c r="AZ98" s="3">
        <v>2</v>
      </c>
      <c r="BA98" s="3">
        <v>0</v>
      </c>
      <c r="BB98" s="3">
        <v>4</v>
      </c>
      <c r="BC98" s="3">
        <v>1</v>
      </c>
      <c r="BD98" s="3">
        <v>4</v>
      </c>
      <c r="BE98" s="3">
        <v>4</v>
      </c>
      <c r="BF98" s="3">
        <v>3</v>
      </c>
      <c r="BG98" s="3">
        <v>3</v>
      </c>
      <c r="BH98" s="3">
        <v>4</v>
      </c>
      <c r="BI98" s="3">
        <v>4</v>
      </c>
      <c r="BJ98" s="3">
        <v>3</v>
      </c>
      <c r="BK98" s="3">
        <v>3</v>
      </c>
      <c r="BL98" s="3">
        <v>0</v>
      </c>
      <c r="BM98" s="3" t="s">
        <v>274</v>
      </c>
      <c r="BN98" s="3">
        <v>4</v>
      </c>
      <c r="BO98" s="3">
        <v>3</v>
      </c>
      <c r="BP98" s="3">
        <v>3</v>
      </c>
      <c r="BQ98" s="3">
        <v>4</v>
      </c>
      <c r="BR98" s="3">
        <v>4</v>
      </c>
      <c r="BS98" s="3">
        <v>3</v>
      </c>
      <c r="BT98" s="3">
        <v>1</v>
      </c>
      <c r="BU98" s="2">
        <v>2</v>
      </c>
      <c r="BV98" s="2">
        <v>0</v>
      </c>
      <c r="BW98" s="2">
        <v>3</v>
      </c>
      <c r="BX98" s="2">
        <v>1</v>
      </c>
      <c r="BY98" s="2">
        <v>2</v>
      </c>
      <c r="BZ98" s="2">
        <v>0</v>
      </c>
      <c r="CA98" s="2">
        <v>0</v>
      </c>
      <c r="CB98" s="2">
        <v>1</v>
      </c>
      <c r="CC98" s="2">
        <v>1</v>
      </c>
      <c r="CD98" s="2">
        <v>0</v>
      </c>
      <c r="CE98" s="2">
        <v>0</v>
      </c>
      <c r="CF98" s="2">
        <v>2</v>
      </c>
      <c r="CG98" s="2">
        <v>0</v>
      </c>
      <c r="CH98" s="2">
        <v>0</v>
      </c>
      <c r="CI98" s="2">
        <v>3</v>
      </c>
      <c r="CJ98" s="2">
        <v>0</v>
      </c>
      <c r="CK98" s="2">
        <v>1</v>
      </c>
      <c r="CL98" s="2">
        <v>3</v>
      </c>
      <c r="CM98" s="2">
        <v>2</v>
      </c>
      <c r="CN98" s="2">
        <v>0</v>
      </c>
      <c r="CO98" s="2">
        <v>0</v>
      </c>
      <c r="CP98" s="2">
        <v>0</v>
      </c>
      <c r="CQ98" s="2">
        <v>3</v>
      </c>
      <c r="CR98" s="2">
        <v>3</v>
      </c>
      <c r="CS98" s="2">
        <v>1</v>
      </c>
      <c r="CT98" s="2">
        <v>3</v>
      </c>
      <c r="CU98" s="2">
        <v>0</v>
      </c>
      <c r="CV98" s="2">
        <v>3</v>
      </c>
      <c r="CW98" s="2">
        <v>3</v>
      </c>
      <c r="CX98" s="2">
        <v>0</v>
      </c>
      <c r="CY98" s="2">
        <v>0</v>
      </c>
      <c r="CZ98" s="2">
        <v>2</v>
      </c>
      <c r="DA98" s="2">
        <v>3</v>
      </c>
      <c r="DB98" s="2">
        <v>2</v>
      </c>
      <c r="DC98" s="2">
        <v>0</v>
      </c>
      <c r="DD98" s="2">
        <v>0</v>
      </c>
      <c r="DE98" s="2">
        <v>1</v>
      </c>
      <c r="DF98" s="2">
        <v>4</v>
      </c>
      <c r="DG98" s="2">
        <v>3</v>
      </c>
      <c r="DH98" s="2">
        <v>4</v>
      </c>
      <c r="DI98" s="2">
        <v>2</v>
      </c>
      <c r="DJ98" s="2">
        <v>0</v>
      </c>
      <c r="DK98" s="2">
        <v>2</v>
      </c>
      <c r="DL98" s="2">
        <v>3</v>
      </c>
      <c r="DM98" s="2">
        <v>1</v>
      </c>
      <c r="DN98" s="2">
        <v>0</v>
      </c>
      <c r="DO98" s="2">
        <v>0</v>
      </c>
      <c r="DP98" s="2">
        <v>3</v>
      </c>
      <c r="DQ98" s="2">
        <v>3</v>
      </c>
      <c r="DR98" s="2">
        <v>1</v>
      </c>
      <c r="DS98" s="2">
        <v>3</v>
      </c>
      <c r="DT98" s="2">
        <v>3</v>
      </c>
      <c r="DU98" s="2">
        <v>0</v>
      </c>
      <c r="DV98" s="2">
        <v>0</v>
      </c>
      <c r="DW98" s="2">
        <v>0</v>
      </c>
      <c r="DX98" s="2">
        <v>2</v>
      </c>
      <c r="DY98" s="2">
        <v>3</v>
      </c>
      <c r="DZ98" s="2">
        <v>1</v>
      </c>
      <c r="EA98" s="2">
        <v>0</v>
      </c>
      <c r="EB98" s="2">
        <v>2</v>
      </c>
      <c r="EC98" s="2">
        <v>1</v>
      </c>
      <c r="ED98" s="2">
        <v>1</v>
      </c>
      <c r="EE98" s="2">
        <v>4</v>
      </c>
      <c r="EF98" s="2">
        <v>3</v>
      </c>
      <c r="EG98" s="2">
        <v>0</v>
      </c>
      <c r="EH98" s="2">
        <v>0</v>
      </c>
      <c r="EI98" s="2">
        <v>3</v>
      </c>
      <c r="EJ98" s="2">
        <v>4</v>
      </c>
      <c r="EK98" s="2">
        <v>4</v>
      </c>
      <c r="EL98" s="2">
        <v>2</v>
      </c>
      <c r="EM98" s="2">
        <v>0</v>
      </c>
      <c r="EN98" s="2">
        <v>0</v>
      </c>
      <c r="EO98" s="2">
        <v>3</v>
      </c>
      <c r="EP98" s="2">
        <v>0</v>
      </c>
      <c r="EQ98" s="2">
        <v>2</v>
      </c>
      <c r="ER98" s="2">
        <v>0</v>
      </c>
      <c r="ES98" s="2">
        <v>1</v>
      </c>
      <c r="ET98" s="2">
        <v>0</v>
      </c>
      <c r="EU98" s="2">
        <v>0</v>
      </c>
      <c r="EV98" s="2">
        <v>2</v>
      </c>
      <c r="EW98" s="2">
        <v>3</v>
      </c>
      <c r="EX98" s="2">
        <v>4</v>
      </c>
      <c r="EY98" s="2">
        <v>4</v>
      </c>
      <c r="EZ98" s="2">
        <v>0</v>
      </c>
      <c r="FA98" s="2">
        <v>0</v>
      </c>
      <c r="FB98" s="2">
        <v>1</v>
      </c>
      <c r="FC98" s="2">
        <v>1</v>
      </c>
      <c r="FD98" s="2">
        <v>0</v>
      </c>
      <c r="FE98" s="2">
        <v>1</v>
      </c>
      <c r="FF98" s="2">
        <v>3</v>
      </c>
      <c r="FG98" s="2">
        <v>1</v>
      </c>
      <c r="FH98" s="2">
        <v>0</v>
      </c>
      <c r="FI98" s="2">
        <v>3</v>
      </c>
      <c r="FJ98" s="2">
        <v>0</v>
      </c>
      <c r="FK98" s="2">
        <v>1</v>
      </c>
      <c r="FL98" s="2">
        <v>4</v>
      </c>
      <c r="FM98" s="2">
        <v>3</v>
      </c>
      <c r="FN98" s="2">
        <v>0</v>
      </c>
      <c r="FO98" s="2">
        <v>0</v>
      </c>
      <c r="FP98" s="2">
        <v>0</v>
      </c>
      <c r="FQ98" s="2">
        <v>4</v>
      </c>
      <c r="FR98" s="2">
        <v>3</v>
      </c>
      <c r="FS98" s="2">
        <v>4</v>
      </c>
      <c r="FT98" s="2">
        <v>0</v>
      </c>
      <c r="FU98" s="2">
        <v>1</v>
      </c>
      <c r="FV98" s="2">
        <v>3</v>
      </c>
      <c r="FW98" s="2">
        <v>3</v>
      </c>
      <c r="FX98" s="2">
        <v>2</v>
      </c>
      <c r="FY98" s="2">
        <v>4</v>
      </c>
      <c r="FZ98" s="2">
        <v>0</v>
      </c>
      <c r="GA98" s="2">
        <v>0</v>
      </c>
      <c r="GB98" s="2">
        <v>0</v>
      </c>
      <c r="GC98" s="2" t="s">
        <v>274</v>
      </c>
      <c r="GD98" s="2">
        <v>3</v>
      </c>
      <c r="GE98" s="2">
        <v>1</v>
      </c>
      <c r="GF98" s="2">
        <v>2</v>
      </c>
      <c r="GG98" s="2">
        <v>3</v>
      </c>
      <c r="GH98" s="2">
        <v>4</v>
      </c>
      <c r="GI98" s="2">
        <v>3</v>
      </c>
      <c r="GJ98" s="2">
        <v>4</v>
      </c>
      <c r="GK98" s="2">
        <v>0</v>
      </c>
      <c r="GL98" s="2">
        <v>0</v>
      </c>
      <c r="GM98" s="2">
        <v>1</v>
      </c>
      <c r="GN98" s="3">
        <v>0</v>
      </c>
      <c r="GO98" s="3">
        <v>0</v>
      </c>
      <c r="GP98" s="3">
        <v>2</v>
      </c>
      <c r="GQ98" s="3">
        <v>0</v>
      </c>
      <c r="GR98" s="3">
        <v>1</v>
      </c>
      <c r="GS98" s="3">
        <v>2</v>
      </c>
      <c r="GT98" s="3">
        <v>0</v>
      </c>
      <c r="GU98" s="3">
        <v>3</v>
      </c>
      <c r="GV98" s="3">
        <v>0</v>
      </c>
      <c r="GW98" s="3">
        <v>0</v>
      </c>
      <c r="GX98" s="3">
        <v>3</v>
      </c>
      <c r="GY98" s="3">
        <v>3</v>
      </c>
      <c r="GZ98" s="3">
        <v>0</v>
      </c>
      <c r="HA98" s="3">
        <v>3</v>
      </c>
      <c r="HB98" s="3">
        <v>1</v>
      </c>
      <c r="HC98" s="3">
        <v>1</v>
      </c>
      <c r="HD98" s="3">
        <v>0</v>
      </c>
      <c r="HE98" s="3">
        <v>0</v>
      </c>
      <c r="HF98" s="3">
        <v>2</v>
      </c>
      <c r="HG98" s="3">
        <v>0</v>
      </c>
      <c r="HH98" s="3">
        <v>2</v>
      </c>
      <c r="HI98" s="3">
        <v>0</v>
      </c>
      <c r="HJ98" s="3">
        <v>3</v>
      </c>
      <c r="HK98" s="3">
        <v>0</v>
      </c>
      <c r="HL98" s="3">
        <v>0</v>
      </c>
      <c r="HM98" s="3">
        <v>2</v>
      </c>
      <c r="HN98" s="3">
        <v>0</v>
      </c>
      <c r="HO98" s="3">
        <v>0</v>
      </c>
      <c r="HP98" s="3">
        <v>0</v>
      </c>
      <c r="HQ98" s="3">
        <v>0</v>
      </c>
      <c r="HR98" s="3">
        <v>0</v>
      </c>
      <c r="HS98" s="3">
        <v>0</v>
      </c>
      <c r="HT98" s="3">
        <v>0</v>
      </c>
      <c r="HU98" s="3">
        <v>0</v>
      </c>
      <c r="HV98" s="3">
        <v>4</v>
      </c>
      <c r="HW98" s="3">
        <v>3</v>
      </c>
      <c r="HX98" s="3">
        <v>0</v>
      </c>
      <c r="HY98" s="3">
        <v>0</v>
      </c>
      <c r="HZ98" s="3">
        <v>1</v>
      </c>
      <c r="IA98" s="3">
        <v>0</v>
      </c>
      <c r="IB98" s="3">
        <v>1</v>
      </c>
      <c r="IC98" s="3">
        <v>0</v>
      </c>
      <c r="ID98" s="3">
        <v>0</v>
      </c>
      <c r="IE98" s="3">
        <v>0</v>
      </c>
      <c r="IF98" s="3">
        <v>0</v>
      </c>
      <c r="IG98" s="3">
        <v>0</v>
      </c>
      <c r="IH98" s="3">
        <v>2</v>
      </c>
      <c r="II98" s="3">
        <v>0</v>
      </c>
      <c r="IJ98" s="3">
        <v>3</v>
      </c>
      <c r="IK98" s="3">
        <v>1</v>
      </c>
      <c r="IL98" s="3">
        <v>3</v>
      </c>
      <c r="IM98" s="3">
        <v>0</v>
      </c>
      <c r="IN98" s="3">
        <v>0</v>
      </c>
      <c r="IO98" s="3">
        <v>0</v>
      </c>
      <c r="IP98" s="3">
        <v>0</v>
      </c>
      <c r="IQ98" s="3">
        <v>1</v>
      </c>
      <c r="IR98" s="3" t="s">
        <v>274</v>
      </c>
      <c r="IS98" s="3">
        <v>3</v>
      </c>
      <c r="IT98" s="3">
        <v>0</v>
      </c>
      <c r="IU98" s="3">
        <v>2</v>
      </c>
      <c r="IV98" s="3">
        <v>3</v>
      </c>
      <c r="IW98" s="3">
        <v>1</v>
      </c>
      <c r="IX98" s="3">
        <v>1</v>
      </c>
      <c r="IY98" s="3">
        <v>1</v>
      </c>
      <c r="IZ98" s="2" t="s">
        <v>268</v>
      </c>
      <c r="JA98" s="2" t="s">
        <v>274</v>
      </c>
    </row>
    <row r="99" spans="1:261" ht="13.2" x14ac:dyDescent="0.25">
      <c r="A99" s="10" t="s">
        <v>274</v>
      </c>
      <c r="B99" s="2" t="s">
        <v>788</v>
      </c>
      <c r="C99" s="2" t="s">
        <v>276</v>
      </c>
      <c r="D99" s="2" t="s">
        <v>270</v>
      </c>
      <c r="E99" s="2">
        <v>24</v>
      </c>
      <c r="F99" s="11" t="s">
        <v>789</v>
      </c>
      <c r="G99" s="11" t="s">
        <v>790</v>
      </c>
      <c r="H99" s="2" t="s">
        <v>791</v>
      </c>
      <c r="I99" s="3">
        <v>1</v>
      </c>
      <c r="J99" s="3">
        <v>1</v>
      </c>
      <c r="K99" s="3">
        <v>4</v>
      </c>
      <c r="L99" s="3">
        <v>1</v>
      </c>
      <c r="M99" s="3">
        <v>1</v>
      </c>
      <c r="N99" s="3">
        <v>4</v>
      </c>
      <c r="O99" s="3">
        <v>4</v>
      </c>
      <c r="P99" s="3">
        <v>4</v>
      </c>
      <c r="Q99" s="3">
        <v>1</v>
      </c>
      <c r="R99" s="3">
        <v>1</v>
      </c>
      <c r="S99" s="3">
        <v>1</v>
      </c>
      <c r="T99" s="3">
        <v>0</v>
      </c>
      <c r="U99" s="3">
        <v>1</v>
      </c>
      <c r="V99" s="3">
        <v>1</v>
      </c>
      <c r="W99" s="3">
        <v>1</v>
      </c>
      <c r="X99" s="3">
        <v>0</v>
      </c>
      <c r="Y99" s="3">
        <v>0</v>
      </c>
      <c r="Z99" s="3">
        <v>0</v>
      </c>
      <c r="AA99" s="3">
        <v>1</v>
      </c>
      <c r="AB99" s="3">
        <v>1</v>
      </c>
      <c r="AC99" s="3">
        <v>1</v>
      </c>
      <c r="AD99" s="3">
        <v>1</v>
      </c>
      <c r="AE99" s="3">
        <v>1</v>
      </c>
      <c r="AF99" s="3">
        <v>0</v>
      </c>
      <c r="AG99" s="3">
        <v>0</v>
      </c>
      <c r="AH99" s="3">
        <v>0</v>
      </c>
      <c r="AI99" s="3">
        <v>3</v>
      </c>
      <c r="AJ99" s="3">
        <v>1</v>
      </c>
      <c r="AK99" s="3">
        <v>1</v>
      </c>
      <c r="AL99" s="3">
        <v>1</v>
      </c>
      <c r="AM99" s="3">
        <v>0</v>
      </c>
      <c r="AN99" s="3">
        <v>0</v>
      </c>
      <c r="AO99" s="3">
        <v>3</v>
      </c>
      <c r="AP99" s="3">
        <v>0</v>
      </c>
      <c r="AQ99" s="3">
        <v>0</v>
      </c>
      <c r="AR99" s="3">
        <v>0</v>
      </c>
      <c r="AS99" s="3">
        <v>0</v>
      </c>
      <c r="AT99" s="3">
        <v>0</v>
      </c>
      <c r="AU99" s="3">
        <v>3</v>
      </c>
      <c r="AV99" s="3">
        <v>2</v>
      </c>
      <c r="AW99" s="3">
        <v>3</v>
      </c>
      <c r="AX99" s="3">
        <v>1</v>
      </c>
      <c r="AY99" s="3">
        <v>3</v>
      </c>
      <c r="AZ99" s="3">
        <v>3</v>
      </c>
      <c r="BA99" s="3">
        <v>0</v>
      </c>
      <c r="BB99" s="3">
        <v>3</v>
      </c>
      <c r="BC99" s="3">
        <v>0</v>
      </c>
      <c r="BD99" s="3">
        <v>3</v>
      </c>
      <c r="BE99" s="3">
        <v>2</v>
      </c>
      <c r="BF99" s="3">
        <v>0</v>
      </c>
      <c r="BG99" s="3">
        <v>3</v>
      </c>
      <c r="BH99" s="3">
        <v>0</v>
      </c>
      <c r="BI99" s="3">
        <v>1</v>
      </c>
      <c r="BJ99" s="3">
        <v>3</v>
      </c>
      <c r="BK99" s="3">
        <v>1</v>
      </c>
      <c r="BL99" s="3">
        <v>1</v>
      </c>
      <c r="BM99" s="3" t="s">
        <v>274</v>
      </c>
      <c r="BN99" s="3">
        <v>3</v>
      </c>
      <c r="BO99" s="3">
        <v>1</v>
      </c>
      <c r="BP99" s="3">
        <v>3</v>
      </c>
      <c r="BQ99" s="3">
        <v>1</v>
      </c>
      <c r="BR99" s="3">
        <v>0</v>
      </c>
      <c r="BS99" s="3">
        <v>1</v>
      </c>
      <c r="BT99" s="3">
        <v>1</v>
      </c>
      <c r="BU99" s="2">
        <v>1</v>
      </c>
      <c r="BV99" s="2">
        <v>4</v>
      </c>
      <c r="BW99" s="2">
        <v>3</v>
      </c>
      <c r="BX99" s="2">
        <v>2</v>
      </c>
      <c r="BY99" s="2">
        <v>1</v>
      </c>
      <c r="BZ99" s="2">
        <v>0</v>
      </c>
      <c r="CA99" s="2">
        <v>0</v>
      </c>
      <c r="CB99" s="2">
        <v>3</v>
      </c>
      <c r="CC99" s="2">
        <v>2</v>
      </c>
      <c r="CD99" s="2">
        <v>3</v>
      </c>
      <c r="CE99" s="2">
        <v>1</v>
      </c>
      <c r="CF99" s="2">
        <v>1</v>
      </c>
      <c r="CG99" s="2">
        <v>1</v>
      </c>
      <c r="CH99" s="2">
        <v>0</v>
      </c>
      <c r="CI99" s="2">
        <v>4</v>
      </c>
      <c r="CJ99" s="2">
        <v>1</v>
      </c>
      <c r="CK99" s="2">
        <v>1</v>
      </c>
      <c r="CL99" s="2">
        <v>4</v>
      </c>
      <c r="CM99" s="2">
        <v>1</v>
      </c>
      <c r="CN99" s="2">
        <v>1</v>
      </c>
      <c r="CO99" s="2">
        <v>1</v>
      </c>
      <c r="CP99" s="2">
        <v>0</v>
      </c>
      <c r="CQ99" s="2">
        <v>2</v>
      </c>
      <c r="CR99" s="2">
        <v>2</v>
      </c>
      <c r="CS99" s="2">
        <v>2</v>
      </c>
      <c r="CT99" s="2">
        <v>0</v>
      </c>
      <c r="CU99" s="2">
        <v>0</v>
      </c>
      <c r="CV99" s="2">
        <v>1</v>
      </c>
      <c r="CW99" s="2">
        <v>2</v>
      </c>
      <c r="CX99" s="2">
        <v>0</v>
      </c>
      <c r="CY99" s="2">
        <v>0</v>
      </c>
      <c r="CZ99" s="2">
        <v>0</v>
      </c>
      <c r="DA99" s="2">
        <v>0</v>
      </c>
      <c r="DB99" s="2">
        <v>0</v>
      </c>
      <c r="DC99" s="2">
        <v>0</v>
      </c>
      <c r="DD99" s="2">
        <v>0</v>
      </c>
      <c r="DE99" s="2">
        <v>4</v>
      </c>
      <c r="DF99" s="2">
        <v>4</v>
      </c>
      <c r="DG99" s="2">
        <v>3</v>
      </c>
      <c r="DH99" s="2">
        <v>4</v>
      </c>
      <c r="DI99" s="2">
        <v>4</v>
      </c>
      <c r="DJ99" s="2">
        <v>3</v>
      </c>
      <c r="DK99" s="2">
        <v>0</v>
      </c>
      <c r="DL99" s="2">
        <v>0</v>
      </c>
      <c r="DM99" s="2">
        <v>0</v>
      </c>
      <c r="DN99" s="2">
        <v>0</v>
      </c>
      <c r="DO99" s="2">
        <v>0</v>
      </c>
      <c r="DP99" s="2">
        <v>2</v>
      </c>
      <c r="DQ99" s="2">
        <v>2</v>
      </c>
      <c r="DR99" s="2">
        <v>2</v>
      </c>
      <c r="DS99" s="2">
        <v>0</v>
      </c>
      <c r="DT99" s="2">
        <v>1</v>
      </c>
      <c r="DU99" s="2">
        <v>0</v>
      </c>
      <c r="DV99" s="2">
        <v>0</v>
      </c>
      <c r="DW99" s="2">
        <v>0</v>
      </c>
      <c r="DX99" s="2">
        <v>4</v>
      </c>
      <c r="DY99" s="2">
        <v>4</v>
      </c>
      <c r="DZ99" s="2">
        <v>4</v>
      </c>
      <c r="EA99" s="2">
        <v>2</v>
      </c>
      <c r="EB99" s="2">
        <v>1</v>
      </c>
      <c r="EC99" s="2">
        <v>1</v>
      </c>
      <c r="ED99" s="2">
        <v>0</v>
      </c>
      <c r="EE99" s="2">
        <v>0</v>
      </c>
      <c r="EF99" s="2">
        <v>0</v>
      </c>
      <c r="EG99" s="2">
        <v>0</v>
      </c>
      <c r="EH99" s="2">
        <v>0</v>
      </c>
      <c r="EI99" s="2">
        <v>1</v>
      </c>
      <c r="EJ99" s="2">
        <v>1</v>
      </c>
      <c r="EK99" s="2">
        <v>1</v>
      </c>
      <c r="EL99" s="2">
        <v>0</v>
      </c>
      <c r="EM99" s="2">
        <v>0</v>
      </c>
      <c r="EN99" s="2">
        <v>0</v>
      </c>
      <c r="EO99" s="2">
        <v>0</v>
      </c>
      <c r="EP99" s="2">
        <v>0</v>
      </c>
      <c r="EQ99" s="2">
        <v>1</v>
      </c>
      <c r="ER99" s="2">
        <v>0</v>
      </c>
      <c r="ES99" s="2">
        <v>0</v>
      </c>
      <c r="ET99" s="2">
        <v>0</v>
      </c>
      <c r="EU99" s="2">
        <v>1</v>
      </c>
      <c r="EV99" s="2">
        <v>1</v>
      </c>
      <c r="EW99" s="2">
        <v>4</v>
      </c>
      <c r="EX99" s="2">
        <v>1</v>
      </c>
      <c r="EY99" s="2">
        <v>2</v>
      </c>
      <c r="EZ99" s="2">
        <v>0</v>
      </c>
      <c r="FA99" s="2">
        <v>0</v>
      </c>
      <c r="FB99" s="2">
        <v>0</v>
      </c>
      <c r="FC99" s="2">
        <v>0</v>
      </c>
      <c r="FD99" s="2">
        <v>0</v>
      </c>
      <c r="FE99" s="2">
        <v>0</v>
      </c>
      <c r="FF99" s="2">
        <v>2</v>
      </c>
      <c r="FG99" s="2">
        <v>0</v>
      </c>
      <c r="FH99" s="2">
        <v>1</v>
      </c>
      <c r="FI99" s="2">
        <v>0</v>
      </c>
      <c r="FJ99" s="2">
        <v>0</v>
      </c>
      <c r="FK99" s="2">
        <v>2</v>
      </c>
      <c r="FL99" s="2">
        <v>1</v>
      </c>
      <c r="FM99" s="2">
        <v>1</v>
      </c>
      <c r="FN99" s="2">
        <v>1</v>
      </c>
      <c r="FO99" s="2">
        <v>0</v>
      </c>
      <c r="FP99" s="2">
        <v>1</v>
      </c>
      <c r="FQ99" s="2">
        <v>4</v>
      </c>
      <c r="FR99" s="2">
        <v>1</v>
      </c>
      <c r="FS99" s="2">
        <v>0</v>
      </c>
      <c r="FT99" s="2">
        <v>2</v>
      </c>
      <c r="FU99" s="2">
        <v>4</v>
      </c>
      <c r="FV99" s="2">
        <v>0</v>
      </c>
      <c r="FW99" s="2">
        <v>2</v>
      </c>
      <c r="FX99" s="2">
        <v>2</v>
      </c>
      <c r="FY99" s="2">
        <v>0</v>
      </c>
      <c r="FZ99" s="2">
        <v>2</v>
      </c>
      <c r="GA99" s="2">
        <v>0</v>
      </c>
      <c r="GB99" s="2">
        <v>2</v>
      </c>
      <c r="GC99" s="2" t="s">
        <v>274</v>
      </c>
      <c r="GD99" s="2">
        <v>2</v>
      </c>
      <c r="GE99" s="2">
        <v>2</v>
      </c>
      <c r="GF99" s="2">
        <v>2</v>
      </c>
      <c r="GG99" s="2">
        <v>4</v>
      </c>
      <c r="GH99" s="2">
        <v>2</v>
      </c>
      <c r="GI99" s="2">
        <v>4</v>
      </c>
      <c r="GJ99" s="2">
        <v>4</v>
      </c>
      <c r="GK99" s="2">
        <v>4</v>
      </c>
      <c r="GL99" s="2">
        <v>0</v>
      </c>
      <c r="GM99" s="2">
        <v>2</v>
      </c>
      <c r="GN99" s="3">
        <v>2</v>
      </c>
      <c r="GO99" s="3">
        <v>0</v>
      </c>
      <c r="GP99" s="3">
        <v>0</v>
      </c>
      <c r="GQ99" s="3">
        <v>4</v>
      </c>
      <c r="GR99" s="3">
        <v>0</v>
      </c>
      <c r="GS99" s="3">
        <v>4</v>
      </c>
      <c r="GT99" s="3">
        <v>4</v>
      </c>
      <c r="GU99" s="3">
        <v>0</v>
      </c>
      <c r="GV99" s="3">
        <v>1</v>
      </c>
      <c r="GW99" s="3">
        <v>1</v>
      </c>
      <c r="GX99" s="3">
        <v>1</v>
      </c>
      <c r="GY99" s="3">
        <v>0</v>
      </c>
      <c r="GZ99" s="3">
        <v>0</v>
      </c>
      <c r="HA99" s="3">
        <v>1</v>
      </c>
      <c r="HB99" s="3">
        <v>0</v>
      </c>
      <c r="HC99" s="3">
        <v>0</v>
      </c>
      <c r="HD99" s="3">
        <v>0</v>
      </c>
      <c r="HE99" s="3">
        <v>0</v>
      </c>
      <c r="HF99" s="3">
        <v>0</v>
      </c>
      <c r="HG99" s="3">
        <v>1</v>
      </c>
      <c r="HH99" s="3">
        <v>4</v>
      </c>
      <c r="HI99" s="3">
        <v>1</v>
      </c>
      <c r="HJ99" s="3">
        <v>0</v>
      </c>
      <c r="HK99" s="3">
        <v>0</v>
      </c>
      <c r="HL99" s="3">
        <v>0</v>
      </c>
      <c r="HM99" s="3">
        <v>0</v>
      </c>
      <c r="HN99" s="3">
        <v>0</v>
      </c>
      <c r="HO99" s="3">
        <v>2</v>
      </c>
      <c r="HP99" s="3">
        <v>0</v>
      </c>
      <c r="HQ99" s="3">
        <v>0</v>
      </c>
      <c r="HR99" s="3">
        <v>0</v>
      </c>
      <c r="HS99" s="3">
        <v>0</v>
      </c>
      <c r="HT99" s="3">
        <v>0</v>
      </c>
      <c r="HU99" s="3">
        <v>0</v>
      </c>
      <c r="HV99" s="3">
        <v>4</v>
      </c>
      <c r="HW99" s="3">
        <v>0</v>
      </c>
      <c r="HX99" s="3">
        <v>0</v>
      </c>
      <c r="HY99" s="3">
        <v>1</v>
      </c>
      <c r="HZ99" s="3">
        <v>1</v>
      </c>
      <c r="IA99" s="3">
        <v>4</v>
      </c>
      <c r="IB99" s="3">
        <v>0</v>
      </c>
      <c r="IC99" s="3">
        <v>1</v>
      </c>
      <c r="ID99" s="3">
        <v>0</v>
      </c>
      <c r="IE99" s="3">
        <v>0</v>
      </c>
      <c r="IF99" s="3">
        <v>0</v>
      </c>
      <c r="IG99" s="3">
        <v>0</v>
      </c>
      <c r="IH99" s="3">
        <v>0</v>
      </c>
      <c r="II99" s="3">
        <v>1</v>
      </c>
      <c r="IJ99" s="3">
        <v>0</v>
      </c>
      <c r="IK99" s="3">
        <v>0</v>
      </c>
      <c r="IL99" s="3">
        <v>2</v>
      </c>
      <c r="IM99" s="3">
        <v>0</v>
      </c>
      <c r="IN99" s="3">
        <v>2</v>
      </c>
      <c r="IO99" s="3">
        <v>0</v>
      </c>
      <c r="IP99" s="3">
        <v>1</v>
      </c>
      <c r="IQ99" s="3">
        <v>0</v>
      </c>
      <c r="IR99" s="3" t="s">
        <v>274</v>
      </c>
      <c r="IS99" s="3">
        <v>4</v>
      </c>
      <c r="IT99" s="3">
        <v>0</v>
      </c>
      <c r="IU99" s="3">
        <v>1</v>
      </c>
      <c r="IV99" s="3">
        <v>1</v>
      </c>
      <c r="IW99" s="3">
        <v>1</v>
      </c>
      <c r="IX99" s="3">
        <v>0</v>
      </c>
      <c r="IY99" s="3">
        <v>1</v>
      </c>
      <c r="IZ99" s="2" t="s">
        <v>268</v>
      </c>
      <c r="JA99" s="2" t="s">
        <v>274</v>
      </c>
    </row>
    <row r="100" spans="1:261" ht="13.2" x14ac:dyDescent="0.25">
      <c r="A100" s="10" t="s">
        <v>274</v>
      </c>
      <c r="B100" s="2" t="s">
        <v>792</v>
      </c>
      <c r="C100" s="2" t="s">
        <v>276</v>
      </c>
      <c r="D100" s="2" t="s">
        <v>325</v>
      </c>
      <c r="E100" s="2">
        <v>41</v>
      </c>
      <c r="F100" s="11" t="s">
        <v>793</v>
      </c>
      <c r="G100" s="11" t="s">
        <v>794</v>
      </c>
      <c r="H100" s="2" t="s">
        <v>795</v>
      </c>
      <c r="I100" s="3">
        <v>3</v>
      </c>
      <c r="J100" s="3">
        <v>3</v>
      </c>
      <c r="K100" s="3">
        <v>3</v>
      </c>
      <c r="L100" s="3">
        <v>3</v>
      </c>
      <c r="M100" s="3">
        <v>3</v>
      </c>
      <c r="N100" s="3">
        <v>4</v>
      </c>
      <c r="O100" s="3">
        <v>3</v>
      </c>
      <c r="P100" s="3">
        <v>2</v>
      </c>
      <c r="Q100" s="3">
        <v>2</v>
      </c>
      <c r="R100" s="3">
        <v>2</v>
      </c>
      <c r="S100" s="3">
        <v>2</v>
      </c>
      <c r="T100" s="3">
        <v>2</v>
      </c>
      <c r="U100" s="3">
        <v>2</v>
      </c>
      <c r="V100" s="3">
        <v>2</v>
      </c>
      <c r="W100" s="3">
        <v>2</v>
      </c>
      <c r="X100" s="3">
        <v>3</v>
      </c>
      <c r="Y100" s="3">
        <v>4</v>
      </c>
      <c r="Z100" s="3">
        <v>2</v>
      </c>
      <c r="AA100" s="3">
        <v>4</v>
      </c>
      <c r="AB100" s="3">
        <v>3</v>
      </c>
      <c r="AC100" s="3">
        <v>3</v>
      </c>
      <c r="AD100" s="3">
        <v>3</v>
      </c>
      <c r="AE100" s="3">
        <v>3</v>
      </c>
      <c r="AF100" s="3">
        <v>2</v>
      </c>
      <c r="AG100" s="3">
        <v>2</v>
      </c>
      <c r="AH100" s="3">
        <v>2</v>
      </c>
      <c r="AI100" s="3">
        <v>3</v>
      </c>
      <c r="AJ100" s="3">
        <v>2</v>
      </c>
      <c r="AK100" s="3">
        <v>3</v>
      </c>
      <c r="AL100" s="3">
        <v>3</v>
      </c>
      <c r="AM100" s="3">
        <v>2</v>
      </c>
      <c r="AN100" s="3">
        <v>2</v>
      </c>
      <c r="AO100" s="3">
        <v>3</v>
      </c>
      <c r="AP100" s="3">
        <v>2</v>
      </c>
      <c r="AQ100" s="3">
        <v>2</v>
      </c>
      <c r="AR100" s="3">
        <v>2</v>
      </c>
      <c r="AS100" s="3">
        <v>2</v>
      </c>
      <c r="AT100" s="3">
        <v>1</v>
      </c>
      <c r="AU100" s="3">
        <v>3</v>
      </c>
      <c r="AV100" s="3">
        <v>2</v>
      </c>
      <c r="AW100" s="3">
        <v>2</v>
      </c>
      <c r="AX100" s="3">
        <v>1</v>
      </c>
      <c r="AY100" s="3">
        <v>2</v>
      </c>
      <c r="AZ100" s="3">
        <v>2</v>
      </c>
      <c r="BA100" s="3">
        <v>2</v>
      </c>
      <c r="BB100" s="3">
        <v>3</v>
      </c>
      <c r="BC100" s="3">
        <v>3</v>
      </c>
      <c r="BD100" s="3">
        <v>3</v>
      </c>
      <c r="BE100" s="3">
        <v>4</v>
      </c>
      <c r="BF100" s="3">
        <v>3</v>
      </c>
      <c r="BG100" s="3">
        <v>3</v>
      </c>
      <c r="BH100" s="3">
        <v>3</v>
      </c>
      <c r="BI100" s="3">
        <v>3</v>
      </c>
      <c r="BJ100" s="3">
        <v>2</v>
      </c>
      <c r="BK100" s="3">
        <v>2</v>
      </c>
      <c r="BL100" s="3">
        <v>2</v>
      </c>
      <c r="BM100" s="3" t="s">
        <v>274</v>
      </c>
      <c r="BN100" s="3">
        <v>4</v>
      </c>
      <c r="BO100" s="3">
        <v>2</v>
      </c>
      <c r="BP100" s="3">
        <v>4</v>
      </c>
      <c r="BQ100" s="3">
        <v>3</v>
      </c>
      <c r="BR100" s="3">
        <v>3</v>
      </c>
      <c r="BS100" s="3">
        <v>3</v>
      </c>
      <c r="BT100" s="3">
        <v>3</v>
      </c>
      <c r="BU100" s="2">
        <v>2</v>
      </c>
      <c r="BV100" s="2">
        <v>1</v>
      </c>
      <c r="BW100" s="2">
        <v>3</v>
      </c>
      <c r="BX100" s="2">
        <v>2</v>
      </c>
      <c r="BY100" s="2">
        <v>0</v>
      </c>
      <c r="BZ100" s="2">
        <v>0</v>
      </c>
      <c r="CA100" s="2">
        <v>0</v>
      </c>
      <c r="CB100" s="2">
        <v>1</v>
      </c>
      <c r="CC100" s="2">
        <v>1</v>
      </c>
      <c r="CD100" s="2">
        <v>0</v>
      </c>
      <c r="CE100" s="2">
        <v>0</v>
      </c>
      <c r="CF100" s="2">
        <v>1</v>
      </c>
      <c r="CG100" s="2">
        <v>1</v>
      </c>
      <c r="CH100" s="2">
        <v>0</v>
      </c>
      <c r="CI100" s="2">
        <v>2</v>
      </c>
      <c r="CJ100" s="2">
        <v>0</v>
      </c>
      <c r="CK100" s="2">
        <v>0</v>
      </c>
      <c r="CL100" s="2">
        <v>1</v>
      </c>
      <c r="CM100" s="2">
        <v>0</v>
      </c>
      <c r="CN100" s="2">
        <v>1</v>
      </c>
      <c r="CO100" s="2">
        <v>0</v>
      </c>
      <c r="CP100" s="2">
        <v>0</v>
      </c>
      <c r="CQ100" s="2">
        <v>2</v>
      </c>
      <c r="CR100" s="2">
        <v>1</v>
      </c>
      <c r="CS100" s="2">
        <v>2</v>
      </c>
      <c r="CT100" s="2">
        <v>2</v>
      </c>
      <c r="CU100" s="2">
        <v>1</v>
      </c>
      <c r="CV100" s="2">
        <v>2</v>
      </c>
      <c r="CW100" s="2">
        <v>3</v>
      </c>
      <c r="CX100" s="2">
        <v>1</v>
      </c>
      <c r="CY100" s="2">
        <v>1</v>
      </c>
      <c r="CZ100" s="2">
        <v>0</v>
      </c>
      <c r="DA100" s="2">
        <v>2</v>
      </c>
      <c r="DB100" s="2">
        <v>1</v>
      </c>
      <c r="DC100" s="2">
        <v>2</v>
      </c>
      <c r="DD100" s="2">
        <v>0</v>
      </c>
      <c r="DE100" s="2">
        <v>2</v>
      </c>
      <c r="DF100" s="2">
        <v>2</v>
      </c>
      <c r="DG100" s="2">
        <v>1</v>
      </c>
      <c r="DH100" s="2">
        <v>1</v>
      </c>
      <c r="DI100" s="2">
        <v>1</v>
      </c>
      <c r="DJ100" s="2">
        <v>0</v>
      </c>
      <c r="DK100" s="2">
        <v>0</v>
      </c>
      <c r="DL100" s="2">
        <v>1</v>
      </c>
      <c r="DM100" s="2">
        <v>1</v>
      </c>
      <c r="DN100" s="2">
        <v>0</v>
      </c>
      <c r="DO100" s="2">
        <v>0</v>
      </c>
      <c r="DP100" s="2">
        <v>2</v>
      </c>
      <c r="DQ100" s="2">
        <v>0</v>
      </c>
      <c r="DR100" s="2">
        <v>1</v>
      </c>
      <c r="DS100" s="2">
        <v>3</v>
      </c>
      <c r="DT100" s="2">
        <v>2</v>
      </c>
      <c r="DU100" s="2">
        <v>0</v>
      </c>
      <c r="DV100" s="2">
        <v>0</v>
      </c>
      <c r="DW100" s="2">
        <v>1</v>
      </c>
      <c r="DX100" s="2">
        <v>3</v>
      </c>
      <c r="DY100" s="2">
        <v>2</v>
      </c>
      <c r="DZ100" s="2">
        <v>2</v>
      </c>
      <c r="EA100" s="2">
        <v>1</v>
      </c>
      <c r="EB100" s="2">
        <v>2</v>
      </c>
      <c r="EC100" s="2">
        <v>1</v>
      </c>
      <c r="ED100" s="2">
        <v>0</v>
      </c>
      <c r="EE100" s="2">
        <v>2</v>
      </c>
      <c r="EF100" s="2">
        <v>1</v>
      </c>
      <c r="EG100" s="2">
        <v>0</v>
      </c>
      <c r="EH100" s="2">
        <v>0</v>
      </c>
      <c r="EI100" s="2">
        <v>0</v>
      </c>
      <c r="EJ100" s="2">
        <v>1</v>
      </c>
      <c r="EK100" s="2">
        <v>2</v>
      </c>
      <c r="EL100" s="2">
        <v>1</v>
      </c>
      <c r="EM100" s="2">
        <v>0</v>
      </c>
      <c r="EN100" s="2">
        <v>1</v>
      </c>
      <c r="EO100" s="2">
        <v>1</v>
      </c>
      <c r="EP100" s="2">
        <v>1</v>
      </c>
      <c r="EQ100" s="2">
        <v>2</v>
      </c>
      <c r="ER100" s="2">
        <v>0</v>
      </c>
      <c r="ES100" s="2">
        <v>1</v>
      </c>
      <c r="ET100" s="2">
        <v>0</v>
      </c>
      <c r="EU100" s="2">
        <v>1</v>
      </c>
      <c r="EV100" s="2">
        <v>1</v>
      </c>
      <c r="EW100" s="2">
        <v>1</v>
      </c>
      <c r="EX100" s="2">
        <v>4</v>
      </c>
      <c r="EY100" s="2">
        <v>1</v>
      </c>
      <c r="EZ100" s="2">
        <v>0</v>
      </c>
      <c r="FA100" s="2">
        <v>0</v>
      </c>
      <c r="FB100" s="2">
        <v>0</v>
      </c>
      <c r="FC100" s="2">
        <v>0</v>
      </c>
      <c r="FD100" s="2">
        <v>0</v>
      </c>
      <c r="FE100" s="2">
        <v>1</v>
      </c>
      <c r="FF100" s="2">
        <v>0</v>
      </c>
      <c r="FG100" s="2">
        <v>1</v>
      </c>
      <c r="FH100" s="2">
        <v>0</v>
      </c>
      <c r="FI100" s="2">
        <v>1</v>
      </c>
      <c r="FJ100" s="2">
        <v>1</v>
      </c>
      <c r="FK100" s="2">
        <v>0</v>
      </c>
      <c r="FL100" s="2">
        <v>1</v>
      </c>
      <c r="FM100" s="2">
        <v>1</v>
      </c>
      <c r="FN100" s="2">
        <v>1</v>
      </c>
      <c r="FO100" s="2">
        <v>0</v>
      </c>
      <c r="FP100" s="2">
        <v>1</v>
      </c>
      <c r="FQ100" s="2">
        <v>2</v>
      </c>
      <c r="FR100" s="2">
        <v>2</v>
      </c>
      <c r="FS100" s="2">
        <v>2</v>
      </c>
      <c r="FT100" s="2">
        <v>0</v>
      </c>
      <c r="FU100" s="2">
        <v>3</v>
      </c>
      <c r="FV100" s="2">
        <v>2</v>
      </c>
      <c r="FW100" s="2">
        <v>2</v>
      </c>
      <c r="FX100" s="2">
        <v>2</v>
      </c>
      <c r="FY100" s="2">
        <v>2</v>
      </c>
      <c r="FZ100" s="2">
        <v>1</v>
      </c>
      <c r="GA100" s="2">
        <v>1</v>
      </c>
      <c r="GB100" s="2">
        <v>1</v>
      </c>
      <c r="GC100" s="2" t="s">
        <v>796</v>
      </c>
      <c r="GD100" s="2">
        <v>2</v>
      </c>
      <c r="GE100" s="2">
        <v>1</v>
      </c>
      <c r="GF100" s="2">
        <v>2</v>
      </c>
      <c r="GG100" s="2">
        <v>2</v>
      </c>
      <c r="GH100" s="2">
        <v>4</v>
      </c>
      <c r="GI100" s="2">
        <v>2</v>
      </c>
      <c r="GJ100" s="2">
        <v>2</v>
      </c>
      <c r="GK100" s="2">
        <v>1</v>
      </c>
      <c r="GL100" s="2">
        <v>2</v>
      </c>
      <c r="GM100" s="2">
        <v>1</v>
      </c>
      <c r="GN100" s="3">
        <v>3</v>
      </c>
      <c r="GO100" s="3">
        <v>2</v>
      </c>
      <c r="GP100" s="3">
        <v>3</v>
      </c>
      <c r="GQ100" s="3">
        <v>2</v>
      </c>
      <c r="GR100" s="3">
        <v>2</v>
      </c>
      <c r="GS100" s="3">
        <v>2</v>
      </c>
      <c r="GT100" s="3">
        <v>2</v>
      </c>
      <c r="GU100" s="3">
        <v>0</v>
      </c>
      <c r="GV100" s="3">
        <v>2</v>
      </c>
      <c r="GW100" s="3">
        <v>2</v>
      </c>
      <c r="GX100" s="3">
        <v>3</v>
      </c>
      <c r="GY100" s="3">
        <v>2</v>
      </c>
      <c r="GZ100" s="3">
        <v>2</v>
      </c>
      <c r="HA100" s="3">
        <v>3</v>
      </c>
      <c r="HB100" s="3">
        <v>2</v>
      </c>
      <c r="HC100" s="3">
        <v>1</v>
      </c>
      <c r="HD100" s="3">
        <v>2</v>
      </c>
      <c r="HE100" s="3">
        <v>1</v>
      </c>
      <c r="HF100" s="3">
        <v>2</v>
      </c>
      <c r="HG100" s="3">
        <v>0</v>
      </c>
      <c r="HH100" s="3">
        <v>3</v>
      </c>
      <c r="HI100" s="3">
        <v>1</v>
      </c>
      <c r="HJ100" s="3">
        <v>2</v>
      </c>
      <c r="HK100" s="3">
        <v>2</v>
      </c>
      <c r="HL100" s="3">
        <v>0</v>
      </c>
      <c r="HM100" s="3">
        <v>1</v>
      </c>
      <c r="HN100" s="3">
        <v>2</v>
      </c>
      <c r="HO100" s="3">
        <v>3</v>
      </c>
      <c r="HP100" s="3">
        <v>2</v>
      </c>
      <c r="HQ100" s="3">
        <v>2</v>
      </c>
      <c r="HR100" s="3">
        <v>2</v>
      </c>
      <c r="HS100" s="3">
        <v>2</v>
      </c>
      <c r="HT100" s="3">
        <v>1</v>
      </c>
      <c r="HU100" s="3">
        <v>1</v>
      </c>
      <c r="HV100" s="3">
        <v>3</v>
      </c>
      <c r="HW100" s="3">
        <v>2</v>
      </c>
      <c r="HX100" s="3">
        <v>2</v>
      </c>
      <c r="HY100" s="3">
        <v>3</v>
      </c>
      <c r="HZ100" s="3">
        <v>3</v>
      </c>
      <c r="IA100" s="3">
        <v>2</v>
      </c>
      <c r="IB100" s="3">
        <v>2</v>
      </c>
      <c r="IC100" s="3">
        <v>1</v>
      </c>
      <c r="ID100" s="3">
        <v>1</v>
      </c>
      <c r="IE100" s="3">
        <v>1</v>
      </c>
      <c r="IF100" s="3">
        <v>1</v>
      </c>
      <c r="IG100" s="3">
        <v>2</v>
      </c>
      <c r="IH100" s="3">
        <v>2</v>
      </c>
      <c r="II100" s="3">
        <v>1</v>
      </c>
      <c r="IJ100" s="3">
        <v>3</v>
      </c>
      <c r="IK100" s="3">
        <v>3</v>
      </c>
      <c r="IL100" s="3">
        <v>3</v>
      </c>
      <c r="IM100" s="3">
        <v>2</v>
      </c>
      <c r="IN100" s="3">
        <v>1</v>
      </c>
      <c r="IO100" s="3">
        <v>2</v>
      </c>
      <c r="IP100" s="3">
        <v>3</v>
      </c>
      <c r="IQ100" s="3">
        <v>2</v>
      </c>
      <c r="IR100" s="3" t="s">
        <v>797</v>
      </c>
      <c r="IS100" s="3">
        <v>3</v>
      </c>
      <c r="IT100" s="3">
        <v>3</v>
      </c>
      <c r="IU100" s="3">
        <v>2</v>
      </c>
      <c r="IV100" s="3">
        <v>3</v>
      </c>
      <c r="IW100" s="3">
        <v>2</v>
      </c>
      <c r="IX100" s="3">
        <v>2</v>
      </c>
      <c r="IY100" s="3">
        <v>3</v>
      </c>
      <c r="IZ100" s="2" t="s">
        <v>268</v>
      </c>
      <c r="JA100" s="2" t="s">
        <v>274</v>
      </c>
    </row>
    <row r="101" spans="1:261" ht="13.2" x14ac:dyDescent="0.25">
      <c r="A101" s="10" t="s">
        <v>274</v>
      </c>
      <c r="B101" s="2" t="s">
        <v>798</v>
      </c>
      <c r="C101" s="2" t="s">
        <v>276</v>
      </c>
      <c r="D101" s="2" t="s">
        <v>262</v>
      </c>
      <c r="E101" s="2">
        <v>51</v>
      </c>
      <c r="F101" s="11" t="s">
        <v>799</v>
      </c>
      <c r="G101" s="11" t="s">
        <v>800</v>
      </c>
      <c r="H101" s="2" t="s">
        <v>801</v>
      </c>
      <c r="I101" s="3">
        <v>1</v>
      </c>
      <c r="J101" s="3">
        <v>1</v>
      </c>
      <c r="K101" s="3">
        <v>2</v>
      </c>
      <c r="L101" s="3">
        <v>1</v>
      </c>
      <c r="M101" s="3">
        <v>2</v>
      </c>
      <c r="N101" s="3">
        <v>2</v>
      </c>
      <c r="O101" s="3">
        <v>2</v>
      </c>
      <c r="P101" s="3">
        <v>0</v>
      </c>
      <c r="Q101" s="3">
        <v>1</v>
      </c>
      <c r="R101" s="3">
        <v>0</v>
      </c>
      <c r="S101" s="3">
        <v>1</v>
      </c>
      <c r="T101" s="3">
        <v>1</v>
      </c>
      <c r="U101" s="3">
        <v>1</v>
      </c>
      <c r="V101" s="3">
        <v>0</v>
      </c>
      <c r="W101" s="3">
        <v>0</v>
      </c>
      <c r="X101" s="3">
        <v>0</v>
      </c>
      <c r="Y101" s="3">
        <v>1</v>
      </c>
      <c r="Z101" s="3">
        <v>1</v>
      </c>
      <c r="AA101" s="3">
        <v>0</v>
      </c>
      <c r="AB101" s="3">
        <v>0</v>
      </c>
      <c r="AC101" s="3">
        <v>1</v>
      </c>
      <c r="AD101" s="3">
        <v>1</v>
      </c>
      <c r="AE101" s="3">
        <v>3</v>
      </c>
      <c r="AF101" s="3">
        <v>0</v>
      </c>
      <c r="AG101" s="3">
        <v>0</v>
      </c>
      <c r="AH101" s="3">
        <v>0</v>
      </c>
      <c r="AI101" s="3">
        <v>2</v>
      </c>
      <c r="AJ101" s="3">
        <v>1</v>
      </c>
      <c r="AK101" s="3">
        <v>2</v>
      </c>
      <c r="AL101" s="3">
        <v>2</v>
      </c>
      <c r="AM101" s="3">
        <v>0</v>
      </c>
      <c r="AN101" s="3">
        <v>0</v>
      </c>
      <c r="AO101" s="3">
        <v>2</v>
      </c>
      <c r="AP101" s="3">
        <v>0</v>
      </c>
      <c r="AQ101" s="3">
        <v>0</v>
      </c>
      <c r="AR101" s="3">
        <v>0</v>
      </c>
      <c r="AS101" s="3">
        <v>1</v>
      </c>
      <c r="AT101" s="3">
        <v>0</v>
      </c>
      <c r="AU101" s="3">
        <v>2</v>
      </c>
      <c r="AV101" s="3">
        <v>1</v>
      </c>
      <c r="AW101" s="3">
        <v>3</v>
      </c>
      <c r="AX101" s="3">
        <v>3</v>
      </c>
      <c r="AY101" s="3">
        <v>3</v>
      </c>
      <c r="AZ101" s="3">
        <v>3</v>
      </c>
      <c r="BA101" s="3">
        <v>2</v>
      </c>
      <c r="BB101" s="3">
        <v>3</v>
      </c>
      <c r="BC101" s="3">
        <v>1</v>
      </c>
      <c r="BD101" s="3">
        <v>3</v>
      </c>
      <c r="BE101" s="3">
        <v>1</v>
      </c>
      <c r="BF101" s="3">
        <v>1</v>
      </c>
      <c r="BG101" s="3">
        <v>1</v>
      </c>
      <c r="BH101" s="3">
        <v>1</v>
      </c>
      <c r="BI101" s="3">
        <v>1</v>
      </c>
      <c r="BJ101" s="3">
        <v>1</v>
      </c>
      <c r="BK101" s="3">
        <v>1</v>
      </c>
      <c r="BL101" s="3">
        <v>1</v>
      </c>
      <c r="BM101" s="3" t="s">
        <v>802</v>
      </c>
      <c r="BN101" s="3">
        <v>2</v>
      </c>
      <c r="BO101" s="3">
        <v>1</v>
      </c>
      <c r="BP101" s="3">
        <v>1</v>
      </c>
      <c r="BQ101" s="3">
        <v>1</v>
      </c>
      <c r="BR101" s="3">
        <v>1</v>
      </c>
      <c r="BS101" s="3">
        <v>1</v>
      </c>
      <c r="BT101" s="3">
        <v>1</v>
      </c>
      <c r="BU101" s="2">
        <v>0</v>
      </c>
      <c r="BV101" s="2">
        <v>0</v>
      </c>
      <c r="BW101" s="2">
        <v>2</v>
      </c>
      <c r="BX101" s="2">
        <v>0</v>
      </c>
      <c r="BY101" s="2">
        <v>0</v>
      </c>
      <c r="BZ101" s="2">
        <v>1</v>
      </c>
      <c r="CA101" s="2">
        <v>0</v>
      </c>
      <c r="CB101" s="2">
        <v>2</v>
      </c>
      <c r="CC101" s="2">
        <v>1</v>
      </c>
      <c r="CD101" s="2">
        <v>1</v>
      </c>
      <c r="CE101" s="2">
        <v>0</v>
      </c>
      <c r="CF101" s="2">
        <v>2</v>
      </c>
      <c r="CG101" s="2">
        <v>1</v>
      </c>
      <c r="CH101" s="2">
        <v>1</v>
      </c>
      <c r="CI101" s="2">
        <v>1</v>
      </c>
      <c r="CJ101" s="2">
        <v>0</v>
      </c>
      <c r="CK101" s="2">
        <v>0</v>
      </c>
      <c r="CL101" s="2">
        <v>0</v>
      </c>
      <c r="CM101" s="2">
        <v>1</v>
      </c>
      <c r="CN101" s="2">
        <v>0</v>
      </c>
      <c r="CO101" s="2">
        <v>0</v>
      </c>
      <c r="CP101" s="2">
        <v>0</v>
      </c>
      <c r="CQ101" s="2">
        <v>0</v>
      </c>
      <c r="CR101" s="2">
        <v>0</v>
      </c>
      <c r="CS101" s="2">
        <v>0</v>
      </c>
      <c r="CT101" s="2">
        <v>0</v>
      </c>
      <c r="CU101" s="2">
        <v>0</v>
      </c>
      <c r="CV101" s="2">
        <v>0</v>
      </c>
      <c r="CW101" s="2">
        <v>0</v>
      </c>
      <c r="CX101" s="2">
        <v>0</v>
      </c>
      <c r="CY101" s="2">
        <v>0</v>
      </c>
      <c r="CZ101" s="2">
        <v>0</v>
      </c>
      <c r="DA101" s="2">
        <v>0</v>
      </c>
      <c r="DB101" s="2">
        <v>0</v>
      </c>
      <c r="DC101" s="2">
        <v>0</v>
      </c>
      <c r="DD101" s="2">
        <v>0</v>
      </c>
      <c r="DE101" s="2">
        <v>3</v>
      </c>
      <c r="DF101" s="2">
        <v>0</v>
      </c>
      <c r="DG101" s="2">
        <v>0</v>
      </c>
      <c r="DH101" s="2">
        <v>0</v>
      </c>
      <c r="DI101" s="2">
        <v>0</v>
      </c>
      <c r="DJ101" s="2">
        <v>0</v>
      </c>
      <c r="DK101" s="2">
        <v>1</v>
      </c>
      <c r="DL101" s="2">
        <v>0</v>
      </c>
      <c r="DM101" s="2">
        <v>0</v>
      </c>
      <c r="DN101" s="2">
        <v>0</v>
      </c>
      <c r="DO101" s="2">
        <v>0</v>
      </c>
      <c r="DP101" s="2">
        <v>2</v>
      </c>
      <c r="DQ101" s="2">
        <v>0</v>
      </c>
      <c r="DR101" s="2">
        <v>0</v>
      </c>
      <c r="DS101" s="2">
        <v>1</v>
      </c>
      <c r="DT101" s="2">
        <v>0</v>
      </c>
      <c r="DU101" s="2">
        <v>0</v>
      </c>
      <c r="DV101" s="2">
        <v>0</v>
      </c>
      <c r="DW101" s="2">
        <v>0</v>
      </c>
      <c r="DX101" s="2">
        <v>4</v>
      </c>
      <c r="DY101" s="2">
        <v>3</v>
      </c>
      <c r="DZ101" s="2">
        <v>2</v>
      </c>
      <c r="EA101" s="2">
        <v>0</v>
      </c>
      <c r="EB101" s="2">
        <v>0</v>
      </c>
      <c r="EC101" s="2">
        <v>0</v>
      </c>
      <c r="ED101" s="2">
        <v>0</v>
      </c>
      <c r="EE101" s="2">
        <v>0</v>
      </c>
      <c r="EF101" s="2">
        <v>0</v>
      </c>
      <c r="EG101" s="2">
        <v>0</v>
      </c>
      <c r="EH101" s="2">
        <v>0</v>
      </c>
      <c r="EI101" s="2">
        <v>0</v>
      </c>
      <c r="EJ101" s="2">
        <v>2</v>
      </c>
      <c r="EK101" s="2">
        <v>0</v>
      </c>
      <c r="EL101" s="2">
        <v>1</v>
      </c>
      <c r="EM101" s="2">
        <v>0</v>
      </c>
      <c r="EN101" s="2">
        <v>0</v>
      </c>
      <c r="EO101" s="2">
        <v>0</v>
      </c>
      <c r="EP101" s="2">
        <v>0</v>
      </c>
      <c r="EQ101" s="2">
        <v>0</v>
      </c>
      <c r="ER101" s="2">
        <v>0</v>
      </c>
      <c r="ES101" s="2">
        <v>0</v>
      </c>
      <c r="ET101" s="2">
        <v>0</v>
      </c>
      <c r="EU101" s="2">
        <v>0</v>
      </c>
      <c r="EV101" s="2">
        <v>0</v>
      </c>
      <c r="EW101" s="2">
        <v>0</v>
      </c>
      <c r="EX101" s="2">
        <v>2</v>
      </c>
      <c r="EY101" s="2">
        <v>1</v>
      </c>
      <c r="EZ101" s="2">
        <v>2</v>
      </c>
      <c r="FA101" s="2">
        <v>0</v>
      </c>
      <c r="FB101" s="2">
        <v>0</v>
      </c>
      <c r="FC101" s="2">
        <v>0</v>
      </c>
      <c r="FD101" s="2">
        <v>0</v>
      </c>
      <c r="FE101" s="2">
        <v>0</v>
      </c>
      <c r="FF101" s="2">
        <v>0</v>
      </c>
      <c r="FG101" s="2">
        <v>0</v>
      </c>
      <c r="FH101" s="2">
        <v>0</v>
      </c>
      <c r="FI101" s="2">
        <v>0</v>
      </c>
      <c r="FJ101" s="2">
        <v>0</v>
      </c>
      <c r="FK101" s="2">
        <v>1</v>
      </c>
      <c r="FL101" s="2">
        <v>3</v>
      </c>
      <c r="FM101" s="2">
        <v>3</v>
      </c>
      <c r="FN101" s="2">
        <v>3</v>
      </c>
      <c r="FO101" s="2">
        <v>1</v>
      </c>
      <c r="FP101" s="2">
        <v>1</v>
      </c>
      <c r="FQ101" s="2">
        <v>3</v>
      </c>
      <c r="FR101" s="2">
        <v>3</v>
      </c>
      <c r="FS101" s="2">
        <v>1</v>
      </c>
      <c r="FT101" s="2">
        <v>1</v>
      </c>
      <c r="FU101" s="2">
        <v>0</v>
      </c>
      <c r="FV101" s="2">
        <v>0</v>
      </c>
      <c r="FW101" s="2">
        <v>0</v>
      </c>
      <c r="FX101" s="2">
        <v>0</v>
      </c>
      <c r="FY101" s="2">
        <v>0</v>
      </c>
      <c r="FZ101" s="2">
        <v>0</v>
      </c>
      <c r="GA101" s="2">
        <v>0</v>
      </c>
      <c r="GB101" s="2">
        <v>0</v>
      </c>
      <c r="GC101" s="2" t="s">
        <v>803</v>
      </c>
      <c r="GD101" s="2">
        <v>0</v>
      </c>
      <c r="GE101" s="2">
        <v>0</v>
      </c>
      <c r="GF101" s="2">
        <v>0</v>
      </c>
      <c r="GG101" s="2">
        <v>0</v>
      </c>
      <c r="GH101" s="2">
        <v>0</v>
      </c>
      <c r="GI101" s="2">
        <v>0</v>
      </c>
      <c r="GJ101" s="2">
        <v>0</v>
      </c>
      <c r="GK101" s="2">
        <v>0</v>
      </c>
      <c r="GL101" s="2">
        <v>0</v>
      </c>
      <c r="GM101" s="2">
        <v>0</v>
      </c>
      <c r="GN101" s="3">
        <v>2</v>
      </c>
      <c r="GO101" s="3">
        <v>0</v>
      </c>
      <c r="GP101" s="3">
        <v>1</v>
      </c>
      <c r="GQ101" s="3">
        <v>0</v>
      </c>
      <c r="GR101" s="3">
        <v>0</v>
      </c>
      <c r="GS101" s="3">
        <v>1</v>
      </c>
      <c r="GT101" s="3">
        <v>0</v>
      </c>
      <c r="GU101" s="3">
        <v>3</v>
      </c>
      <c r="GV101" s="3">
        <v>0</v>
      </c>
      <c r="GW101" s="3">
        <v>0</v>
      </c>
      <c r="GX101" s="3">
        <v>0</v>
      </c>
      <c r="GY101" s="3">
        <v>4</v>
      </c>
      <c r="GZ101" s="3">
        <v>0</v>
      </c>
      <c r="HA101" s="3">
        <v>0</v>
      </c>
      <c r="HB101" s="3">
        <v>0</v>
      </c>
      <c r="HC101" s="3">
        <v>1</v>
      </c>
      <c r="HD101" s="3">
        <v>0</v>
      </c>
      <c r="HE101" s="3">
        <v>1</v>
      </c>
      <c r="HF101" s="3">
        <v>0</v>
      </c>
      <c r="HG101" s="3">
        <v>0</v>
      </c>
      <c r="HH101" s="3">
        <v>0</v>
      </c>
      <c r="HI101" s="3">
        <v>3</v>
      </c>
      <c r="HJ101" s="3">
        <v>0</v>
      </c>
      <c r="HK101" s="3">
        <v>0</v>
      </c>
      <c r="HL101" s="3">
        <v>1</v>
      </c>
      <c r="HM101" s="3">
        <v>0</v>
      </c>
      <c r="HN101" s="3">
        <v>0</v>
      </c>
      <c r="HO101" s="3">
        <v>2</v>
      </c>
      <c r="HP101" s="3">
        <v>4</v>
      </c>
      <c r="HQ101" s="3">
        <v>0</v>
      </c>
      <c r="HR101" s="3">
        <v>0</v>
      </c>
      <c r="HS101" s="3">
        <v>0</v>
      </c>
      <c r="HT101" s="3">
        <v>0</v>
      </c>
      <c r="HU101" s="3">
        <v>0</v>
      </c>
      <c r="HV101" s="3">
        <v>2</v>
      </c>
      <c r="HW101" s="3">
        <v>3</v>
      </c>
      <c r="HX101" s="3">
        <v>0</v>
      </c>
      <c r="HY101" s="3">
        <v>0</v>
      </c>
      <c r="HZ101" s="3">
        <v>0</v>
      </c>
      <c r="IA101" s="3">
        <v>0</v>
      </c>
      <c r="IB101" s="3">
        <v>3</v>
      </c>
      <c r="IC101" s="3">
        <v>0</v>
      </c>
      <c r="ID101" s="3">
        <v>0</v>
      </c>
      <c r="IE101" s="3">
        <v>0</v>
      </c>
      <c r="IF101" s="3">
        <v>0</v>
      </c>
      <c r="IG101" s="3">
        <v>0</v>
      </c>
      <c r="IH101" s="3">
        <v>0</v>
      </c>
      <c r="II101" s="3">
        <v>0</v>
      </c>
      <c r="IJ101" s="3">
        <v>0</v>
      </c>
      <c r="IK101" s="3">
        <v>0</v>
      </c>
      <c r="IL101" s="3">
        <v>0</v>
      </c>
      <c r="IM101" s="3">
        <v>2</v>
      </c>
      <c r="IN101" s="3">
        <v>1</v>
      </c>
      <c r="IO101" s="3">
        <v>1</v>
      </c>
      <c r="IP101" s="3">
        <v>0</v>
      </c>
      <c r="IQ101" s="3">
        <v>0</v>
      </c>
      <c r="IR101" s="3" t="s">
        <v>804</v>
      </c>
      <c r="IS101" s="3">
        <v>2</v>
      </c>
      <c r="IT101" s="3">
        <v>0</v>
      </c>
      <c r="IU101" s="3">
        <v>3</v>
      </c>
      <c r="IV101" s="3">
        <v>0</v>
      </c>
      <c r="IW101" s="3">
        <v>0</v>
      </c>
      <c r="IX101" s="3">
        <v>0</v>
      </c>
      <c r="IY101" s="3">
        <v>0</v>
      </c>
      <c r="IZ101" s="2" t="s">
        <v>268</v>
      </c>
      <c r="JA101" s="2" t="s">
        <v>274</v>
      </c>
    </row>
    <row r="102" spans="1:261" ht="13.2" x14ac:dyDescent="0.25">
      <c r="A102" s="10" t="s">
        <v>274</v>
      </c>
      <c r="B102" s="2" t="s">
        <v>805</v>
      </c>
      <c r="C102" s="2" t="s">
        <v>261</v>
      </c>
      <c r="D102" s="2" t="s">
        <v>270</v>
      </c>
      <c r="E102" s="2">
        <v>22</v>
      </c>
      <c r="F102" s="11" t="s">
        <v>806</v>
      </c>
      <c r="G102" s="11" t="s">
        <v>747</v>
      </c>
      <c r="H102" s="2" t="s">
        <v>807</v>
      </c>
      <c r="I102" s="3">
        <v>3</v>
      </c>
      <c r="J102" s="3">
        <v>3</v>
      </c>
      <c r="K102" s="3">
        <v>4</v>
      </c>
      <c r="L102" s="3">
        <v>3</v>
      </c>
      <c r="M102" s="3">
        <v>3</v>
      </c>
      <c r="N102" s="3">
        <v>3</v>
      </c>
      <c r="O102" s="3">
        <v>3</v>
      </c>
      <c r="P102" s="3">
        <v>3</v>
      </c>
      <c r="Q102" s="3">
        <v>4</v>
      </c>
      <c r="R102" s="3">
        <v>4</v>
      </c>
      <c r="S102" s="3">
        <v>2</v>
      </c>
      <c r="T102" s="3">
        <v>3</v>
      </c>
      <c r="U102" s="3">
        <v>2</v>
      </c>
      <c r="V102" s="3">
        <v>2</v>
      </c>
      <c r="W102" s="3">
        <v>3</v>
      </c>
      <c r="X102" s="3">
        <v>2</v>
      </c>
      <c r="Y102" s="3">
        <v>3</v>
      </c>
      <c r="Z102" s="3">
        <v>2</v>
      </c>
      <c r="AA102" s="3">
        <v>3</v>
      </c>
      <c r="AB102" s="3">
        <v>2</v>
      </c>
      <c r="AC102" s="3">
        <v>2</v>
      </c>
      <c r="AD102" s="3">
        <v>2</v>
      </c>
      <c r="AE102" s="3">
        <v>4</v>
      </c>
      <c r="AF102" s="3">
        <v>2</v>
      </c>
      <c r="AG102" s="3">
        <v>1</v>
      </c>
      <c r="AH102" s="3">
        <v>0</v>
      </c>
      <c r="AI102" s="3">
        <v>4</v>
      </c>
      <c r="AJ102" s="3">
        <v>3</v>
      </c>
      <c r="AK102" s="3">
        <v>3</v>
      </c>
      <c r="AL102" s="3">
        <v>2</v>
      </c>
      <c r="AM102" s="3">
        <v>0</v>
      </c>
      <c r="AN102" s="3">
        <v>3</v>
      </c>
      <c r="AO102" s="3">
        <v>3</v>
      </c>
      <c r="AP102" s="3">
        <v>3</v>
      </c>
      <c r="AQ102" s="3">
        <v>2</v>
      </c>
      <c r="AR102" s="3">
        <v>2</v>
      </c>
      <c r="AS102" s="3">
        <v>1</v>
      </c>
      <c r="AT102" s="3">
        <v>2</v>
      </c>
      <c r="AU102" s="3">
        <v>2</v>
      </c>
      <c r="AV102" s="3">
        <v>4</v>
      </c>
      <c r="AW102" s="3">
        <v>2</v>
      </c>
      <c r="AX102" s="3">
        <v>3</v>
      </c>
      <c r="AY102" s="3">
        <v>2</v>
      </c>
      <c r="AZ102" s="3">
        <v>3</v>
      </c>
      <c r="BA102" s="3">
        <v>2</v>
      </c>
      <c r="BB102" s="3">
        <v>1</v>
      </c>
      <c r="BC102" s="3">
        <v>2</v>
      </c>
      <c r="BD102" s="3">
        <v>1</v>
      </c>
      <c r="BE102" s="3">
        <v>3</v>
      </c>
      <c r="BF102" s="3">
        <v>1</v>
      </c>
      <c r="BG102" s="3">
        <v>2</v>
      </c>
      <c r="BH102" s="3">
        <v>3</v>
      </c>
      <c r="BI102" s="3">
        <v>3</v>
      </c>
      <c r="BJ102" s="3">
        <v>3</v>
      </c>
      <c r="BK102" s="3">
        <v>1</v>
      </c>
      <c r="BL102" s="3">
        <v>0</v>
      </c>
      <c r="BM102" s="3" t="s">
        <v>808</v>
      </c>
      <c r="BN102" s="3">
        <v>3</v>
      </c>
      <c r="BO102" s="3">
        <v>2</v>
      </c>
      <c r="BP102" s="3">
        <v>2</v>
      </c>
      <c r="BQ102" s="3">
        <v>3</v>
      </c>
      <c r="BR102" s="3">
        <v>3</v>
      </c>
      <c r="BS102" s="3">
        <v>1</v>
      </c>
      <c r="BT102" s="3">
        <v>2</v>
      </c>
      <c r="BU102" s="2">
        <v>0</v>
      </c>
      <c r="BV102" s="2">
        <v>0</v>
      </c>
      <c r="BW102" s="2">
        <v>2</v>
      </c>
      <c r="BX102" s="2">
        <v>0</v>
      </c>
      <c r="BY102" s="2">
        <v>0</v>
      </c>
      <c r="BZ102" s="2">
        <v>0</v>
      </c>
      <c r="CA102" s="2">
        <v>1</v>
      </c>
      <c r="CB102" s="2">
        <v>2</v>
      </c>
      <c r="CC102" s="2">
        <v>4</v>
      </c>
      <c r="CD102" s="2">
        <v>0</v>
      </c>
      <c r="CE102" s="2">
        <v>0</v>
      </c>
      <c r="CF102" s="2">
        <v>1</v>
      </c>
      <c r="CG102" s="2">
        <v>0</v>
      </c>
      <c r="CH102" s="2">
        <v>0</v>
      </c>
      <c r="CI102" s="2">
        <v>0</v>
      </c>
      <c r="CJ102" s="2">
        <v>3</v>
      </c>
      <c r="CK102" s="2">
        <v>0</v>
      </c>
      <c r="CL102" s="2">
        <v>0</v>
      </c>
      <c r="CM102" s="2">
        <v>0</v>
      </c>
      <c r="CN102" s="2">
        <v>0</v>
      </c>
      <c r="CO102" s="2">
        <v>0</v>
      </c>
      <c r="CP102" s="2">
        <v>0</v>
      </c>
      <c r="CQ102" s="2">
        <v>0</v>
      </c>
      <c r="CR102" s="2">
        <v>1</v>
      </c>
      <c r="CS102" s="2">
        <v>0</v>
      </c>
      <c r="CT102" s="2">
        <v>0</v>
      </c>
      <c r="CU102" s="2">
        <v>0</v>
      </c>
      <c r="CV102" s="2">
        <v>0</v>
      </c>
      <c r="CW102" s="2">
        <v>3</v>
      </c>
      <c r="CX102" s="2">
        <v>0</v>
      </c>
      <c r="CY102" s="2">
        <v>0</v>
      </c>
      <c r="CZ102" s="2">
        <v>0</v>
      </c>
      <c r="DA102" s="2">
        <v>0</v>
      </c>
      <c r="DB102" s="2">
        <v>0</v>
      </c>
      <c r="DC102" s="2">
        <v>0</v>
      </c>
      <c r="DD102" s="2">
        <v>0</v>
      </c>
      <c r="DE102" s="2">
        <v>2</v>
      </c>
      <c r="DF102" s="2">
        <v>2</v>
      </c>
      <c r="DG102" s="2">
        <v>0</v>
      </c>
      <c r="DH102" s="2">
        <v>0</v>
      </c>
      <c r="DI102" s="2">
        <v>0</v>
      </c>
      <c r="DJ102" s="2">
        <v>0</v>
      </c>
      <c r="DK102" s="2">
        <v>0</v>
      </c>
      <c r="DL102" s="2">
        <v>2</v>
      </c>
      <c r="DM102" s="2">
        <v>0</v>
      </c>
      <c r="DN102" s="2">
        <v>0</v>
      </c>
      <c r="DO102" s="2">
        <v>0</v>
      </c>
      <c r="DP102" s="2">
        <v>2</v>
      </c>
      <c r="DQ102" s="2">
        <v>1</v>
      </c>
      <c r="DR102" s="2">
        <v>2</v>
      </c>
      <c r="DS102" s="2">
        <v>2</v>
      </c>
      <c r="DT102" s="2">
        <v>2</v>
      </c>
      <c r="DU102" s="2">
        <v>0</v>
      </c>
      <c r="DV102" s="2">
        <v>3</v>
      </c>
      <c r="DW102" s="2">
        <v>3</v>
      </c>
      <c r="DX102" s="2">
        <v>2</v>
      </c>
      <c r="DY102" s="2">
        <v>0</v>
      </c>
      <c r="DZ102" s="2">
        <v>0</v>
      </c>
      <c r="EA102" s="2">
        <v>1</v>
      </c>
      <c r="EB102" s="2">
        <v>3</v>
      </c>
      <c r="EC102" s="2">
        <v>0</v>
      </c>
      <c r="ED102" s="2">
        <v>0</v>
      </c>
      <c r="EE102" s="2">
        <v>0</v>
      </c>
      <c r="EF102" s="2">
        <v>0</v>
      </c>
      <c r="EG102" s="2">
        <v>0</v>
      </c>
      <c r="EH102" s="2">
        <v>0</v>
      </c>
      <c r="EI102" s="2">
        <v>3</v>
      </c>
      <c r="EJ102" s="2">
        <v>0</v>
      </c>
      <c r="EK102" s="2">
        <v>0</v>
      </c>
      <c r="EL102" s="2">
        <v>0</v>
      </c>
      <c r="EM102" s="2">
        <v>2</v>
      </c>
      <c r="EN102" s="2">
        <v>0</v>
      </c>
      <c r="EO102" s="2">
        <v>0</v>
      </c>
      <c r="EP102" s="2">
        <v>0</v>
      </c>
      <c r="EQ102" s="2">
        <v>0</v>
      </c>
      <c r="ER102" s="2">
        <v>0</v>
      </c>
      <c r="ES102" s="2">
        <v>0</v>
      </c>
      <c r="ET102" s="2">
        <v>0</v>
      </c>
      <c r="EU102" s="2">
        <v>4</v>
      </c>
      <c r="EV102" s="2">
        <v>0</v>
      </c>
      <c r="EW102" s="2">
        <v>0</v>
      </c>
      <c r="EX102" s="2">
        <v>3</v>
      </c>
      <c r="EY102" s="2">
        <v>0</v>
      </c>
      <c r="EZ102" s="2">
        <v>0</v>
      </c>
      <c r="FA102" s="2">
        <v>0</v>
      </c>
      <c r="FB102" s="2">
        <v>3</v>
      </c>
      <c r="FC102" s="2">
        <v>0</v>
      </c>
      <c r="FD102" s="2">
        <v>0</v>
      </c>
      <c r="FE102" s="2">
        <v>0</v>
      </c>
      <c r="FF102" s="2">
        <v>1</v>
      </c>
      <c r="FG102" s="2">
        <v>0</v>
      </c>
      <c r="FH102" s="2">
        <v>0</v>
      </c>
      <c r="FI102" s="2">
        <v>0</v>
      </c>
      <c r="FJ102" s="2">
        <v>0</v>
      </c>
      <c r="FK102" s="2">
        <v>0</v>
      </c>
      <c r="FL102" s="2">
        <v>3</v>
      </c>
      <c r="FM102" s="2">
        <v>0</v>
      </c>
      <c r="FN102" s="2">
        <v>0</v>
      </c>
      <c r="FO102" s="2">
        <v>0</v>
      </c>
      <c r="FP102" s="2">
        <v>0</v>
      </c>
      <c r="FQ102" s="2">
        <v>0</v>
      </c>
      <c r="FR102" s="2">
        <v>2</v>
      </c>
      <c r="FS102" s="2">
        <v>0</v>
      </c>
      <c r="FT102" s="2">
        <v>0</v>
      </c>
      <c r="FU102" s="2">
        <v>0</v>
      </c>
      <c r="FV102" s="2">
        <v>0</v>
      </c>
      <c r="FW102" s="2">
        <v>0</v>
      </c>
      <c r="FX102" s="2">
        <v>0</v>
      </c>
      <c r="FY102" s="2">
        <v>0</v>
      </c>
      <c r="FZ102" s="2">
        <v>0</v>
      </c>
      <c r="GA102" s="2">
        <v>0</v>
      </c>
      <c r="GB102" s="2">
        <v>0</v>
      </c>
      <c r="GC102" s="2" t="s">
        <v>809</v>
      </c>
      <c r="GD102" s="2">
        <v>0</v>
      </c>
      <c r="GE102" s="2">
        <v>2</v>
      </c>
      <c r="GF102" s="2">
        <v>0</v>
      </c>
      <c r="GG102" s="2">
        <v>0</v>
      </c>
      <c r="GH102" s="2">
        <v>3</v>
      </c>
      <c r="GI102" s="2">
        <v>0</v>
      </c>
      <c r="GJ102" s="2">
        <v>0</v>
      </c>
      <c r="GK102" s="2">
        <v>0</v>
      </c>
      <c r="GL102" s="2" t="s">
        <v>274</v>
      </c>
      <c r="GM102" s="2">
        <v>0</v>
      </c>
      <c r="GN102" s="3">
        <v>4</v>
      </c>
      <c r="GO102" s="3">
        <v>4</v>
      </c>
      <c r="GP102" s="3">
        <v>2</v>
      </c>
      <c r="GQ102" s="3">
        <v>3</v>
      </c>
      <c r="GR102" s="3">
        <v>2</v>
      </c>
      <c r="GS102" s="3">
        <v>0</v>
      </c>
      <c r="GT102" s="3">
        <v>3</v>
      </c>
      <c r="GU102" s="3">
        <v>0</v>
      </c>
      <c r="GV102" s="3">
        <v>2</v>
      </c>
      <c r="GW102" s="3">
        <v>1</v>
      </c>
      <c r="GX102" s="3">
        <v>0</v>
      </c>
      <c r="GY102" s="3">
        <v>0</v>
      </c>
      <c r="GZ102" s="3">
        <v>2</v>
      </c>
      <c r="HA102" s="3">
        <v>0</v>
      </c>
      <c r="HB102" s="3">
        <v>0</v>
      </c>
      <c r="HC102" s="3">
        <v>0</v>
      </c>
      <c r="HD102" s="3">
        <v>0</v>
      </c>
      <c r="HE102" s="3">
        <v>0</v>
      </c>
      <c r="HF102" s="3">
        <v>2</v>
      </c>
      <c r="HG102" s="3">
        <v>0</v>
      </c>
      <c r="HH102" s="3">
        <v>2</v>
      </c>
      <c r="HI102" s="3">
        <v>0</v>
      </c>
      <c r="HJ102" s="3">
        <v>1</v>
      </c>
      <c r="HK102" s="3">
        <v>2</v>
      </c>
      <c r="HL102" s="3">
        <v>0</v>
      </c>
      <c r="HM102" s="3">
        <v>2</v>
      </c>
      <c r="HN102" s="3">
        <v>0</v>
      </c>
      <c r="HO102" s="3">
        <v>2</v>
      </c>
      <c r="HP102" s="3">
        <v>0</v>
      </c>
      <c r="HQ102" s="3">
        <v>2</v>
      </c>
      <c r="HR102" s="3">
        <v>2</v>
      </c>
      <c r="HS102" s="3">
        <v>1</v>
      </c>
      <c r="HT102" s="3">
        <v>1</v>
      </c>
      <c r="HU102" s="3">
        <v>0</v>
      </c>
      <c r="HV102" s="3">
        <v>0</v>
      </c>
      <c r="HW102" s="3">
        <v>0</v>
      </c>
      <c r="HX102" s="3">
        <v>0</v>
      </c>
      <c r="HY102" s="3">
        <v>0</v>
      </c>
      <c r="HZ102" s="3">
        <v>2</v>
      </c>
      <c r="IA102" s="3">
        <v>2</v>
      </c>
      <c r="IB102" s="3">
        <v>0</v>
      </c>
      <c r="IC102" s="3">
        <v>0</v>
      </c>
      <c r="ID102" s="3">
        <v>2</v>
      </c>
      <c r="IE102" s="3">
        <v>0</v>
      </c>
      <c r="IF102" s="3">
        <v>2</v>
      </c>
      <c r="IG102" s="3">
        <v>1</v>
      </c>
      <c r="IH102" s="3">
        <v>0</v>
      </c>
      <c r="II102" s="3">
        <v>0</v>
      </c>
      <c r="IJ102" s="3">
        <v>2</v>
      </c>
      <c r="IK102" s="3">
        <v>2</v>
      </c>
      <c r="IL102" s="3">
        <v>0</v>
      </c>
      <c r="IM102" s="3">
        <v>0</v>
      </c>
      <c r="IN102" s="3">
        <v>0</v>
      </c>
      <c r="IO102" s="3">
        <v>0</v>
      </c>
      <c r="IP102" s="3">
        <v>0</v>
      </c>
      <c r="IQ102" s="3">
        <v>2</v>
      </c>
      <c r="IR102" s="3" t="s">
        <v>810</v>
      </c>
      <c r="IS102" s="3">
        <v>0</v>
      </c>
      <c r="IT102" s="3">
        <v>2</v>
      </c>
      <c r="IU102" s="3">
        <v>0</v>
      </c>
      <c r="IV102" s="3">
        <v>1</v>
      </c>
      <c r="IW102" s="3">
        <v>0</v>
      </c>
      <c r="IX102" s="3">
        <v>0</v>
      </c>
      <c r="IY102" s="3">
        <v>1</v>
      </c>
      <c r="IZ102" s="2" t="s">
        <v>268</v>
      </c>
      <c r="JA102" s="2" t="s">
        <v>274</v>
      </c>
    </row>
    <row r="103" spans="1:261" ht="13.2" x14ac:dyDescent="0.25">
      <c r="A103" s="10" t="s">
        <v>274</v>
      </c>
      <c r="B103" s="2" t="s">
        <v>811</v>
      </c>
      <c r="C103" s="2" t="s">
        <v>261</v>
      </c>
      <c r="D103" s="2" t="s">
        <v>270</v>
      </c>
      <c r="E103" s="2">
        <v>24</v>
      </c>
      <c r="F103" s="11" t="s">
        <v>812</v>
      </c>
      <c r="G103" s="11" t="s">
        <v>813</v>
      </c>
      <c r="H103" s="2" t="s">
        <v>814</v>
      </c>
      <c r="I103" s="3">
        <v>1</v>
      </c>
      <c r="J103" s="3">
        <v>1</v>
      </c>
      <c r="K103" s="3">
        <v>1</v>
      </c>
      <c r="L103" s="3">
        <v>1</v>
      </c>
      <c r="M103" s="12" t="s">
        <v>815</v>
      </c>
      <c r="N103" s="12" t="s">
        <v>815</v>
      </c>
      <c r="O103" s="12" t="s">
        <v>815</v>
      </c>
      <c r="P103" s="12" t="s">
        <v>815</v>
      </c>
      <c r="Q103" s="12" t="s">
        <v>815</v>
      </c>
      <c r="R103" s="12" t="s">
        <v>815</v>
      </c>
      <c r="S103" s="12" t="s">
        <v>815</v>
      </c>
      <c r="T103" s="12" t="s">
        <v>815</v>
      </c>
      <c r="U103" s="12" t="s">
        <v>815</v>
      </c>
      <c r="V103" s="12" t="s">
        <v>815</v>
      </c>
      <c r="W103" s="12" t="s">
        <v>815</v>
      </c>
      <c r="X103" s="12" t="s">
        <v>815</v>
      </c>
      <c r="Y103" s="12" t="s">
        <v>815</v>
      </c>
      <c r="Z103" s="12" t="s">
        <v>815</v>
      </c>
      <c r="AA103" s="12" t="s">
        <v>815</v>
      </c>
      <c r="AB103" s="12" t="s">
        <v>815</v>
      </c>
      <c r="AC103" s="12" t="s">
        <v>815</v>
      </c>
      <c r="AD103" s="12" t="s">
        <v>815</v>
      </c>
      <c r="AE103" s="12" t="s">
        <v>815</v>
      </c>
      <c r="AF103" s="12" t="s">
        <v>815</v>
      </c>
      <c r="AG103" s="12" t="s">
        <v>815</v>
      </c>
      <c r="AH103" s="12" t="s">
        <v>815</v>
      </c>
      <c r="AI103" s="3">
        <v>1</v>
      </c>
      <c r="AJ103" s="3">
        <v>1</v>
      </c>
      <c r="AK103" s="12" t="s">
        <v>815</v>
      </c>
      <c r="AL103" s="12" t="s">
        <v>815</v>
      </c>
      <c r="AM103" s="12" t="s">
        <v>815</v>
      </c>
      <c r="AN103" s="12" t="s">
        <v>815</v>
      </c>
      <c r="AO103" s="12" t="s">
        <v>815</v>
      </c>
      <c r="AP103" s="12" t="s">
        <v>815</v>
      </c>
      <c r="AQ103" s="12" t="s">
        <v>815</v>
      </c>
      <c r="AR103" s="12" t="s">
        <v>815</v>
      </c>
      <c r="AS103" s="12" t="s">
        <v>815</v>
      </c>
      <c r="AT103" s="12" t="s">
        <v>815</v>
      </c>
      <c r="AU103" s="12" t="s">
        <v>815</v>
      </c>
      <c r="AV103" s="12" t="s">
        <v>815</v>
      </c>
      <c r="AW103" s="12" t="s">
        <v>815</v>
      </c>
      <c r="AX103" s="12" t="s">
        <v>815</v>
      </c>
      <c r="AY103" s="12" t="s">
        <v>815</v>
      </c>
      <c r="AZ103" s="12" t="s">
        <v>815</v>
      </c>
      <c r="BA103" s="12" t="s">
        <v>815</v>
      </c>
      <c r="BB103" s="12" t="s">
        <v>815</v>
      </c>
      <c r="BC103" s="12" t="s">
        <v>815</v>
      </c>
      <c r="BD103" s="12" t="s">
        <v>815</v>
      </c>
      <c r="BE103" s="12" t="s">
        <v>815</v>
      </c>
      <c r="BF103" s="12" t="s">
        <v>815</v>
      </c>
      <c r="BG103" s="12" t="s">
        <v>815</v>
      </c>
      <c r="BH103" s="12" t="s">
        <v>815</v>
      </c>
      <c r="BI103" s="12" t="s">
        <v>815</v>
      </c>
      <c r="BJ103" s="12" t="s">
        <v>815</v>
      </c>
      <c r="BK103" s="12" t="s">
        <v>815</v>
      </c>
      <c r="BL103" s="12" t="s">
        <v>815</v>
      </c>
      <c r="BM103" s="3" t="s">
        <v>274</v>
      </c>
      <c r="BN103" s="12" t="s">
        <v>815</v>
      </c>
      <c r="BO103" s="12" t="s">
        <v>815</v>
      </c>
      <c r="BP103" s="12" t="s">
        <v>815</v>
      </c>
      <c r="BQ103" s="12" t="s">
        <v>815</v>
      </c>
      <c r="BR103" s="12" t="s">
        <v>815</v>
      </c>
      <c r="BS103" s="12" t="s">
        <v>815</v>
      </c>
      <c r="BT103" s="12" t="s">
        <v>815</v>
      </c>
      <c r="BU103" s="11" t="s">
        <v>815</v>
      </c>
      <c r="BV103" s="11" t="s">
        <v>815</v>
      </c>
      <c r="BW103" s="11" t="s">
        <v>815</v>
      </c>
      <c r="BX103" s="11" t="s">
        <v>815</v>
      </c>
      <c r="BY103" s="11" t="s">
        <v>815</v>
      </c>
      <c r="BZ103" s="11" t="s">
        <v>815</v>
      </c>
      <c r="CA103" s="11" t="s">
        <v>815</v>
      </c>
      <c r="CB103" s="2">
        <v>2</v>
      </c>
      <c r="CC103" s="11" t="s">
        <v>815</v>
      </c>
      <c r="CD103" s="11" t="s">
        <v>815</v>
      </c>
      <c r="CE103" s="11" t="s">
        <v>815</v>
      </c>
      <c r="CF103" s="11" t="s">
        <v>815</v>
      </c>
      <c r="CG103" s="11" t="s">
        <v>815</v>
      </c>
      <c r="CH103" s="11" t="s">
        <v>815</v>
      </c>
      <c r="CI103" s="11" t="s">
        <v>815</v>
      </c>
      <c r="CJ103" s="11" t="s">
        <v>815</v>
      </c>
      <c r="CK103" s="11" t="s">
        <v>815</v>
      </c>
      <c r="CL103" s="11" t="s">
        <v>815</v>
      </c>
      <c r="CM103" s="11" t="s">
        <v>815</v>
      </c>
      <c r="CN103" s="11" t="s">
        <v>815</v>
      </c>
      <c r="CO103" s="11" t="s">
        <v>815</v>
      </c>
      <c r="CP103" s="11" t="s">
        <v>815</v>
      </c>
      <c r="CQ103" s="11" t="s">
        <v>815</v>
      </c>
      <c r="CR103" s="11" t="s">
        <v>815</v>
      </c>
      <c r="CS103" s="11" t="s">
        <v>815</v>
      </c>
      <c r="CT103" s="11" t="s">
        <v>815</v>
      </c>
      <c r="CU103" s="11" t="s">
        <v>815</v>
      </c>
      <c r="CV103" s="11" t="s">
        <v>815</v>
      </c>
      <c r="CW103" s="11" t="s">
        <v>815</v>
      </c>
      <c r="CX103" s="11" t="s">
        <v>815</v>
      </c>
      <c r="CY103" s="11" t="s">
        <v>815</v>
      </c>
      <c r="CZ103" s="11" t="s">
        <v>815</v>
      </c>
      <c r="DA103" s="11" t="s">
        <v>815</v>
      </c>
      <c r="DB103" s="11" t="s">
        <v>815</v>
      </c>
      <c r="DC103" s="11" t="s">
        <v>815</v>
      </c>
      <c r="DD103" s="11" t="s">
        <v>815</v>
      </c>
      <c r="DE103" s="11" t="s">
        <v>815</v>
      </c>
      <c r="DF103" s="11" t="s">
        <v>815</v>
      </c>
      <c r="DG103" s="11" t="s">
        <v>815</v>
      </c>
      <c r="DH103" s="11" t="s">
        <v>815</v>
      </c>
      <c r="DI103" s="11" t="s">
        <v>815</v>
      </c>
      <c r="DJ103" s="11" t="s">
        <v>815</v>
      </c>
      <c r="DK103" s="11" t="s">
        <v>815</v>
      </c>
      <c r="DL103" s="11" t="s">
        <v>815</v>
      </c>
      <c r="DM103" s="11" t="s">
        <v>815</v>
      </c>
      <c r="DN103" s="11" t="s">
        <v>815</v>
      </c>
      <c r="DO103" s="11" t="s">
        <v>815</v>
      </c>
      <c r="DP103" s="11" t="s">
        <v>815</v>
      </c>
      <c r="DQ103" s="11" t="s">
        <v>815</v>
      </c>
      <c r="DR103" s="11" t="s">
        <v>815</v>
      </c>
      <c r="DS103" s="11" t="s">
        <v>815</v>
      </c>
      <c r="DT103" s="11" t="s">
        <v>815</v>
      </c>
      <c r="DU103" s="11" t="s">
        <v>815</v>
      </c>
      <c r="DV103" s="11" t="s">
        <v>815</v>
      </c>
      <c r="DW103" s="11" t="s">
        <v>815</v>
      </c>
      <c r="DX103" s="11" t="s">
        <v>815</v>
      </c>
      <c r="DY103" s="11" t="s">
        <v>815</v>
      </c>
      <c r="DZ103" s="11" t="s">
        <v>815</v>
      </c>
      <c r="EA103" s="11" t="s">
        <v>815</v>
      </c>
      <c r="EB103" s="11" t="s">
        <v>815</v>
      </c>
      <c r="EC103" s="11" t="s">
        <v>815</v>
      </c>
      <c r="ED103" s="11" t="s">
        <v>815</v>
      </c>
      <c r="EE103" s="11" t="s">
        <v>815</v>
      </c>
      <c r="EF103" s="11" t="s">
        <v>815</v>
      </c>
      <c r="EG103" s="11" t="s">
        <v>815</v>
      </c>
      <c r="EH103" s="11" t="s">
        <v>815</v>
      </c>
      <c r="EI103" s="11" t="s">
        <v>815</v>
      </c>
      <c r="EJ103" s="11" t="s">
        <v>815</v>
      </c>
      <c r="EK103" s="11" t="s">
        <v>815</v>
      </c>
      <c r="EL103" s="11" t="s">
        <v>815</v>
      </c>
      <c r="EM103" s="11" t="s">
        <v>815</v>
      </c>
      <c r="EN103" s="11" t="s">
        <v>815</v>
      </c>
      <c r="EO103" s="11" t="s">
        <v>815</v>
      </c>
      <c r="EP103" s="11" t="s">
        <v>815</v>
      </c>
      <c r="EQ103" s="11" t="s">
        <v>815</v>
      </c>
      <c r="ER103" s="11" t="s">
        <v>815</v>
      </c>
      <c r="ES103" s="11" t="s">
        <v>815</v>
      </c>
      <c r="ET103" s="11" t="s">
        <v>815</v>
      </c>
      <c r="EU103" s="11" t="s">
        <v>815</v>
      </c>
      <c r="EV103" s="11" t="s">
        <v>815</v>
      </c>
      <c r="EW103" s="11" t="s">
        <v>815</v>
      </c>
      <c r="EX103" s="11" t="s">
        <v>815</v>
      </c>
      <c r="EY103" s="11" t="s">
        <v>815</v>
      </c>
      <c r="EZ103" s="11" t="s">
        <v>815</v>
      </c>
      <c r="FA103" s="11" t="s">
        <v>815</v>
      </c>
      <c r="FB103" s="11" t="s">
        <v>815</v>
      </c>
      <c r="FC103" s="11" t="s">
        <v>815</v>
      </c>
      <c r="FD103" s="11" t="s">
        <v>815</v>
      </c>
      <c r="FE103" s="11" t="s">
        <v>815</v>
      </c>
      <c r="FF103" s="11" t="s">
        <v>815</v>
      </c>
      <c r="FG103" s="11" t="s">
        <v>815</v>
      </c>
      <c r="FH103" s="11" t="s">
        <v>815</v>
      </c>
      <c r="FI103" s="11" t="s">
        <v>815</v>
      </c>
      <c r="FJ103" s="11" t="s">
        <v>815</v>
      </c>
      <c r="FK103" s="11" t="s">
        <v>815</v>
      </c>
      <c r="FL103" s="11" t="s">
        <v>815</v>
      </c>
      <c r="FM103" s="11" t="s">
        <v>815</v>
      </c>
      <c r="FN103" s="11" t="s">
        <v>815</v>
      </c>
      <c r="FO103" s="11" t="s">
        <v>815</v>
      </c>
      <c r="FP103" s="11" t="s">
        <v>815</v>
      </c>
      <c r="FQ103" s="11" t="s">
        <v>815</v>
      </c>
      <c r="FR103" s="11" t="s">
        <v>815</v>
      </c>
      <c r="FS103" s="11" t="s">
        <v>815</v>
      </c>
      <c r="FT103" s="11" t="s">
        <v>815</v>
      </c>
      <c r="FU103" s="11" t="s">
        <v>815</v>
      </c>
      <c r="FV103" s="11" t="s">
        <v>815</v>
      </c>
      <c r="FW103" s="11" t="s">
        <v>815</v>
      </c>
      <c r="FX103" s="11" t="s">
        <v>815</v>
      </c>
      <c r="FY103" s="11" t="s">
        <v>815</v>
      </c>
      <c r="FZ103" s="11" t="s">
        <v>815</v>
      </c>
      <c r="GA103" s="11" t="s">
        <v>815</v>
      </c>
      <c r="GB103" s="11" t="s">
        <v>815</v>
      </c>
      <c r="GC103" s="2" t="s">
        <v>274</v>
      </c>
      <c r="GD103" s="2" t="s">
        <v>274</v>
      </c>
      <c r="GE103" s="2" t="s">
        <v>274</v>
      </c>
      <c r="GF103" s="2" t="s">
        <v>274</v>
      </c>
      <c r="GG103" s="2" t="s">
        <v>274</v>
      </c>
      <c r="GH103" s="2" t="s">
        <v>274</v>
      </c>
      <c r="GI103" s="2" t="s">
        <v>274</v>
      </c>
      <c r="GJ103" s="2" t="s">
        <v>274</v>
      </c>
      <c r="GK103" s="11" t="s">
        <v>815</v>
      </c>
      <c r="GL103" s="2" t="s">
        <v>274</v>
      </c>
      <c r="GM103" s="2" t="s">
        <v>274</v>
      </c>
      <c r="GN103" s="12" t="s">
        <v>815</v>
      </c>
      <c r="GO103" s="12" t="s">
        <v>815</v>
      </c>
      <c r="GP103" s="12" t="s">
        <v>815</v>
      </c>
      <c r="GQ103" s="12" t="s">
        <v>815</v>
      </c>
      <c r="GR103" s="12" t="s">
        <v>815</v>
      </c>
      <c r="GS103" s="12" t="s">
        <v>815</v>
      </c>
      <c r="GT103" s="12" t="s">
        <v>815</v>
      </c>
      <c r="GU103" s="12" t="s">
        <v>815</v>
      </c>
      <c r="GV103" s="12" t="s">
        <v>815</v>
      </c>
      <c r="GW103" s="12" t="s">
        <v>815</v>
      </c>
      <c r="GX103" s="12" t="s">
        <v>815</v>
      </c>
      <c r="GY103" s="12" t="s">
        <v>815</v>
      </c>
      <c r="GZ103" s="12" t="s">
        <v>815</v>
      </c>
      <c r="HA103" s="12" t="s">
        <v>815</v>
      </c>
      <c r="HB103" s="12" t="s">
        <v>815</v>
      </c>
      <c r="HC103" s="12" t="s">
        <v>815</v>
      </c>
      <c r="HD103" s="12" t="s">
        <v>815</v>
      </c>
      <c r="HE103" s="12" t="s">
        <v>815</v>
      </c>
      <c r="HF103" s="12" t="s">
        <v>815</v>
      </c>
      <c r="HG103" s="12" t="s">
        <v>815</v>
      </c>
      <c r="HH103" s="12" t="s">
        <v>815</v>
      </c>
      <c r="HI103" s="12" t="s">
        <v>815</v>
      </c>
      <c r="HJ103" s="12" t="s">
        <v>815</v>
      </c>
      <c r="HK103" s="12" t="s">
        <v>815</v>
      </c>
      <c r="HL103" s="12" t="s">
        <v>815</v>
      </c>
      <c r="HM103" s="12" t="s">
        <v>815</v>
      </c>
      <c r="HN103" s="12" t="s">
        <v>815</v>
      </c>
      <c r="HO103" s="12" t="s">
        <v>815</v>
      </c>
      <c r="HP103" s="12" t="s">
        <v>815</v>
      </c>
      <c r="HQ103" s="12" t="s">
        <v>815</v>
      </c>
      <c r="HR103" s="12" t="s">
        <v>815</v>
      </c>
      <c r="HS103" s="12" t="s">
        <v>815</v>
      </c>
      <c r="HT103" s="12" t="s">
        <v>815</v>
      </c>
      <c r="HU103" s="12" t="s">
        <v>815</v>
      </c>
      <c r="HV103" s="12" t="s">
        <v>815</v>
      </c>
      <c r="HW103" s="12" t="s">
        <v>815</v>
      </c>
      <c r="HX103" s="12" t="s">
        <v>815</v>
      </c>
      <c r="HY103" s="12" t="s">
        <v>815</v>
      </c>
      <c r="HZ103" s="12" t="s">
        <v>815</v>
      </c>
      <c r="IA103" s="12" t="s">
        <v>815</v>
      </c>
      <c r="IB103" s="12" t="s">
        <v>815</v>
      </c>
      <c r="IC103" s="12" t="s">
        <v>815</v>
      </c>
      <c r="ID103" s="12" t="s">
        <v>815</v>
      </c>
      <c r="IE103" s="12" t="s">
        <v>815</v>
      </c>
      <c r="IF103" s="12" t="s">
        <v>815</v>
      </c>
      <c r="IG103" s="12" t="s">
        <v>815</v>
      </c>
      <c r="IH103" s="12" t="s">
        <v>815</v>
      </c>
      <c r="II103" s="12" t="s">
        <v>815</v>
      </c>
      <c r="IJ103" s="12" t="s">
        <v>815</v>
      </c>
      <c r="IK103" s="12" t="s">
        <v>815</v>
      </c>
      <c r="IL103" s="12" t="s">
        <v>815</v>
      </c>
      <c r="IM103" s="12" t="s">
        <v>815</v>
      </c>
      <c r="IN103" s="12" t="s">
        <v>815</v>
      </c>
      <c r="IO103" s="12" t="s">
        <v>815</v>
      </c>
      <c r="IP103" s="12" t="s">
        <v>815</v>
      </c>
      <c r="IQ103" s="12" t="s">
        <v>815</v>
      </c>
      <c r="IR103" s="3" t="s">
        <v>274</v>
      </c>
      <c r="IS103" s="12" t="s">
        <v>815</v>
      </c>
      <c r="IT103" s="12" t="s">
        <v>815</v>
      </c>
      <c r="IU103" s="12" t="s">
        <v>815</v>
      </c>
      <c r="IV103" s="12" t="s">
        <v>815</v>
      </c>
      <c r="IW103" s="12" t="s">
        <v>815</v>
      </c>
      <c r="IX103" s="12" t="s">
        <v>815</v>
      </c>
      <c r="IY103" s="12" t="s">
        <v>815</v>
      </c>
      <c r="IZ103" s="2" t="s">
        <v>816</v>
      </c>
    </row>
    <row r="104" spans="1:261" ht="13.2" x14ac:dyDescent="0.25">
      <c r="A104" s="10" t="s">
        <v>274</v>
      </c>
      <c r="B104" s="2" t="s">
        <v>817</v>
      </c>
      <c r="C104" s="2" t="s">
        <v>276</v>
      </c>
      <c r="D104" s="2" t="s">
        <v>270</v>
      </c>
      <c r="E104" s="2">
        <v>21</v>
      </c>
      <c r="F104" s="11" t="s">
        <v>818</v>
      </c>
      <c r="G104" s="11" t="s">
        <v>819</v>
      </c>
      <c r="H104" s="2" t="s">
        <v>820</v>
      </c>
      <c r="I104" s="3">
        <v>4</v>
      </c>
      <c r="J104" s="3">
        <v>3</v>
      </c>
      <c r="K104" s="3">
        <v>3</v>
      </c>
      <c r="L104" s="3">
        <v>4</v>
      </c>
      <c r="M104" s="3">
        <v>3</v>
      </c>
      <c r="N104" s="3">
        <v>4</v>
      </c>
      <c r="O104" s="3">
        <v>2</v>
      </c>
      <c r="P104" s="3">
        <v>2</v>
      </c>
      <c r="Q104" s="3">
        <v>3</v>
      </c>
      <c r="R104" s="12" t="s">
        <v>815</v>
      </c>
      <c r="S104" s="3">
        <v>2</v>
      </c>
      <c r="T104" s="3">
        <v>2</v>
      </c>
      <c r="U104" s="3">
        <v>3</v>
      </c>
      <c r="V104" s="3">
        <v>4</v>
      </c>
      <c r="W104" s="3">
        <v>4</v>
      </c>
      <c r="X104" s="3">
        <v>2</v>
      </c>
      <c r="Y104" s="3">
        <v>4</v>
      </c>
      <c r="Z104" s="3">
        <v>4</v>
      </c>
      <c r="AA104" s="3">
        <v>3</v>
      </c>
      <c r="AB104" s="3">
        <v>3</v>
      </c>
      <c r="AC104" s="3">
        <v>3</v>
      </c>
      <c r="AD104" s="3">
        <v>4</v>
      </c>
      <c r="AE104" s="3">
        <v>4</v>
      </c>
      <c r="AF104" s="12" t="s">
        <v>815</v>
      </c>
      <c r="AG104" s="12" t="s">
        <v>815</v>
      </c>
      <c r="AH104" s="12" t="s">
        <v>815</v>
      </c>
      <c r="AI104" s="3">
        <v>4</v>
      </c>
      <c r="AJ104" s="3">
        <v>3</v>
      </c>
      <c r="AK104" s="3">
        <v>4</v>
      </c>
      <c r="AL104" s="3">
        <v>3</v>
      </c>
      <c r="AM104" s="3">
        <v>4</v>
      </c>
      <c r="AN104" s="3">
        <v>4</v>
      </c>
      <c r="AO104" s="3">
        <v>4</v>
      </c>
      <c r="AP104" s="3">
        <v>2</v>
      </c>
      <c r="AQ104" s="3">
        <v>2</v>
      </c>
      <c r="AR104" s="3">
        <v>1</v>
      </c>
      <c r="AS104" s="3">
        <v>2</v>
      </c>
      <c r="AT104" s="3">
        <v>3</v>
      </c>
      <c r="AU104" s="3">
        <v>4</v>
      </c>
      <c r="AV104" s="3">
        <v>2</v>
      </c>
      <c r="AW104" s="3">
        <v>3</v>
      </c>
      <c r="AX104" s="3">
        <v>4</v>
      </c>
      <c r="AY104" s="3">
        <v>4</v>
      </c>
      <c r="AZ104" s="3">
        <v>2</v>
      </c>
      <c r="BA104" s="3">
        <v>2</v>
      </c>
      <c r="BB104" s="3">
        <v>3</v>
      </c>
      <c r="BC104" s="3">
        <v>4</v>
      </c>
      <c r="BD104" s="3">
        <v>3</v>
      </c>
      <c r="BE104" s="3">
        <v>4</v>
      </c>
      <c r="BF104" s="3">
        <v>4</v>
      </c>
      <c r="BG104" s="3">
        <v>4</v>
      </c>
      <c r="BH104" s="3">
        <v>4</v>
      </c>
      <c r="BI104" s="3">
        <v>4</v>
      </c>
      <c r="BJ104" s="3">
        <v>4</v>
      </c>
      <c r="BK104" s="3">
        <v>4</v>
      </c>
      <c r="BL104" s="3">
        <v>2</v>
      </c>
      <c r="BM104" s="3" t="s">
        <v>821</v>
      </c>
      <c r="BN104" s="3">
        <v>4</v>
      </c>
      <c r="BO104" s="3">
        <v>4</v>
      </c>
      <c r="BP104" s="3">
        <v>4</v>
      </c>
      <c r="BQ104" s="3">
        <v>4</v>
      </c>
      <c r="BR104" s="3">
        <v>4</v>
      </c>
      <c r="BS104" s="3">
        <v>4</v>
      </c>
      <c r="BT104" s="3">
        <v>4</v>
      </c>
      <c r="BU104" s="2">
        <v>3</v>
      </c>
      <c r="BV104" s="2">
        <v>3</v>
      </c>
      <c r="BW104" s="2">
        <v>3</v>
      </c>
      <c r="BX104" s="2">
        <v>1</v>
      </c>
      <c r="BY104" s="2">
        <v>2</v>
      </c>
      <c r="BZ104" s="2">
        <v>1</v>
      </c>
      <c r="CA104" s="11" t="s">
        <v>815</v>
      </c>
      <c r="CB104" s="2">
        <v>4</v>
      </c>
      <c r="CC104" s="2">
        <v>1</v>
      </c>
      <c r="CD104" s="2">
        <v>2</v>
      </c>
      <c r="CE104" s="2">
        <v>4</v>
      </c>
      <c r="CF104" s="2">
        <v>4</v>
      </c>
      <c r="CG104" s="2">
        <v>2</v>
      </c>
      <c r="CH104" s="11" t="s">
        <v>815</v>
      </c>
      <c r="CI104" s="2">
        <v>4</v>
      </c>
      <c r="CJ104" s="11" t="s">
        <v>815</v>
      </c>
      <c r="CK104" s="2">
        <v>2</v>
      </c>
      <c r="CL104" s="2">
        <v>4</v>
      </c>
      <c r="CM104" s="2">
        <v>4</v>
      </c>
      <c r="CN104" s="2">
        <v>2</v>
      </c>
      <c r="CO104" s="2">
        <v>1</v>
      </c>
      <c r="CP104" s="11" t="s">
        <v>815</v>
      </c>
      <c r="CQ104" s="2">
        <v>4</v>
      </c>
      <c r="CR104" s="2">
        <v>4</v>
      </c>
      <c r="CS104" s="2">
        <v>4</v>
      </c>
      <c r="CT104" s="2">
        <v>2</v>
      </c>
      <c r="CU104" s="2">
        <v>1</v>
      </c>
      <c r="CV104" s="2">
        <v>1</v>
      </c>
      <c r="CW104" s="2">
        <v>1</v>
      </c>
      <c r="CX104" s="11" t="s">
        <v>815</v>
      </c>
      <c r="CY104" s="11" t="s">
        <v>815</v>
      </c>
      <c r="CZ104" s="2">
        <v>4</v>
      </c>
      <c r="DA104" s="2">
        <v>4</v>
      </c>
      <c r="DB104" s="2">
        <v>4</v>
      </c>
      <c r="DC104" s="2">
        <v>2</v>
      </c>
      <c r="DD104" s="2">
        <v>2</v>
      </c>
      <c r="DE104" s="2">
        <v>4</v>
      </c>
      <c r="DF104" s="2">
        <v>4</v>
      </c>
      <c r="DG104" s="2">
        <v>4</v>
      </c>
      <c r="DH104" s="2">
        <v>4</v>
      </c>
      <c r="DI104" s="2">
        <v>4</v>
      </c>
      <c r="DJ104" s="2">
        <v>1</v>
      </c>
      <c r="DK104" s="2">
        <v>1</v>
      </c>
      <c r="DL104" s="2">
        <v>3</v>
      </c>
      <c r="DM104" s="2">
        <v>2</v>
      </c>
      <c r="DN104" s="2">
        <v>2</v>
      </c>
      <c r="DO104" s="2">
        <v>2</v>
      </c>
      <c r="DP104" s="2">
        <v>3</v>
      </c>
      <c r="DQ104" s="2">
        <v>3</v>
      </c>
      <c r="DR104" s="2">
        <v>2</v>
      </c>
      <c r="DS104" s="2">
        <v>4</v>
      </c>
      <c r="DT104" s="2">
        <v>4</v>
      </c>
      <c r="DU104" s="2">
        <v>2</v>
      </c>
      <c r="DV104" s="2">
        <v>2</v>
      </c>
      <c r="DW104" s="11" t="s">
        <v>815</v>
      </c>
      <c r="DX104" s="2">
        <v>4</v>
      </c>
      <c r="DY104" s="2">
        <v>4</v>
      </c>
      <c r="DZ104" s="2">
        <v>4</v>
      </c>
      <c r="EA104" s="2">
        <v>1</v>
      </c>
      <c r="EB104" s="11" t="s">
        <v>815</v>
      </c>
      <c r="EC104" s="11" t="s">
        <v>815</v>
      </c>
      <c r="ED104" s="11" t="s">
        <v>815</v>
      </c>
      <c r="EE104" s="11" t="s">
        <v>815</v>
      </c>
      <c r="EF104" s="11" t="s">
        <v>815</v>
      </c>
      <c r="EG104" s="11" t="s">
        <v>815</v>
      </c>
      <c r="EH104" s="11" t="s">
        <v>815</v>
      </c>
      <c r="EI104" s="2">
        <v>4</v>
      </c>
      <c r="EJ104" s="2">
        <v>4</v>
      </c>
      <c r="EK104" s="2">
        <v>4</v>
      </c>
      <c r="EL104" s="2">
        <v>4</v>
      </c>
      <c r="EM104" s="2">
        <v>2</v>
      </c>
      <c r="EN104" s="2">
        <v>3</v>
      </c>
      <c r="EO104" s="2">
        <v>4</v>
      </c>
      <c r="EP104" s="2">
        <v>1</v>
      </c>
      <c r="EQ104" s="2">
        <v>2</v>
      </c>
      <c r="ER104" s="2">
        <v>2</v>
      </c>
      <c r="ES104" s="2">
        <v>3</v>
      </c>
      <c r="ET104" s="2">
        <v>1</v>
      </c>
      <c r="EU104" s="2">
        <v>4</v>
      </c>
      <c r="EV104" s="2">
        <v>4</v>
      </c>
      <c r="EW104" s="2">
        <v>4</v>
      </c>
      <c r="EX104" s="2">
        <v>4</v>
      </c>
      <c r="EY104" s="2">
        <v>3</v>
      </c>
      <c r="EZ104" s="2">
        <v>3</v>
      </c>
      <c r="FA104" s="2">
        <v>1</v>
      </c>
      <c r="FB104" s="2">
        <v>1</v>
      </c>
      <c r="FC104" s="2">
        <v>2</v>
      </c>
      <c r="FD104" s="2">
        <v>4</v>
      </c>
      <c r="FE104" s="2">
        <v>1</v>
      </c>
      <c r="FF104" s="2">
        <v>4</v>
      </c>
      <c r="FG104" s="2">
        <v>2</v>
      </c>
      <c r="FH104" s="2">
        <v>4</v>
      </c>
      <c r="FI104" s="2">
        <v>1</v>
      </c>
      <c r="FJ104" s="2">
        <v>2</v>
      </c>
      <c r="FK104" s="2">
        <v>1</v>
      </c>
      <c r="FL104" s="2">
        <v>3</v>
      </c>
      <c r="FM104" s="2">
        <v>2</v>
      </c>
      <c r="FN104" s="2">
        <v>2</v>
      </c>
      <c r="FO104" s="2">
        <v>2</v>
      </c>
      <c r="FP104" s="2">
        <v>1</v>
      </c>
      <c r="FQ104" s="2">
        <v>3</v>
      </c>
      <c r="FR104" s="2">
        <v>4</v>
      </c>
      <c r="FS104" s="2">
        <v>4</v>
      </c>
      <c r="FT104" s="2">
        <v>2</v>
      </c>
      <c r="FU104" s="2">
        <v>3</v>
      </c>
      <c r="FV104" s="2">
        <v>2</v>
      </c>
      <c r="FW104" s="2">
        <v>3</v>
      </c>
      <c r="FX104" s="2">
        <v>4</v>
      </c>
      <c r="FY104" s="2">
        <v>3</v>
      </c>
      <c r="FZ104" s="2">
        <v>3</v>
      </c>
      <c r="GA104" s="11" t="s">
        <v>815</v>
      </c>
      <c r="GB104" s="2">
        <v>4</v>
      </c>
      <c r="GC104" s="2" t="s">
        <v>822</v>
      </c>
      <c r="GD104" s="2">
        <v>4</v>
      </c>
      <c r="GE104" s="2">
        <v>2</v>
      </c>
      <c r="GF104" s="2">
        <v>2</v>
      </c>
      <c r="GG104" s="2">
        <v>4</v>
      </c>
      <c r="GH104" s="2">
        <v>4</v>
      </c>
      <c r="GI104" s="2">
        <v>4</v>
      </c>
      <c r="GJ104" s="2">
        <v>2</v>
      </c>
      <c r="GK104" s="2">
        <v>1</v>
      </c>
      <c r="GL104" s="2">
        <v>3</v>
      </c>
      <c r="GM104" s="2">
        <v>3</v>
      </c>
      <c r="GN104" s="3">
        <v>4</v>
      </c>
      <c r="GO104" s="3">
        <v>3</v>
      </c>
      <c r="GP104" s="3">
        <v>2</v>
      </c>
      <c r="GQ104" s="3">
        <v>4</v>
      </c>
      <c r="GR104" s="3">
        <v>2</v>
      </c>
      <c r="GS104" s="3">
        <v>4</v>
      </c>
      <c r="GT104" s="3">
        <v>4</v>
      </c>
      <c r="GU104" s="3">
        <v>2</v>
      </c>
      <c r="GV104" s="3">
        <v>4</v>
      </c>
      <c r="GW104" s="3">
        <v>2</v>
      </c>
      <c r="GX104" s="3">
        <v>2</v>
      </c>
      <c r="GY104" s="3">
        <v>1</v>
      </c>
      <c r="GZ104" s="3">
        <v>4</v>
      </c>
      <c r="HA104" s="3">
        <v>4</v>
      </c>
      <c r="HB104" s="12" t="s">
        <v>815</v>
      </c>
      <c r="HC104" s="3">
        <v>1</v>
      </c>
      <c r="HD104" s="3">
        <v>2</v>
      </c>
      <c r="HE104" s="12" t="s">
        <v>815</v>
      </c>
      <c r="HF104" s="3">
        <v>4</v>
      </c>
      <c r="HG104" s="12" t="s">
        <v>815</v>
      </c>
      <c r="HH104" s="3">
        <v>4</v>
      </c>
      <c r="HI104" s="3">
        <v>2</v>
      </c>
      <c r="HJ104" s="3">
        <v>4</v>
      </c>
      <c r="HK104" s="3">
        <v>4</v>
      </c>
      <c r="HL104" s="12" t="s">
        <v>815</v>
      </c>
      <c r="HM104" s="3">
        <v>3</v>
      </c>
      <c r="HN104" s="12" t="s">
        <v>815</v>
      </c>
      <c r="HO104" s="3">
        <v>4</v>
      </c>
      <c r="HP104" s="12" t="s">
        <v>815</v>
      </c>
      <c r="HQ104" s="3">
        <v>4</v>
      </c>
      <c r="HR104" s="3">
        <v>1</v>
      </c>
      <c r="HS104" s="12" t="s">
        <v>815</v>
      </c>
      <c r="HT104" s="3">
        <v>1</v>
      </c>
      <c r="HU104" s="3">
        <v>1</v>
      </c>
      <c r="HV104" s="3">
        <v>4</v>
      </c>
      <c r="HW104" s="3">
        <v>2</v>
      </c>
      <c r="HX104" s="3">
        <v>4</v>
      </c>
      <c r="HY104" s="3">
        <v>2</v>
      </c>
      <c r="HZ104" s="3">
        <v>3</v>
      </c>
      <c r="IA104" s="3">
        <v>4</v>
      </c>
      <c r="IB104" s="3">
        <v>3</v>
      </c>
      <c r="IC104" s="3">
        <v>3</v>
      </c>
      <c r="ID104" s="3">
        <v>4</v>
      </c>
      <c r="IE104" s="12" t="s">
        <v>815</v>
      </c>
      <c r="IF104" s="3">
        <v>2</v>
      </c>
      <c r="IG104" s="3">
        <v>2</v>
      </c>
      <c r="IH104" s="3">
        <v>2</v>
      </c>
      <c r="II104" s="3">
        <v>1</v>
      </c>
      <c r="IJ104" s="3">
        <v>4</v>
      </c>
      <c r="IK104" s="3">
        <v>3</v>
      </c>
      <c r="IL104" s="3">
        <v>4</v>
      </c>
      <c r="IM104" s="3">
        <v>2</v>
      </c>
      <c r="IN104" s="3">
        <v>1</v>
      </c>
      <c r="IO104" s="3">
        <v>4</v>
      </c>
      <c r="IP104" s="3">
        <v>2</v>
      </c>
      <c r="IQ104" s="3">
        <v>4</v>
      </c>
      <c r="IR104" s="3" t="s">
        <v>823</v>
      </c>
      <c r="IS104" s="3">
        <v>4</v>
      </c>
      <c r="IT104" s="3">
        <v>4</v>
      </c>
      <c r="IU104" s="3">
        <v>1</v>
      </c>
      <c r="IV104" s="3">
        <v>4</v>
      </c>
      <c r="IW104" s="3">
        <v>4</v>
      </c>
      <c r="IX104" s="3">
        <v>4</v>
      </c>
      <c r="IY104" s="3">
        <v>3</v>
      </c>
      <c r="IZ104" s="2" t="s">
        <v>816</v>
      </c>
    </row>
    <row r="105" spans="1:261" ht="13.2" x14ac:dyDescent="0.25">
      <c r="A105" s="10" t="s">
        <v>274</v>
      </c>
      <c r="B105" s="2" t="s">
        <v>824</v>
      </c>
      <c r="C105" s="2" t="s">
        <v>276</v>
      </c>
      <c r="D105" s="2" t="s">
        <v>270</v>
      </c>
      <c r="E105" s="2">
        <v>19</v>
      </c>
      <c r="F105" s="11" t="s">
        <v>825</v>
      </c>
      <c r="G105" s="11" t="s">
        <v>826</v>
      </c>
      <c r="H105" s="2" t="s">
        <v>827</v>
      </c>
      <c r="I105" s="3">
        <v>4</v>
      </c>
      <c r="J105" s="3">
        <v>1</v>
      </c>
      <c r="K105" s="3">
        <v>2</v>
      </c>
      <c r="L105" s="3">
        <v>1</v>
      </c>
      <c r="M105" s="3">
        <v>2</v>
      </c>
      <c r="N105" s="3">
        <v>4</v>
      </c>
      <c r="O105" s="3">
        <v>3</v>
      </c>
      <c r="P105" s="3">
        <v>1</v>
      </c>
      <c r="Q105" s="12" t="s">
        <v>815</v>
      </c>
      <c r="R105" s="3">
        <v>2</v>
      </c>
      <c r="S105" s="3">
        <v>1</v>
      </c>
      <c r="T105" s="3">
        <v>3</v>
      </c>
      <c r="U105" s="3">
        <v>3</v>
      </c>
      <c r="V105" s="12" t="s">
        <v>815</v>
      </c>
      <c r="W105" s="3">
        <v>2</v>
      </c>
      <c r="X105" s="3">
        <v>2</v>
      </c>
      <c r="Y105" s="3">
        <v>3</v>
      </c>
      <c r="Z105" s="3">
        <v>2</v>
      </c>
      <c r="AA105" s="3">
        <v>4</v>
      </c>
      <c r="AB105" s="3">
        <v>1</v>
      </c>
      <c r="AC105" s="3">
        <v>2</v>
      </c>
      <c r="AD105" s="3">
        <v>2</v>
      </c>
      <c r="AE105" s="3">
        <v>3</v>
      </c>
      <c r="AF105" s="3">
        <v>1</v>
      </c>
      <c r="AG105" s="3">
        <v>2</v>
      </c>
      <c r="AH105" s="3">
        <v>2</v>
      </c>
      <c r="AI105" s="3">
        <v>4</v>
      </c>
      <c r="AJ105" s="3">
        <v>4</v>
      </c>
      <c r="AK105" s="3">
        <v>4</v>
      </c>
      <c r="AL105" s="3">
        <v>4</v>
      </c>
      <c r="AM105" s="3">
        <v>1</v>
      </c>
      <c r="AN105" s="12" t="s">
        <v>815</v>
      </c>
      <c r="AO105" s="3">
        <v>4</v>
      </c>
      <c r="AP105" s="3">
        <v>2</v>
      </c>
      <c r="AQ105" s="3">
        <v>2</v>
      </c>
      <c r="AR105" s="3">
        <v>3</v>
      </c>
      <c r="AS105" s="3">
        <v>2</v>
      </c>
      <c r="AT105" s="3">
        <v>2</v>
      </c>
      <c r="AU105" s="3">
        <v>2</v>
      </c>
      <c r="AV105" s="3">
        <v>3</v>
      </c>
      <c r="AW105" s="3">
        <v>4</v>
      </c>
      <c r="AX105" s="3">
        <v>1</v>
      </c>
      <c r="AY105" s="3">
        <v>1</v>
      </c>
      <c r="AZ105" s="3">
        <v>4</v>
      </c>
      <c r="BA105" s="3">
        <v>1</v>
      </c>
      <c r="BB105" s="3">
        <v>2</v>
      </c>
      <c r="BC105" s="12" t="s">
        <v>815</v>
      </c>
      <c r="BD105" s="3">
        <v>2</v>
      </c>
      <c r="BE105" s="12" t="s">
        <v>815</v>
      </c>
      <c r="BF105" s="3">
        <v>2</v>
      </c>
      <c r="BG105" s="3">
        <v>2</v>
      </c>
      <c r="BH105" s="12" t="s">
        <v>815</v>
      </c>
      <c r="BI105" s="12" t="s">
        <v>815</v>
      </c>
      <c r="BJ105" s="3">
        <v>3</v>
      </c>
      <c r="BK105" s="3">
        <v>1</v>
      </c>
      <c r="BL105" s="3">
        <v>3</v>
      </c>
      <c r="BM105" s="3" t="s">
        <v>828</v>
      </c>
      <c r="BN105" s="3">
        <v>4</v>
      </c>
      <c r="BO105" s="3">
        <v>2</v>
      </c>
      <c r="BP105" s="3">
        <v>2</v>
      </c>
      <c r="BQ105" s="3">
        <v>1</v>
      </c>
      <c r="BR105" s="3">
        <v>3</v>
      </c>
      <c r="BS105" s="3">
        <v>2</v>
      </c>
      <c r="BT105" s="3">
        <v>3</v>
      </c>
      <c r="BU105" s="2">
        <v>2</v>
      </c>
      <c r="BV105" s="2">
        <v>3</v>
      </c>
      <c r="BW105" s="2">
        <v>4</v>
      </c>
      <c r="BX105" s="2">
        <v>1</v>
      </c>
      <c r="BY105" s="2">
        <v>3</v>
      </c>
      <c r="BZ105" s="2">
        <v>3</v>
      </c>
      <c r="CA105" s="2">
        <v>2</v>
      </c>
      <c r="CB105" s="2">
        <v>3</v>
      </c>
      <c r="CC105" s="11" t="s">
        <v>815</v>
      </c>
      <c r="CD105" s="2">
        <v>3</v>
      </c>
      <c r="CE105" s="2">
        <v>2</v>
      </c>
      <c r="CF105" s="2">
        <v>4</v>
      </c>
      <c r="CG105" s="2">
        <v>1</v>
      </c>
      <c r="CH105" s="2">
        <v>3</v>
      </c>
      <c r="CI105" s="2">
        <v>3</v>
      </c>
      <c r="CJ105" s="11" t="s">
        <v>815</v>
      </c>
      <c r="CK105" s="2">
        <v>2</v>
      </c>
      <c r="CL105" s="2">
        <v>4</v>
      </c>
      <c r="CM105" s="2">
        <v>3</v>
      </c>
      <c r="CN105" s="2">
        <v>1</v>
      </c>
      <c r="CO105" s="2">
        <v>2</v>
      </c>
      <c r="CP105" s="2">
        <v>3</v>
      </c>
      <c r="CQ105" s="2">
        <v>4</v>
      </c>
      <c r="CR105" s="2">
        <v>2</v>
      </c>
      <c r="CS105" s="2">
        <v>2</v>
      </c>
      <c r="CT105" s="2">
        <v>2</v>
      </c>
      <c r="CU105" s="2">
        <v>1</v>
      </c>
      <c r="CV105" s="2">
        <v>2</v>
      </c>
      <c r="CW105" s="2">
        <v>3</v>
      </c>
      <c r="CX105" s="2">
        <v>1</v>
      </c>
      <c r="CY105" s="2">
        <v>1</v>
      </c>
      <c r="CZ105" s="11" t="s">
        <v>815</v>
      </c>
      <c r="DA105" s="2">
        <v>2</v>
      </c>
      <c r="DB105" s="11" t="s">
        <v>815</v>
      </c>
      <c r="DC105" s="11" t="s">
        <v>815</v>
      </c>
      <c r="DD105" s="11" t="s">
        <v>815</v>
      </c>
      <c r="DE105" s="2">
        <v>1</v>
      </c>
      <c r="DF105" s="2">
        <v>2</v>
      </c>
      <c r="DG105" s="2">
        <v>2</v>
      </c>
      <c r="DH105" s="2">
        <v>3</v>
      </c>
      <c r="DI105" s="2">
        <v>2</v>
      </c>
      <c r="DJ105" s="2">
        <v>2</v>
      </c>
      <c r="DK105" s="2">
        <v>2</v>
      </c>
      <c r="DL105" s="2">
        <v>2</v>
      </c>
      <c r="DM105" s="2">
        <v>2</v>
      </c>
      <c r="DN105" s="2">
        <v>1</v>
      </c>
      <c r="DO105" s="2">
        <v>3</v>
      </c>
      <c r="DP105" s="2">
        <v>4</v>
      </c>
      <c r="DQ105" s="2">
        <v>4</v>
      </c>
      <c r="DR105" s="2">
        <v>2</v>
      </c>
      <c r="DS105" s="2">
        <v>4</v>
      </c>
      <c r="DT105" s="2">
        <v>4</v>
      </c>
      <c r="DU105" s="2">
        <v>2</v>
      </c>
      <c r="DV105" s="2">
        <v>3</v>
      </c>
      <c r="DW105" s="2">
        <v>4</v>
      </c>
      <c r="DX105" s="2">
        <v>3</v>
      </c>
      <c r="DY105" s="2">
        <v>3</v>
      </c>
      <c r="DZ105" s="2">
        <v>1</v>
      </c>
      <c r="EA105" s="2">
        <v>2</v>
      </c>
      <c r="EB105" s="11" t="s">
        <v>815</v>
      </c>
      <c r="EC105" s="2">
        <v>2</v>
      </c>
      <c r="ED105" s="2">
        <v>2</v>
      </c>
      <c r="EE105" s="2">
        <v>3</v>
      </c>
      <c r="EF105" s="2">
        <v>2</v>
      </c>
      <c r="EG105" s="2">
        <v>2</v>
      </c>
      <c r="EH105" s="2">
        <v>1</v>
      </c>
      <c r="EI105" s="11" t="s">
        <v>815</v>
      </c>
      <c r="EJ105" s="2">
        <v>2</v>
      </c>
      <c r="EK105" s="2">
        <v>3</v>
      </c>
      <c r="EL105" s="2">
        <v>1</v>
      </c>
      <c r="EM105" s="2">
        <v>3</v>
      </c>
      <c r="EN105" s="2">
        <v>2</v>
      </c>
      <c r="EO105" s="2">
        <v>1</v>
      </c>
      <c r="EP105" s="2">
        <v>1</v>
      </c>
      <c r="EQ105" s="11" t="s">
        <v>815</v>
      </c>
      <c r="ER105" s="11" t="s">
        <v>815</v>
      </c>
      <c r="ES105" s="11" t="s">
        <v>815</v>
      </c>
      <c r="ET105" s="11" t="s">
        <v>815</v>
      </c>
      <c r="EU105" s="11" t="s">
        <v>815</v>
      </c>
      <c r="EV105" s="2">
        <v>2</v>
      </c>
      <c r="EW105" s="2">
        <v>4</v>
      </c>
      <c r="EX105" s="2">
        <v>4</v>
      </c>
      <c r="EY105" s="2">
        <v>2</v>
      </c>
      <c r="EZ105" s="2">
        <v>1</v>
      </c>
      <c r="FA105" s="2">
        <v>2</v>
      </c>
      <c r="FB105" s="11" t="s">
        <v>815</v>
      </c>
      <c r="FC105" s="2">
        <v>3</v>
      </c>
      <c r="FD105" s="2">
        <v>3</v>
      </c>
      <c r="FE105" s="2">
        <v>1</v>
      </c>
      <c r="FF105" s="2">
        <v>3</v>
      </c>
      <c r="FG105" s="2">
        <v>3</v>
      </c>
      <c r="FH105" s="2">
        <v>3</v>
      </c>
      <c r="FI105" s="2">
        <v>1</v>
      </c>
      <c r="FJ105" s="2">
        <v>1</v>
      </c>
      <c r="FK105" s="2">
        <v>3</v>
      </c>
      <c r="FL105" s="2">
        <v>2</v>
      </c>
      <c r="FM105" s="2">
        <v>1</v>
      </c>
      <c r="FN105" s="2">
        <v>1</v>
      </c>
      <c r="FO105" s="2">
        <v>1</v>
      </c>
      <c r="FP105" s="2">
        <v>1</v>
      </c>
      <c r="FQ105" s="2">
        <v>2</v>
      </c>
      <c r="FR105" s="2">
        <v>2</v>
      </c>
      <c r="FS105" s="2">
        <v>1</v>
      </c>
      <c r="FT105" s="2">
        <v>2</v>
      </c>
      <c r="FU105" s="2">
        <v>2</v>
      </c>
      <c r="FV105" s="2">
        <v>2</v>
      </c>
      <c r="FW105" s="2">
        <v>3</v>
      </c>
      <c r="FX105" s="2">
        <v>1</v>
      </c>
      <c r="FY105" s="2">
        <v>1</v>
      </c>
      <c r="FZ105" s="2">
        <v>1</v>
      </c>
      <c r="GA105" s="2">
        <v>2</v>
      </c>
      <c r="GB105" s="2">
        <v>3</v>
      </c>
      <c r="GC105" s="2" t="s">
        <v>829</v>
      </c>
      <c r="GD105" s="2">
        <v>3</v>
      </c>
      <c r="GE105" s="11" t="s">
        <v>815</v>
      </c>
      <c r="GF105" s="2">
        <v>2</v>
      </c>
      <c r="GG105" s="2">
        <v>3</v>
      </c>
      <c r="GH105" s="2">
        <v>3</v>
      </c>
      <c r="GI105" s="2">
        <v>3</v>
      </c>
      <c r="GJ105" s="2">
        <v>1</v>
      </c>
      <c r="GK105" s="2">
        <v>2</v>
      </c>
      <c r="GL105" s="2">
        <v>2</v>
      </c>
      <c r="GM105" s="2">
        <v>3</v>
      </c>
      <c r="GN105" s="3">
        <v>3</v>
      </c>
      <c r="GO105" s="3">
        <v>1</v>
      </c>
      <c r="GP105" s="3">
        <v>2</v>
      </c>
      <c r="GQ105" s="3">
        <v>1</v>
      </c>
      <c r="GR105" s="3">
        <v>1</v>
      </c>
      <c r="GS105" s="3">
        <v>2</v>
      </c>
      <c r="GT105" s="3">
        <v>3</v>
      </c>
      <c r="GU105" s="3">
        <v>1</v>
      </c>
      <c r="GV105" s="3">
        <v>1</v>
      </c>
      <c r="GW105" s="3">
        <v>1</v>
      </c>
      <c r="GX105" s="3">
        <v>1</v>
      </c>
      <c r="GY105" s="3">
        <v>1</v>
      </c>
      <c r="GZ105" s="12" t="s">
        <v>815</v>
      </c>
      <c r="HA105" s="3">
        <v>3</v>
      </c>
      <c r="HB105" s="3">
        <v>1</v>
      </c>
      <c r="HC105" s="3">
        <v>1</v>
      </c>
      <c r="HD105" s="3">
        <v>1</v>
      </c>
      <c r="HE105" s="3">
        <v>1</v>
      </c>
      <c r="HF105" s="3">
        <v>2</v>
      </c>
      <c r="HG105" s="3">
        <v>1</v>
      </c>
      <c r="HH105" s="3">
        <v>1</v>
      </c>
      <c r="HI105" s="3">
        <v>1</v>
      </c>
      <c r="HJ105" s="3">
        <v>1</v>
      </c>
      <c r="HK105" s="3">
        <v>1</v>
      </c>
      <c r="HL105" s="3">
        <v>1</v>
      </c>
      <c r="HM105" s="3">
        <v>1</v>
      </c>
      <c r="HN105" s="3">
        <v>2</v>
      </c>
      <c r="HO105" s="3">
        <v>2</v>
      </c>
      <c r="HP105" s="3">
        <v>1</v>
      </c>
      <c r="HQ105" s="3">
        <v>2</v>
      </c>
      <c r="HR105" s="3">
        <v>1</v>
      </c>
      <c r="HS105" s="3">
        <v>1</v>
      </c>
      <c r="HT105" s="3">
        <v>1</v>
      </c>
      <c r="HU105" s="3">
        <v>1</v>
      </c>
      <c r="HV105" s="3">
        <v>1</v>
      </c>
      <c r="HW105" s="3">
        <v>1</v>
      </c>
      <c r="HX105" s="3">
        <v>1</v>
      </c>
      <c r="HY105" s="12" t="s">
        <v>815</v>
      </c>
      <c r="HZ105" s="3">
        <v>1</v>
      </c>
      <c r="IA105" s="3">
        <v>1</v>
      </c>
      <c r="IB105" s="3">
        <v>1</v>
      </c>
      <c r="IC105" s="12" t="s">
        <v>815</v>
      </c>
      <c r="ID105" s="3">
        <v>2</v>
      </c>
      <c r="IE105" s="12" t="s">
        <v>815</v>
      </c>
      <c r="IF105" s="3">
        <v>1</v>
      </c>
      <c r="IG105" s="3">
        <v>1</v>
      </c>
      <c r="IH105" s="12" t="s">
        <v>815</v>
      </c>
      <c r="II105" s="12" t="s">
        <v>815</v>
      </c>
      <c r="IJ105" s="3">
        <v>3</v>
      </c>
      <c r="IK105" s="3">
        <v>2</v>
      </c>
      <c r="IL105" s="3">
        <v>1</v>
      </c>
      <c r="IM105" s="3">
        <v>1</v>
      </c>
      <c r="IN105" s="12" t="s">
        <v>815</v>
      </c>
      <c r="IO105" s="3">
        <v>1</v>
      </c>
      <c r="IP105" s="3">
        <v>2</v>
      </c>
      <c r="IQ105" s="3">
        <v>1</v>
      </c>
      <c r="IR105" s="3" t="s">
        <v>830</v>
      </c>
      <c r="IS105" s="3">
        <v>2</v>
      </c>
      <c r="IT105" s="3">
        <v>3</v>
      </c>
      <c r="IU105" s="12" t="s">
        <v>815</v>
      </c>
      <c r="IV105" s="3">
        <v>3</v>
      </c>
      <c r="IW105" s="3">
        <v>2</v>
      </c>
      <c r="IX105" s="3">
        <v>3</v>
      </c>
      <c r="IY105" s="3">
        <v>1</v>
      </c>
      <c r="IZ105" s="2" t="s">
        <v>816</v>
      </c>
    </row>
    <row r="106" spans="1:261" ht="13.2" x14ac:dyDescent="0.25">
      <c r="A106" s="10" t="s">
        <v>274</v>
      </c>
      <c r="B106" s="2" t="s">
        <v>831</v>
      </c>
      <c r="C106" s="2" t="s">
        <v>261</v>
      </c>
      <c r="D106" s="2" t="s">
        <v>325</v>
      </c>
      <c r="E106" s="2">
        <v>34</v>
      </c>
      <c r="F106" s="11" t="s">
        <v>832</v>
      </c>
      <c r="G106" s="11" t="s">
        <v>833</v>
      </c>
      <c r="H106" s="2" t="s">
        <v>834</v>
      </c>
      <c r="I106" s="3">
        <v>4</v>
      </c>
      <c r="J106" s="3">
        <v>4</v>
      </c>
      <c r="K106" s="3">
        <v>4</v>
      </c>
      <c r="L106" s="3">
        <v>4</v>
      </c>
      <c r="M106" s="3">
        <v>1</v>
      </c>
      <c r="N106" s="3">
        <v>4</v>
      </c>
      <c r="O106" s="3">
        <v>1</v>
      </c>
      <c r="P106" s="3">
        <v>2</v>
      </c>
      <c r="Q106" s="12" t="s">
        <v>815</v>
      </c>
      <c r="R106" s="3">
        <v>1</v>
      </c>
      <c r="S106" s="3">
        <v>1</v>
      </c>
      <c r="T106" s="3">
        <v>2</v>
      </c>
      <c r="U106" s="3">
        <v>1</v>
      </c>
      <c r="V106" s="12" t="s">
        <v>815</v>
      </c>
      <c r="W106" s="12" t="s">
        <v>815</v>
      </c>
      <c r="X106" s="12" t="s">
        <v>815</v>
      </c>
      <c r="Y106" s="3">
        <v>4</v>
      </c>
      <c r="Z106" s="3">
        <v>1</v>
      </c>
      <c r="AA106" s="3">
        <v>4</v>
      </c>
      <c r="AB106" s="3">
        <v>4</v>
      </c>
      <c r="AC106" s="3">
        <v>4</v>
      </c>
      <c r="AD106" s="3">
        <v>4</v>
      </c>
      <c r="AE106" s="3">
        <v>4</v>
      </c>
      <c r="AF106" s="3">
        <v>3</v>
      </c>
      <c r="AG106" s="3">
        <v>4</v>
      </c>
      <c r="AH106" s="3">
        <v>4</v>
      </c>
      <c r="AI106" s="3">
        <v>2</v>
      </c>
      <c r="AJ106" s="3">
        <v>2</v>
      </c>
      <c r="AK106" s="3">
        <v>2</v>
      </c>
      <c r="AL106" s="3">
        <v>2</v>
      </c>
      <c r="AM106" s="3">
        <v>1</v>
      </c>
      <c r="AN106" s="3">
        <v>2</v>
      </c>
      <c r="AO106" s="3">
        <v>1</v>
      </c>
      <c r="AP106" s="3">
        <v>2</v>
      </c>
      <c r="AQ106" s="3">
        <v>1</v>
      </c>
      <c r="AR106" s="3">
        <v>1</v>
      </c>
      <c r="AS106" s="3">
        <v>1</v>
      </c>
      <c r="AT106" s="3">
        <v>1</v>
      </c>
      <c r="AU106" s="3">
        <v>2</v>
      </c>
      <c r="AV106" s="3">
        <v>2</v>
      </c>
      <c r="AW106" s="3">
        <v>2</v>
      </c>
      <c r="AX106" s="3">
        <v>2</v>
      </c>
      <c r="AY106" s="3">
        <v>2</v>
      </c>
      <c r="AZ106" s="3">
        <v>2</v>
      </c>
      <c r="BA106" s="3">
        <v>1</v>
      </c>
      <c r="BB106" s="3">
        <v>3</v>
      </c>
      <c r="BC106" s="3">
        <v>3</v>
      </c>
      <c r="BD106" s="3">
        <v>3</v>
      </c>
      <c r="BE106" s="3">
        <v>3</v>
      </c>
      <c r="BF106" s="3">
        <v>3</v>
      </c>
      <c r="BG106" s="3">
        <v>2</v>
      </c>
      <c r="BH106" s="3">
        <v>1</v>
      </c>
      <c r="BI106" s="3">
        <v>2</v>
      </c>
      <c r="BJ106" s="3">
        <v>2</v>
      </c>
      <c r="BK106" s="3">
        <v>2</v>
      </c>
      <c r="BL106" s="3">
        <v>2</v>
      </c>
      <c r="BM106" s="3" t="s">
        <v>835</v>
      </c>
      <c r="BN106" s="3">
        <v>3</v>
      </c>
      <c r="BO106" s="3">
        <v>2</v>
      </c>
      <c r="BP106" s="3">
        <v>2</v>
      </c>
      <c r="BQ106" s="3">
        <v>1</v>
      </c>
      <c r="BR106" s="3">
        <v>3</v>
      </c>
      <c r="BS106" s="3">
        <v>1</v>
      </c>
      <c r="BT106" s="3">
        <v>2</v>
      </c>
      <c r="BU106" s="2">
        <v>3</v>
      </c>
      <c r="BV106" s="2">
        <v>2</v>
      </c>
      <c r="BW106" s="2">
        <v>3</v>
      </c>
      <c r="BX106" s="11" t="s">
        <v>815</v>
      </c>
      <c r="BY106" s="2">
        <v>1</v>
      </c>
      <c r="BZ106" s="2">
        <v>2</v>
      </c>
      <c r="CA106" s="11" t="s">
        <v>815</v>
      </c>
      <c r="CB106" s="2">
        <v>3</v>
      </c>
      <c r="CC106" s="2">
        <v>2</v>
      </c>
      <c r="CD106" s="2">
        <v>1</v>
      </c>
      <c r="CE106" s="2">
        <v>1</v>
      </c>
      <c r="CF106" s="2">
        <v>3</v>
      </c>
      <c r="CG106" s="11" t="s">
        <v>815</v>
      </c>
      <c r="CH106" s="2">
        <v>1</v>
      </c>
      <c r="CI106" s="2">
        <v>3</v>
      </c>
      <c r="CJ106" s="2">
        <v>1</v>
      </c>
      <c r="CK106" s="2">
        <v>1</v>
      </c>
      <c r="CL106" s="2">
        <v>3</v>
      </c>
      <c r="CM106" s="2">
        <v>1</v>
      </c>
      <c r="CN106" s="2">
        <v>1</v>
      </c>
      <c r="CO106" s="11" t="s">
        <v>815</v>
      </c>
      <c r="CP106" s="11" t="s">
        <v>815</v>
      </c>
      <c r="CQ106" s="2">
        <v>3</v>
      </c>
      <c r="CR106" s="2">
        <v>3</v>
      </c>
      <c r="CS106" s="2">
        <v>3</v>
      </c>
      <c r="CT106" s="2">
        <v>2</v>
      </c>
      <c r="CU106" s="11" t="s">
        <v>815</v>
      </c>
      <c r="CV106" s="2">
        <v>2</v>
      </c>
      <c r="CW106" s="2">
        <v>3</v>
      </c>
      <c r="CX106" s="2">
        <v>2</v>
      </c>
      <c r="CY106" s="2">
        <v>1</v>
      </c>
      <c r="CZ106" s="2">
        <v>1</v>
      </c>
      <c r="DA106" s="2">
        <v>3</v>
      </c>
      <c r="DB106" s="2">
        <v>2</v>
      </c>
      <c r="DC106" s="11" t="s">
        <v>815</v>
      </c>
      <c r="DD106" s="11" t="s">
        <v>815</v>
      </c>
      <c r="DE106" s="2">
        <v>2</v>
      </c>
      <c r="DF106" s="2">
        <v>3</v>
      </c>
      <c r="DG106" s="2">
        <v>3</v>
      </c>
      <c r="DH106" s="2">
        <v>3</v>
      </c>
      <c r="DI106" s="2">
        <v>3</v>
      </c>
      <c r="DJ106" s="11" t="s">
        <v>815</v>
      </c>
      <c r="DK106" s="2">
        <v>3</v>
      </c>
      <c r="DL106" s="2">
        <v>1</v>
      </c>
      <c r="DM106" s="11" t="s">
        <v>815</v>
      </c>
      <c r="DN106" s="11" t="s">
        <v>815</v>
      </c>
      <c r="DO106" s="11" t="s">
        <v>815</v>
      </c>
      <c r="DP106" s="2">
        <v>3</v>
      </c>
      <c r="DQ106" s="2">
        <v>3</v>
      </c>
      <c r="DR106" s="2">
        <v>2</v>
      </c>
      <c r="DS106" s="2">
        <v>3</v>
      </c>
      <c r="DT106" s="2">
        <v>2</v>
      </c>
      <c r="DU106" s="11" t="s">
        <v>815</v>
      </c>
      <c r="DV106" s="2">
        <v>2</v>
      </c>
      <c r="DW106" s="11" t="s">
        <v>815</v>
      </c>
      <c r="DX106" s="2">
        <v>3</v>
      </c>
      <c r="DY106" s="2">
        <v>3</v>
      </c>
      <c r="DZ106" s="2">
        <v>3</v>
      </c>
      <c r="EA106" s="11" t="s">
        <v>815</v>
      </c>
      <c r="EB106" s="2">
        <v>3</v>
      </c>
      <c r="EC106" s="2">
        <v>2</v>
      </c>
      <c r="ED106" s="2">
        <v>2</v>
      </c>
      <c r="EE106" s="2">
        <v>3</v>
      </c>
      <c r="EF106" s="2">
        <v>3</v>
      </c>
      <c r="EG106" s="2">
        <v>3</v>
      </c>
      <c r="EH106" s="2">
        <v>3</v>
      </c>
      <c r="EI106" s="2">
        <v>2</v>
      </c>
      <c r="EJ106" s="2">
        <v>2</v>
      </c>
      <c r="EK106" s="2">
        <v>3</v>
      </c>
      <c r="EL106" s="2">
        <v>1</v>
      </c>
      <c r="EM106" s="2">
        <v>2</v>
      </c>
      <c r="EN106" s="11" t="s">
        <v>815</v>
      </c>
      <c r="EO106" s="11" t="s">
        <v>815</v>
      </c>
      <c r="EP106" s="11" t="s">
        <v>815</v>
      </c>
      <c r="EQ106" s="2">
        <v>1</v>
      </c>
      <c r="ER106" s="11" t="s">
        <v>815</v>
      </c>
      <c r="ES106" s="2">
        <v>1</v>
      </c>
      <c r="ET106" s="11" t="s">
        <v>815</v>
      </c>
      <c r="EU106" s="2">
        <v>1</v>
      </c>
      <c r="EV106" s="11" t="s">
        <v>815</v>
      </c>
      <c r="EW106" s="2">
        <v>4</v>
      </c>
      <c r="EX106" s="2">
        <v>4</v>
      </c>
      <c r="EY106" s="11" t="s">
        <v>815</v>
      </c>
      <c r="EZ106" s="11" t="s">
        <v>815</v>
      </c>
      <c r="FA106" s="2">
        <v>1</v>
      </c>
      <c r="FB106" s="11" t="s">
        <v>815</v>
      </c>
      <c r="FC106" s="11" t="s">
        <v>815</v>
      </c>
      <c r="FD106" s="2">
        <v>3</v>
      </c>
      <c r="FE106" s="2">
        <v>3</v>
      </c>
      <c r="FF106" s="2">
        <v>3</v>
      </c>
      <c r="FG106" s="11" t="s">
        <v>815</v>
      </c>
      <c r="FH106" s="2">
        <v>3</v>
      </c>
      <c r="FI106" s="11" t="s">
        <v>815</v>
      </c>
      <c r="FJ106" s="11" t="s">
        <v>815</v>
      </c>
      <c r="FK106" s="2">
        <v>1</v>
      </c>
      <c r="FL106" s="2">
        <v>1</v>
      </c>
      <c r="FM106" s="2">
        <v>2</v>
      </c>
      <c r="FN106" s="2">
        <v>1</v>
      </c>
      <c r="FO106" s="11" t="s">
        <v>815</v>
      </c>
      <c r="FP106" s="11" t="s">
        <v>815</v>
      </c>
      <c r="FQ106" s="11" t="s">
        <v>815</v>
      </c>
      <c r="FR106" s="2">
        <v>3</v>
      </c>
      <c r="FS106" s="2">
        <v>2</v>
      </c>
      <c r="FT106" s="11" t="s">
        <v>815</v>
      </c>
      <c r="FU106" s="2">
        <v>1</v>
      </c>
      <c r="FV106" s="11" t="s">
        <v>815</v>
      </c>
      <c r="FW106" s="2">
        <v>3</v>
      </c>
      <c r="FX106" s="2">
        <v>2</v>
      </c>
      <c r="FY106" s="11" t="s">
        <v>815</v>
      </c>
      <c r="FZ106" s="11" t="s">
        <v>815</v>
      </c>
      <c r="GA106" s="11" t="s">
        <v>815</v>
      </c>
      <c r="GB106" s="2">
        <v>2</v>
      </c>
      <c r="GC106" s="2" t="s">
        <v>836</v>
      </c>
      <c r="GD106" s="2">
        <v>3</v>
      </c>
      <c r="GE106" s="2">
        <v>2</v>
      </c>
      <c r="GF106" s="2">
        <v>1</v>
      </c>
      <c r="GG106" s="2">
        <v>4</v>
      </c>
      <c r="GH106" s="2">
        <v>4</v>
      </c>
      <c r="GI106" s="2">
        <v>3</v>
      </c>
      <c r="GJ106" s="2">
        <v>2</v>
      </c>
      <c r="GK106" s="11" t="s">
        <v>815</v>
      </c>
      <c r="GL106" s="2">
        <v>1</v>
      </c>
      <c r="GM106" s="11" t="s">
        <v>815</v>
      </c>
      <c r="GN106" s="3">
        <v>3</v>
      </c>
      <c r="GO106" s="3">
        <v>3</v>
      </c>
      <c r="GP106" s="3">
        <v>2</v>
      </c>
      <c r="GQ106" s="3">
        <v>3</v>
      </c>
      <c r="GR106" s="3">
        <v>3</v>
      </c>
      <c r="GS106" s="12" t="s">
        <v>815</v>
      </c>
      <c r="GT106" s="3">
        <v>3</v>
      </c>
      <c r="GU106" s="3">
        <v>4</v>
      </c>
      <c r="GV106" s="3">
        <v>4</v>
      </c>
      <c r="GW106" s="12" t="s">
        <v>815</v>
      </c>
      <c r="GX106" s="3">
        <v>3</v>
      </c>
      <c r="GY106" s="3">
        <v>4</v>
      </c>
      <c r="GZ106" s="3">
        <v>3</v>
      </c>
      <c r="HA106" s="3">
        <v>2</v>
      </c>
      <c r="HB106" s="12" t="s">
        <v>815</v>
      </c>
      <c r="HC106" s="3">
        <v>2</v>
      </c>
      <c r="HD106" s="12" t="s">
        <v>815</v>
      </c>
      <c r="HE106" s="3">
        <v>3</v>
      </c>
      <c r="HF106" s="3">
        <v>2</v>
      </c>
      <c r="HG106" s="3">
        <v>2</v>
      </c>
      <c r="HH106" s="3">
        <v>3</v>
      </c>
      <c r="HI106" s="3">
        <v>3</v>
      </c>
      <c r="HJ106" s="3">
        <v>1</v>
      </c>
      <c r="HK106" s="3">
        <v>2</v>
      </c>
      <c r="HL106" s="3">
        <v>2</v>
      </c>
      <c r="HM106" s="12" t="s">
        <v>815</v>
      </c>
      <c r="HN106" s="3">
        <v>3</v>
      </c>
      <c r="HO106" s="3">
        <v>2</v>
      </c>
      <c r="HP106" s="3">
        <v>2</v>
      </c>
      <c r="HQ106" s="3">
        <v>2</v>
      </c>
      <c r="HR106" s="3">
        <v>3</v>
      </c>
      <c r="HS106" s="3">
        <v>2</v>
      </c>
      <c r="HT106" s="3">
        <v>2</v>
      </c>
      <c r="HU106" s="12" t="s">
        <v>815</v>
      </c>
      <c r="HV106" s="3">
        <v>2</v>
      </c>
      <c r="HW106" s="3">
        <v>3</v>
      </c>
      <c r="HX106" s="12" t="s">
        <v>815</v>
      </c>
      <c r="HY106" s="12" t="s">
        <v>815</v>
      </c>
      <c r="HZ106" s="12" t="s">
        <v>815</v>
      </c>
      <c r="IA106" s="3">
        <v>3</v>
      </c>
      <c r="IB106" s="3">
        <v>3</v>
      </c>
      <c r="IC106" s="12" t="s">
        <v>815</v>
      </c>
      <c r="ID106" s="3">
        <v>2</v>
      </c>
      <c r="IE106" s="3">
        <v>3</v>
      </c>
      <c r="IF106" s="3">
        <v>3</v>
      </c>
      <c r="IG106" s="12" t="s">
        <v>815</v>
      </c>
      <c r="IH106" s="12" t="s">
        <v>815</v>
      </c>
      <c r="II106" s="3">
        <v>3</v>
      </c>
      <c r="IJ106" s="3">
        <v>2</v>
      </c>
      <c r="IK106" s="12" t="s">
        <v>815</v>
      </c>
      <c r="IL106" s="3">
        <v>3</v>
      </c>
      <c r="IM106" s="12" t="s">
        <v>815</v>
      </c>
      <c r="IN106" s="3">
        <v>3</v>
      </c>
      <c r="IO106" s="3">
        <v>3</v>
      </c>
      <c r="IP106" s="3">
        <v>2</v>
      </c>
      <c r="IQ106" s="12" t="s">
        <v>815</v>
      </c>
      <c r="IR106" s="3" t="s">
        <v>837</v>
      </c>
      <c r="IS106" s="3">
        <v>2</v>
      </c>
      <c r="IT106" s="3">
        <v>3</v>
      </c>
      <c r="IU106" s="3">
        <v>3</v>
      </c>
      <c r="IV106" s="3">
        <v>2</v>
      </c>
      <c r="IW106" s="3">
        <v>3</v>
      </c>
      <c r="IX106" s="12" t="s">
        <v>815</v>
      </c>
      <c r="IY106" s="3">
        <v>2</v>
      </c>
      <c r="IZ106" s="2" t="s">
        <v>816</v>
      </c>
    </row>
    <row r="107" spans="1:261" ht="13.2" x14ac:dyDescent="0.25">
      <c r="A107" s="10" t="s">
        <v>274</v>
      </c>
      <c r="B107" s="2" t="s">
        <v>838</v>
      </c>
      <c r="C107" s="2" t="s">
        <v>261</v>
      </c>
      <c r="D107" s="2" t="s">
        <v>270</v>
      </c>
      <c r="E107" s="2">
        <v>26</v>
      </c>
      <c r="F107" s="11" t="s">
        <v>839</v>
      </c>
      <c r="G107" s="11" t="s">
        <v>840</v>
      </c>
      <c r="H107" s="2" t="s">
        <v>841</v>
      </c>
      <c r="I107" s="3">
        <v>1</v>
      </c>
      <c r="J107" s="3">
        <v>1</v>
      </c>
      <c r="K107" s="3">
        <v>1</v>
      </c>
      <c r="L107" s="3">
        <v>2</v>
      </c>
      <c r="M107" s="3">
        <v>2</v>
      </c>
      <c r="N107" s="3">
        <v>2</v>
      </c>
      <c r="O107" s="3">
        <v>2</v>
      </c>
      <c r="P107" s="12" t="s">
        <v>815</v>
      </c>
      <c r="Q107" s="3">
        <v>2</v>
      </c>
      <c r="R107" s="12" t="s">
        <v>815</v>
      </c>
      <c r="S107" s="3">
        <v>1</v>
      </c>
      <c r="T107" s="3">
        <v>2</v>
      </c>
      <c r="U107" s="12" t="s">
        <v>815</v>
      </c>
      <c r="V107" s="3">
        <v>1</v>
      </c>
      <c r="W107" s="3">
        <v>2</v>
      </c>
      <c r="X107" s="3">
        <v>2</v>
      </c>
      <c r="Y107" s="3">
        <v>2</v>
      </c>
      <c r="Z107" s="12" t="s">
        <v>815</v>
      </c>
      <c r="AA107" s="3">
        <v>2</v>
      </c>
      <c r="AB107" s="3">
        <v>1</v>
      </c>
      <c r="AC107" s="12" t="s">
        <v>815</v>
      </c>
      <c r="AD107" s="3">
        <v>1</v>
      </c>
      <c r="AE107" s="3">
        <v>2</v>
      </c>
      <c r="AF107" s="3">
        <v>1</v>
      </c>
      <c r="AG107" s="3">
        <v>2</v>
      </c>
      <c r="AH107" s="3">
        <v>1</v>
      </c>
      <c r="AI107" s="3">
        <v>2</v>
      </c>
      <c r="AJ107" s="3">
        <v>2</v>
      </c>
      <c r="AK107" s="3">
        <v>2</v>
      </c>
      <c r="AL107" s="12" t="s">
        <v>815</v>
      </c>
      <c r="AM107" s="12" t="s">
        <v>815</v>
      </c>
      <c r="AN107" s="3">
        <v>2</v>
      </c>
      <c r="AO107" s="3">
        <v>2</v>
      </c>
      <c r="AP107" s="12" t="s">
        <v>815</v>
      </c>
      <c r="AQ107" s="3">
        <v>1</v>
      </c>
      <c r="AR107" s="12" t="s">
        <v>815</v>
      </c>
      <c r="AS107" s="12" t="s">
        <v>815</v>
      </c>
      <c r="AT107" s="12" t="s">
        <v>815</v>
      </c>
      <c r="AU107" s="3">
        <v>2</v>
      </c>
      <c r="AV107" s="3">
        <v>2</v>
      </c>
      <c r="AW107" s="3">
        <v>2</v>
      </c>
      <c r="AX107" s="3">
        <v>2</v>
      </c>
      <c r="AY107" s="3">
        <v>2</v>
      </c>
      <c r="AZ107" s="3">
        <v>2</v>
      </c>
      <c r="BA107" s="12" t="s">
        <v>815</v>
      </c>
      <c r="BB107" s="3">
        <v>2</v>
      </c>
      <c r="BC107" s="3">
        <v>1</v>
      </c>
      <c r="BD107" s="3">
        <v>1</v>
      </c>
      <c r="BE107" s="3">
        <v>3</v>
      </c>
      <c r="BF107" s="3">
        <v>2</v>
      </c>
      <c r="BG107" s="3">
        <v>2</v>
      </c>
      <c r="BH107" s="3">
        <v>1</v>
      </c>
      <c r="BI107" s="3">
        <v>2</v>
      </c>
      <c r="BJ107" s="3">
        <v>2</v>
      </c>
      <c r="BK107" s="3">
        <v>3</v>
      </c>
      <c r="BL107" s="12" t="s">
        <v>815</v>
      </c>
      <c r="BM107" s="3" t="s">
        <v>274</v>
      </c>
      <c r="BN107" s="3">
        <v>3</v>
      </c>
      <c r="BO107" s="3">
        <v>2</v>
      </c>
      <c r="BP107" s="3">
        <v>1</v>
      </c>
      <c r="BQ107" s="3">
        <v>3</v>
      </c>
      <c r="BR107" s="3">
        <v>2</v>
      </c>
      <c r="BS107" s="3">
        <v>2</v>
      </c>
      <c r="BT107" s="3">
        <v>3</v>
      </c>
      <c r="BU107" s="2">
        <v>2</v>
      </c>
      <c r="BV107" s="2">
        <v>2</v>
      </c>
      <c r="BW107" s="2">
        <v>1</v>
      </c>
      <c r="BX107" s="2">
        <v>1</v>
      </c>
      <c r="BY107" s="2">
        <v>3</v>
      </c>
      <c r="BZ107" s="2">
        <v>2</v>
      </c>
      <c r="CA107" s="2">
        <v>2</v>
      </c>
      <c r="CB107" s="2">
        <v>1</v>
      </c>
      <c r="CC107" s="2">
        <v>2</v>
      </c>
      <c r="CD107" s="2">
        <v>2</v>
      </c>
      <c r="CE107" s="2">
        <v>2</v>
      </c>
      <c r="CF107" s="2">
        <v>2</v>
      </c>
      <c r="CG107" s="2">
        <v>1</v>
      </c>
      <c r="CH107" s="2">
        <v>2</v>
      </c>
      <c r="CI107" s="2">
        <v>3</v>
      </c>
      <c r="CJ107" s="2">
        <v>1</v>
      </c>
      <c r="CK107" s="2">
        <v>2</v>
      </c>
      <c r="CL107" s="2">
        <v>3</v>
      </c>
      <c r="CM107" s="2">
        <v>2</v>
      </c>
      <c r="CN107" s="2">
        <v>2</v>
      </c>
      <c r="CO107" s="2">
        <v>3</v>
      </c>
      <c r="CP107" s="2">
        <v>2</v>
      </c>
      <c r="CQ107" s="2">
        <v>1</v>
      </c>
      <c r="CR107" s="2">
        <v>3</v>
      </c>
      <c r="CS107" s="2">
        <v>3</v>
      </c>
      <c r="CT107" s="2">
        <v>2</v>
      </c>
      <c r="CU107" s="2">
        <v>2</v>
      </c>
      <c r="CV107" s="2">
        <v>1</v>
      </c>
      <c r="CW107" s="2">
        <v>2</v>
      </c>
      <c r="CX107" s="2">
        <v>2</v>
      </c>
      <c r="CY107" s="2">
        <v>2</v>
      </c>
      <c r="CZ107" s="2">
        <v>1</v>
      </c>
      <c r="DA107" s="2">
        <v>2</v>
      </c>
      <c r="DB107" s="2">
        <v>2</v>
      </c>
      <c r="DC107" s="11" t="s">
        <v>815</v>
      </c>
      <c r="DD107" s="11" t="s">
        <v>815</v>
      </c>
      <c r="DE107" s="2">
        <v>1</v>
      </c>
      <c r="DF107" s="2">
        <v>3</v>
      </c>
      <c r="DG107" s="2">
        <v>2</v>
      </c>
      <c r="DH107" s="2">
        <v>1</v>
      </c>
      <c r="DI107" s="2">
        <v>2</v>
      </c>
      <c r="DJ107" s="2">
        <v>1</v>
      </c>
      <c r="DK107" s="11" t="s">
        <v>815</v>
      </c>
      <c r="DL107" s="2">
        <v>1</v>
      </c>
      <c r="DM107" s="2">
        <v>1</v>
      </c>
      <c r="DN107" s="2">
        <v>2</v>
      </c>
      <c r="DO107" s="2">
        <v>1</v>
      </c>
      <c r="DP107" s="11" t="s">
        <v>815</v>
      </c>
      <c r="DQ107" s="2">
        <v>1</v>
      </c>
      <c r="DR107" s="11" t="s">
        <v>815</v>
      </c>
      <c r="DS107" s="11" t="s">
        <v>815</v>
      </c>
      <c r="DT107" s="11" t="s">
        <v>815</v>
      </c>
      <c r="DU107" s="11" t="s">
        <v>815</v>
      </c>
      <c r="DV107" s="11" t="s">
        <v>815</v>
      </c>
      <c r="DW107" s="11" t="s">
        <v>815</v>
      </c>
      <c r="DX107" s="2">
        <v>1</v>
      </c>
      <c r="DY107" s="11" t="s">
        <v>815</v>
      </c>
      <c r="DZ107" s="11" t="s">
        <v>815</v>
      </c>
      <c r="EA107" s="2">
        <v>1</v>
      </c>
      <c r="EB107" s="11" t="s">
        <v>815</v>
      </c>
      <c r="EC107" s="11" t="s">
        <v>815</v>
      </c>
      <c r="ED107" s="11" t="s">
        <v>815</v>
      </c>
      <c r="EE107" s="11" t="s">
        <v>815</v>
      </c>
      <c r="EF107" s="11" t="s">
        <v>815</v>
      </c>
      <c r="EG107" s="2">
        <v>1</v>
      </c>
      <c r="EH107" s="11" t="s">
        <v>815</v>
      </c>
      <c r="EI107" s="11" t="s">
        <v>815</v>
      </c>
      <c r="EJ107" s="2">
        <v>1</v>
      </c>
      <c r="EK107" s="2">
        <v>2</v>
      </c>
      <c r="EL107" s="2">
        <v>2</v>
      </c>
      <c r="EM107" s="2">
        <v>1</v>
      </c>
      <c r="EN107" s="11" t="s">
        <v>815</v>
      </c>
      <c r="EO107" s="11" t="s">
        <v>815</v>
      </c>
      <c r="EP107" s="11" t="s">
        <v>815</v>
      </c>
      <c r="EQ107" s="11" t="s">
        <v>815</v>
      </c>
      <c r="ER107" s="11" t="s">
        <v>815</v>
      </c>
      <c r="ES107" s="11" t="s">
        <v>815</v>
      </c>
      <c r="ET107" s="11" t="s">
        <v>815</v>
      </c>
      <c r="EU107" s="2">
        <v>2</v>
      </c>
      <c r="EV107" s="11" t="s">
        <v>815</v>
      </c>
      <c r="EW107" s="2">
        <v>2</v>
      </c>
      <c r="EX107" s="2">
        <v>2</v>
      </c>
      <c r="EY107" s="11" t="s">
        <v>815</v>
      </c>
      <c r="EZ107" s="2">
        <v>2</v>
      </c>
      <c r="FA107" s="11" t="s">
        <v>815</v>
      </c>
      <c r="FB107" s="11" t="s">
        <v>815</v>
      </c>
      <c r="FC107" s="11" t="s">
        <v>815</v>
      </c>
      <c r="FD107" s="11" t="s">
        <v>815</v>
      </c>
      <c r="FE107" s="11" t="s">
        <v>815</v>
      </c>
      <c r="FF107" s="11" t="s">
        <v>815</v>
      </c>
      <c r="FG107" s="11" t="s">
        <v>815</v>
      </c>
      <c r="FH107" s="11" t="s">
        <v>815</v>
      </c>
      <c r="FI107" s="11" t="s">
        <v>815</v>
      </c>
      <c r="FJ107" s="11" t="s">
        <v>815</v>
      </c>
      <c r="FK107" s="2">
        <v>2</v>
      </c>
      <c r="FL107" s="2">
        <v>2</v>
      </c>
      <c r="FM107" s="2">
        <v>2</v>
      </c>
      <c r="FN107" s="2">
        <v>1</v>
      </c>
      <c r="FO107" s="11" t="s">
        <v>815</v>
      </c>
      <c r="FP107" s="11" t="s">
        <v>815</v>
      </c>
      <c r="FQ107" s="2">
        <v>1</v>
      </c>
      <c r="FR107" s="2">
        <v>2</v>
      </c>
      <c r="FS107" s="2">
        <v>1</v>
      </c>
      <c r="FT107" s="2">
        <v>2</v>
      </c>
      <c r="FU107" s="2">
        <v>3</v>
      </c>
      <c r="FV107" s="2">
        <v>2</v>
      </c>
      <c r="FW107" s="2">
        <v>3</v>
      </c>
      <c r="FX107" s="2">
        <v>1</v>
      </c>
      <c r="FY107" s="2">
        <v>2</v>
      </c>
      <c r="FZ107" s="2">
        <v>3</v>
      </c>
      <c r="GA107" s="2">
        <v>1</v>
      </c>
      <c r="GB107" s="2">
        <v>3</v>
      </c>
      <c r="GC107" s="2" t="s">
        <v>274</v>
      </c>
      <c r="GD107" s="2">
        <v>3</v>
      </c>
      <c r="GE107" s="2">
        <v>2</v>
      </c>
      <c r="GF107" s="2">
        <v>2</v>
      </c>
      <c r="GG107" s="2">
        <v>2</v>
      </c>
      <c r="GH107" s="2">
        <v>1</v>
      </c>
      <c r="GI107" s="2">
        <v>1</v>
      </c>
      <c r="GJ107" s="2">
        <v>2</v>
      </c>
      <c r="GK107" s="2">
        <v>3</v>
      </c>
      <c r="GL107" s="2">
        <v>2</v>
      </c>
      <c r="GM107" s="2">
        <v>1</v>
      </c>
      <c r="GN107" s="3">
        <v>1</v>
      </c>
      <c r="GO107" s="12" t="s">
        <v>815</v>
      </c>
      <c r="GP107" s="12" t="s">
        <v>815</v>
      </c>
      <c r="GQ107" s="12" t="s">
        <v>815</v>
      </c>
      <c r="GR107" s="3">
        <v>2</v>
      </c>
      <c r="GS107" s="3">
        <v>3</v>
      </c>
      <c r="GT107" s="3">
        <v>2</v>
      </c>
      <c r="GU107" s="3">
        <v>3</v>
      </c>
      <c r="GV107" s="3">
        <v>2</v>
      </c>
      <c r="GW107" s="3">
        <v>2</v>
      </c>
      <c r="GX107" s="3">
        <v>1</v>
      </c>
      <c r="GY107" s="3">
        <v>3</v>
      </c>
      <c r="GZ107" s="3">
        <v>1</v>
      </c>
      <c r="HA107" s="3">
        <v>1</v>
      </c>
      <c r="HB107" s="12" t="s">
        <v>815</v>
      </c>
      <c r="HC107" s="12" t="s">
        <v>815</v>
      </c>
      <c r="HD107" s="3">
        <v>2</v>
      </c>
      <c r="HE107" s="3">
        <v>2</v>
      </c>
      <c r="HF107" s="3">
        <v>1</v>
      </c>
      <c r="HG107" s="12" t="s">
        <v>815</v>
      </c>
      <c r="HH107" s="3">
        <v>1</v>
      </c>
      <c r="HI107" s="12" t="s">
        <v>815</v>
      </c>
      <c r="HJ107" s="3">
        <v>1</v>
      </c>
      <c r="HK107" s="12" t="s">
        <v>815</v>
      </c>
      <c r="HL107" s="12" t="s">
        <v>815</v>
      </c>
      <c r="HM107" s="12" t="s">
        <v>815</v>
      </c>
      <c r="HN107" s="12" t="s">
        <v>815</v>
      </c>
      <c r="HO107" s="3">
        <v>2</v>
      </c>
      <c r="HP107" s="3">
        <v>3</v>
      </c>
      <c r="HQ107" s="3">
        <v>2</v>
      </c>
      <c r="HR107" s="12" t="s">
        <v>815</v>
      </c>
      <c r="HS107" s="12" t="s">
        <v>815</v>
      </c>
      <c r="HT107" s="12" t="s">
        <v>815</v>
      </c>
      <c r="HU107" s="12" t="s">
        <v>815</v>
      </c>
      <c r="HV107" s="3">
        <v>2</v>
      </c>
      <c r="HW107" s="3">
        <v>3</v>
      </c>
      <c r="HX107" s="12" t="s">
        <v>815</v>
      </c>
      <c r="HY107" s="3">
        <v>1</v>
      </c>
      <c r="HZ107" s="3">
        <v>2</v>
      </c>
      <c r="IA107" s="3">
        <v>2</v>
      </c>
      <c r="IB107" s="3">
        <v>2</v>
      </c>
      <c r="IC107" s="12" t="s">
        <v>815</v>
      </c>
      <c r="ID107" s="3">
        <v>2</v>
      </c>
      <c r="IE107" s="12" t="s">
        <v>815</v>
      </c>
      <c r="IF107" s="3">
        <v>1</v>
      </c>
      <c r="IG107" s="3">
        <v>2</v>
      </c>
      <c r="IH107" s="12" t="s">
        <v>815</v>
      </c>
      <c r="II107" s="3">
        <v>1</v>
      </c>
      <c r="IJ107" s="3">
        <v>2</v>
      </c>
      <c r="IK107" s="12" t="s">
        <v>815</v>
      </c>
      <c r="IL107" s="12" t="s">
        <v>815</v>
      </c>
      <c r="IM107" s="3">
        <v>2</v>
      </c>
      <c r="IN107" s="12" t="s">
        <v>815</v>
      </c>
      <c r="IO107" s="12" t="s">
        <v>815</v>
      </c>
      <c r="IP107" s="3">
        <v>2</v>
      </c>
      <c r="IQ107" s="3">
        <v>4</v>
      </c>
      <c r="IR107" s="3" t="s">
        <v>274</v>
      </c>
      <c r="IS107" s="3">
        <v>1</v>
      </c>
      <c r="IT107" s="3">
        <v>3</v>
      </c>
      <c r="IU107" s="3">
        <v>3</v>
      </c>
      <c r="IV107" s="3">
        <v>3</v>
      </c>
      <c r="IW107" s="3">
        <v>1</v>
      </c>
      <c r="IX107" s="3">
        <v>2</v>
      </c>
      <c r="IY107" s="3">
        <v>2</v>
      </c>
      <c r="IZ107" s="2" t="s">
        <v>816</v>
      </c>
    </row>
    <row r="108" spans="1:261" ht="13.2" x14ac:dyDescent="0.25">
      <c r="A108" s="10" t="s">
        <v>274</v>
      </c>
      <c r="B108" s="2" t="s">
        <v>842</v>
      </c>
      <c r="C108" s="2" t="s">
        <v>261</v>
      </c>
      <c r="D108" s="2" t="s">
        <v>270</v>
      </c>
      <c r="E108" s="2">
        <v>20</v>
      </c>
      <c r="F108" s="11" t="s">
        <v>843</v>
      </c>
      <c r="G108" s="11" t="s">
        <v>844</v>
      </c>
      <c r="H108" s="2" t="s">
        <v>845</v>
      </c>
      <c r="I108" s="3">
        <v>2</v>
      </c>
      <c r="J108" s="12" t="s">
        <v>815</v>
      </c>
      <c r="K108" s="3">
        <v>2</v>
      </c>
      <c r="L108" s="12" t="s">
        <v>815</v>
      </c>
      <c r="M108" s="3">
        <v>1</v>
      </c>
      <c r="N108" s="3">
        <v>3</v>
      </c>
      <c r="O108" s="3">
        <v>3</v>
      </c>
      <c r="P108" s="3">
        <v>4</v>
      </c>
      <c r="Q108" s="3">
        <v>2</v>
      </c>
      <c r="R108" s="3">
        <v>4</v>
      </c>
      <c r="S108" s="3">
        <v>3</v>
      </c>
      <c r="T108" s="3">
        <v>4</v>
      </c>
      <c r="U108" s="3">
        <v>3</v>
      </c>
      <c r="V108" s="3">
        <v>4</v>
      </c>
      <c r="W108" s="3">
        <v>3</v>
      </c>
      <c r="X108" s="3">
        <v>3</v>
      </c>
      <c r="Y108" s="3">
        <v>4</v>
      </c>
      <c r="Z108" s="3">
        <v>4</v>
      </c>
      <c r="AA108" s="3">
        <v>4</v>
      </c>
      <c r="AB108" s="3">
        <v>4</v>
      </c>
      <c r="AC108" s="3">
        <v>4</v>
      </c>
      <c r="AD108" s="3">
        <v>4</v>
      </c>
      <c r="AE108" s="3">
        <v>3</v>
      </c>
      <c r="AF108" s="3">
        <v>1</v>
      </c>
      <c r="AG108" s="3">
        <v>1</v>
      </c>
      <c r="AH108" s="3">
        <v>1</v>
      </c>
      <c r="AI108" s="3">
        <v>4</v>
      </c>
      <c r="AJ108" s="3">
        <v>4</v>
      </c>
      <c r="AK108" s="3">
        <v>4</v>
      </c>
      <c r="AL108" s="3">
        <v>4</v>
      </c>
      <c r="AM108" s="3">
        <v>4</v>
      </c>
      <c r="AN108" s="3">
        <v>4</v>
      </c>
      <c r="AO108" s="3">
        <v>4</v>
      </c>
      <c r="AP108" s="3">
        <v>1</v>
      </c>
      <c r="AQ108" s="3">
        <v>2</v>
      </c>
      <c r="AR108" s="12" t="s">
        <v>815</v>
      </c>
      <c r="AS108" s="3">
        <v>3</v>
      </c>
      <c r="AT108" s="3">
        <v>1</v>
      </c>
      <c r="AU108" s="3">
        <v>4</v>
      </c>
      <c r="AV108" s="3">
        <v>4</v>
      </c>
      <c r="AW108" s="3">
        <v>4</v>
      </c>
      <c r="AX108" s="12" t="s">
        <v>815</v>
      </c>
      <c r="AY108" s="3">
        <v>4</v>
      </c>
      <c r="AZ108" s="3">
        <v>4</v>
      </c>
      <c r="BA108" s="12" t="s">
        <v>815</v>
      </c>
      <c r="BB108" s="3">
        <v>2</v>
      </c>
      <c r="BC108" s="12" t="s">
        <v>815</v>
      </c>
      <c r="BD108" s="12" t="s">
        <v>815</v>
      </c>
      <c r="BE108" s="3">
        <v>2</v>
      </c>
      <c r="BF108" s="3">
        <v>3</v>
      </c>
      <c r="BG108" s="3">
        <v>3</v>
      </c>
      <c r="BH108" s="3">
        <v>1</v>
      </c>
      <c r="BI108" s="3">
        <v>1</v>
      </c>
      <c r="BJ108" s="3">
        <v>2</v>
      </c>
      <c r="BK108" s="3">
        <v>2</v>
      </c>
      <c r="BL108" s="12" t="s">
        <v>815</v>
      </c>
      <c r="BM108" s="3" t="s">
        <v>846</v>
      </c>
      <c r="BN108" s="3">
        <v>4</v>
      </c>
      <c r="BO108" s="3">
        <v>2</v>
      </c>
      <c r="BP108" s="3">
        <v>4</v>
      </c>
      <c r="BQ108" s="3">
        <v>4</v>
      </c>
      <c r="BR108" s="3">
        <v>3</v>
      </c>
      <c r="BS108" s="3">
        <v>3</v>
      </c>
      <c r="BT108" s="3">
        <v>3</v>
      </c>
      <c r="BU108" s="2">
        <v>4</v>
      </c>
      <c r="BV108" s="11" t="s">
        <v>815</v>
      </c>
      <c r="BW108" s="2">
        <v>4</v>
      </c>
      <c r="BX108" s="11" t="s">
        <v>815</v>
      </c>
      <c r="BY108" s="2">
        <v>1</v>
      </c>
      <c r="BZ108" s="2">
        <v>1</v>
      </c>
      <c r="CA108" s="11" t="s">
        <v>815</v>
      </c>
      <c r="CB108" s="2">
        <v>3</v>
      </c>
      <c r="CC108" s="2">
        <v>3</v>
      </c>
      <c r="CD108" s="2">
        <v>3</v>
      </c>
      <c r="CE108" s="11" t="s">
        <v>815</v>
      </c>
      <c r="CF108" s="2">
        <v>4</v>
      </c>
      <c r="CG108" s="2">
        <v>1</v>
      </c>
      <c r="CH108" s="11" t="s">
        <v>815</v>
      </c>
      <c r="CI108" s="2">
        <v>1</v>
      </c>
      <c r="CJ108" s="2">
        <v>1</v>
      </c>
      <c r="CK108" s="2">
        <v>1</v>
      </c>
      <c r="CL108" s="11" t="s">
        <v>815</v>
      </c>
      <c r="CM108" s="2">
        <v>1</v>
      </c>
      <c r="CN108" s="11" t="s">
        <v>815</v>
      </c>
      <c r="CO108" s="11" t="s">
        <v>815</v>
      </c>
      <c r="CP108" s="11" t="s">
        <v>815</v>
      </c>
      <c r="CQ108" s="11" t="s">
        <v>815</v>
      </c>
      <c r="CR108" s="2">
        <v>2</v>
      </c>
      <c r="CS108" s="11" t="s">
        <v>815</v>
      </c>
      <c r="CT108" s="2">
        <v>3</v>
      </c>
      <c r="CU108" s="11" t="s">
        <v>815</v>
      </c>
      <c r="CV108" s="2">
        <v>2</v>
      </c>
      <c r="CW108" s="2">
        <v>4</v>
      </c>
      <c r="CX108" s="2">
        <v>1</v>
      </c>
      <c r="CY108" s="11" t="s">
        <v>815</v>
      </c>
      <c r="CZ108" s="2">
        <v>4</v>
      </c>
      <c r="DA108" s="2">
        <v>4</v>
      </c>
      <c r="DB108" s="11" t="s">
        <v>815</v>
      </c>
      <c r="DC108" s="11" t="s">
        <v>815</v>
      </c>
      <c r="DD108" s="2">
        <v>1</v>
      </c>
      <c r="DE108" s="2">
        <v>1</v>
      </c>
      <c r="DF108" s="2">
        <v>4</v>
      </c>
      <c r="DG108" s="11" t="s">
        <v>815</v>
      </c>
      <c r="DH108" s="2">
        <v>4</v>
      </c>
      <c r="DI108" s="2">
        <v>1</v>
      </c>
      <c r="DJ108" s="11" t="s">
        <v>815</v>
      </c>
      <c r="DK108" s="11" t="s">
        <v>815</v>
      </c>
      <c r="DL108" s="2">
        <v>2</v>
      </c>
      <c r="DM108" s="11" t="s">
        <v>815</v>
      </c>
      <c r="DN108" s="11" t="s">
        <v>815</v>
      </c>
      <c r="DO108" s="11" t="s">
        <v>815</v>
      </c>
      <c r="DP108" s="2">
        <v>3</v>
      </c>
      <c r="DQ108" s="2">
        <v>4</v>
      </c>
      <c r="DR108" s="11" t="s">
        <v>815</v>
      </c>
      <c r="DS108" s="2">
        <v>4</v>
      </c>
      <c r="DT108" s="2">
        <v>1</v>
      </c>
      <c r="DU108" s="11" t="s">
        <v>815</v>
      </c>
      <c r="DV108" s="11" t="s">
        <v>815</v>
      </c>
      <c r="DW108" s="2">
        <v>3</v>
      </c>
      <c r="DX108" s="2">
        <v>3</v>
      </c>
      <c r="DY108" s="2">
        <v>1</v>
      </c>
      <c r="DZ108" s="11" t="s">
        <v>815</v>
      </c>
      <c r="EA108" s="2">
        <v>2</v>
      </c>
      <c r="EB108" s="11" t="s">
        <v>815</v>
      </c>
      <c r="EC108" s="11" t="s">
        <v>815</v>
      </c>
      <c r="ED108" s="11" t="s">
        <v>815</v>
      </c>
      <c r="EE108" s="11" t="s">
        <v>815</v>
      </c>
      <c r="EF108" s="11" t="s">
        <v>815</v>
      </c>
      <c r="EG108" s="2">
        <v>4</v>
      </c>
      <c r="EH108" s="11" t="s">
        <v>815</v>
      </c>
      <c r="EI108" s="2">
        <v>3</v>
      </c>
      <c r="EJ108" s="2">
        <v>3</v>
      </c>
      <c r="EK108" s="11" t="s">
        <v>815</v>
      </c>
      <c r="EL108" s="11" t="s">
        <v>815</v>
      </c>
      <c r="EM108" s="2">
        <v>3</v>
      </c>
      <c r="EN108" s="11" t="s">
        <v>815</v>
      </c>
      <c r="EO108" s="11" t="s">
        <v>815</v>
      </c>
      <c r="EP108" s="2">
        <v>4</v>
      </c>
      <c r="EQ108" s="2">
        <v>4</v>
      </c>
      <c r="ER108" s="11" t="s">
        <v>815</v>
      </c>
      <c r="ES108" s="2">
        <v>1</v>
      </c>
      <c r="ET108" s="11" t="s">
        <v>815</v>
      </c>
      <c r="EU108" s="2">
        <v>3</v>
      </c>
      <c r="EV108" s="2">
        <v>3</v>
      </c>
      <c r="EW108" s="11" t="s">
        <v>815</v>
      </c>
      <c r="EX108" s="2">
        <v>3</v>
      </c>
      <c r="EY108" s="11" t="s">
        <v>815</v>
      </c>
      <c r="EZ108" s="11" t="s">
        <v>815</v>
      </c>
      <c r="FA108" s="2">
        <v>1</v>
      </c>
      <c r="FB108" s="2">
        <v>2</v>
      </c>
      <c r="FC108" s="2">
        <v>2</v>
      </c>
      <c r="FD108" s="11" t="s">
        <v>815</v>
      </c>
      <c r="FE108" s="11" t="s">
        <v>815</v>
      </c>
      <c r="FF108" s="2">
        <v>3</v>
      </c>
      <c r="FG108" s="2">
        <v>4</v>
      </c>
      <c r="FH108" s="11" t="s">
        <v>815</v>
      </c>
      <c r="FI108" s="2">
        <v>1</v>
      </c>
      <c r="FJ108" s="11" t="s">
        <v>815</v>
      </c>
      <c r="FK108" s="2">
        <v>4</v>
      </c>
      <c r="FL108" s="2">
        <v>4</v>
      </c>
      <c r="FM108" s="2">
        <v>2</v>
      </c>
      <c r="FN108" s="2">
        <v>2</v>
      </c>
      <c r="FO108" s="11" t="s">
        <v>815</v>
      </c>
      <c r="FP108" s="2">
        <v>4</v>
      </c>
      <c r="FQ108" s="2">
        <v>2</v>
      </c>
      <c r="FR108" s="2">
        <v>4</v>
      </c>
      <c r="FS108" s="2">
        <v>2</v>
      </c>
      <c r="FT108" s="2">
        <v>2</v>
      </c>
      <c r="FU108" s="11" t="s">
        <v>815</v>
      </c>
      <c r="FV108" s="11" t="s">
        <v>815</v>
      </c>
      <c r="FW108" s="11" t="s">
        <v>815</v>
      </c>
      <c r="FX108" s="2">
        <v>1</v>
      </c>
      <c r="FY108" s="11" t="s">
        <v>815</v>
      </c>
      <c r="FZ108" s="11" t="s">
        <v>815</v>
      </c>
      <c r="GA108" s="11" t="s">
        <v>815</v>
      </c>
      <c r="GB108" s="2">
        <v>1</v>
      </c>
      <c r="GC108" s="2" t="s">
        <v>847</v>
      </c>
      <c r="GD108" s="2">
        <v>4</v>
      </c>
      <c r="GE108" s="2">
        <v>4</v>
      </c>
      <c r="GF108" s="2">
        <v>4</v>
      </c>
      <c r="GG108" s="11" t="s">
        <v>815</v>
      </c>
      <c r="GH108" s="2">
        <v>4</v>
      </c>
      <c r="GI108" s="2">
        <v>4</v>
      </c>
      <c r="GJ108" s="2">
        <v>3</v>
      </c>
      <c r="GK108" s="11" t="s">
        <v>815</v>
      </c>
      <c r="GL108" s="11" t="s">
        <v>815</v>
      </c>
      <c r="GM108" s="2">
        <v>4</v>
      </c>
      <c r="GN108" s="3">
        <v>4</v>
      </c>
      <c r="GO108" s="3">
        <v>4</v>
      </c>
      <c r="GP108" s="3">
        <v>1</v>
      </c>
      <c r="GQ108" s="3">
        <v>3</v>
      </c>
      <c r="GR108" s="3">
        <v>3</v>
      </c>
      <c r="GS108" s="12" t="s">
        <v>815</v>
      </c>
      <c r="GT108" s="3">
        <v>1</v>
      </c>
      <c r="GU108" s="12" t="s">
        <v>815</v>
      </c>
      <c r="GV108" s="3">
        <v>1</v>
      </c>
      <c r="GW108" s="12" t="s">
        <v>815</v>
      </c>
      <c r="GX108" s="12" t="s">
        <v>815</v>
      </c>
      <c r="GY108" s="12" t="s">
        <v>815</v>
      </c>
      <c r="GZ108" s="12" t="s">
        <v>815</v>
      </c>
      <c r="HA108" s="12" t="s">
        <v>815</v>
      </c>
      <c r="HB108" s="12" t="s">
        <v>815</v>
      </c>
      <c r="HC108" s="12" t="s">
        <v>815</v>
      </c>
      <c r="HD108" s="3">
        <v>1</v>
      </c>
      <c r="HE108" s="12" t="s">
        <v>815</v>
      </c>
      <c r="HF108" s="3">
        <v>3</v>
      </c>
      <c r="HG108" s="12" t="s">
        <v>815</v>
      </c>
      <c r="HH108" s="3">
        <v>4</v>
      </c>
      <c r="HI108" s="12" t="s">
        <v>815</v>
      </c>
      <c r="HJ108" s="3">
        <v>3</v>
      </c>
      <c r="HK108" s="3">
        <v>3</v>
      </c>
      <c r="HL108" s="12" t="s">
        <v>815</v>
      </c>
      <c r="HM108" s="3">
        <v>3</v>
      </c>
      <c r="HN108" s="12" t="s">
        <v>815</v>
      </c>
      <c r="HO108" s="3">
        <v>1</v>
      </c>
      <c r="HP108" s="12" t="s">
        <v>815</v>
      </c>
      <c r="HQ108" s="3">
        <v>1</v>
      </c>
      <c r="HR108" s="3">
        <v>4</v>
      </c>
      <c r="HS108" s="12" t="s">
        <v>815</v>
      </c>
      <c r="HT108" s="3">
        <v>2</v>
      </c>
      <c r="HU108" s="3">
        <v>2</v>
      </c>
      <c r="HV108" s="12" t="s">
        <v>815</v>
      </c>
      <c r="HW108" s="12" t="s">
        <v>815</v>
      </c>
      <c r="HX108" s="3">
        <v>4</v>
      </c>
      <c r="HY108" s="3">
        <v>1</v>
      </c>
      <c r="HZ108" s="3">
        <v>3</v>
      </c>
      <c r="IA108" s="3">
        <v>1</v>
      </c>
      <c r="IB108" s="3">
        <v>1</v>
      </c>
      <c r="IC108" s="12" t="s">
        <v>815</v>
      </c>
      <c r="ID108" s="3">
        <v>4</v>
      </c>
      <c r="IE108" s="12" t="s">
        <v>815</v>
      </c>
      <c r="IF108" s="3">
        <v>4</v>
      </c>
      <c r="IG108" s="3">
        <v>2</v>
      </c>
      <c r="IH108" s="12" t="s">
        <v>815</v>
      </c>
      <c r="II108" s="12" t="s">
        <v>815</v>
      </c>
      <c r="IJ108" s="3">
        <v>4</v>
      </c>
      <c r="IK108" s="3">
        <v>3</v>
      </c>
      <c r="IL108" s="3">
        <v>3</v>
      </c>
      <c r="IM108" s="3">
        <v>4</v>
      </c>
      <c r="IN108" s="12" t="s">
        <v>815</v>
      </c>
      <c r="IO108" s="3">
        <v>1</v>
      </c>
      <c r="IP108" s="12" t="s">
        <v>815</v>
      </c>
      <c r="IQ108" s="12" t="s">
        <v>815</v>
      </c>
      <c r="IR108" s="3" t="s">
        <v>848</v>
      </c>
      <c r="IS108" s="12" t="s">
        <v>815</v>
      </c>
      <c r="IT108" s="3">
        <v>4</v>
      </c>
      <c r="IU108" s="12" t="s">
        <v>815</v>
      </c>
      <c r="IV108" s="3">
        <v>4</v>
      </c>
      <c r="IW108" s="3">
        <v>4</v>
      </c>
      <c r="IX108" s="3">
        <v>2</v>
      </c>
      <c r="IY108" s="3">
        <v>3</v>
      </c>
      <c r="IZ108" s="2" t="s">
        <v>816</v>
      </c>
    </row>
    <row r="109" spans="1:261" ht="13.2" x14ac:dyDescent="0.25">
      <c r="A109" s="10" t="s">
        <v>274</v>
      </c>
      <c r="B109" s="2" t="s">
        <v>849</v>
      </c>
      <c r="C109" s="2" t="s">
        <v>276</v>
      </c>
      <c r="D109" s="2" t="s">
        <v>262</v>
      </c>
      <c r="E109" s="2">
        <v>29</v>
      </c>
      <c r="F109" s="11" t="s">
        <v>850</v>
      </c>
      <c r="G109" s="11" t="s">
        <v>851</v>
      </c>
      <c r="H109" s="2" t="s">
        <v>852</v>
      </c>
      <c r="I109" s="3">
        <v>2</v>
      </c>
      <c r="J109" s="3">
        <v>2</v>
      </c>
      <c r="K109" s="3">
        <v>3</v>
      </c>
      <c r="L109" s="3">
        <v>3</v>
      </c>
      <c r="M109" s="3">
        <v>3</v>
      </c>
      <c r="N109" s="3">
        <v>3</v>
      </c>
      <c r="O109" s="3">
        <v>3</v>
      </c>
      <c r="P109" s="3">
        <v>3</v>
      </c>
      <c r="Q109" s="3">
        <v>3</v>
      </c>
      <c r="R109" s="3">
        <v>2</v>
      </c>
      <c r="S109" s="3">
        <v>3</v>
      </c>
      <c r="T109" s="3">
        <v>3</v>
      </c>
      <c r="U109" s="3">
        <v>1</v>
      </c>
      <c r="V109" s="12" t="s">
        <v>815</v>
      </c>
      <c r="W109" s="3">
        <v>4</v>
      </c>
      <c r="X109" s="3">
        <v>3</v>
      </c>
      <c r="Y109" s="3">
        <v>4</v>
      </c>
      <c r="Z109" s="3">
        <v>4</v>
      </c>
      <c r="AA109" s="3">
        <v>4</v>
      </c>
      <c r="AB109" s="3">
        <v>4</v>
      </c>
      <c r="AC109" s="3">
        <v>4</v>
      </c>
      <c r="AD109" s="3">
        <v>4</v>
      </c>
      <c r="AE109" s="3">
        <v>4</v>
      </c>
      <c r="AF109" s="3">
        <v>3</v>
      </c>
      <c r="AG109" s="3">
        <v>3</v>
      </c>
      <c r="AH109" s="3">
        <v>3</v>
      </c>
      <c r="AI109" s="3">
        <v>3</v>
      </c>
      <c r="AJ109" s="3">
        <v>3</v>
      </c>
      <c r="AK109" s="3">
        <v>3</v>
      </c>
      <c r="AL109" s="3">
        <v>3</v>
      </c>
      <c r="AM109" s="3">
        <v>1</v>
      </c>
      <c r="AN109" s="3">
        <v>1</v>
      </c>
      <c r="AO109" s="3">
        <v>4</v>
      </c>
      <c r="AP109" s="3">
        <v>1</v>
      </c>
      <c r="AQ109" s="3">
        <v>2</v>
      </c>
      <c r="AR109" s="12" t="s">
        <v>815</v>
      </c>
      <c r="AS109" s="3">
        <v>1</v>
      </c>
      <c r="AT109" s="3">
        <v>1</v>
      </c>
      <c r="AU109" s="3">
        <v>3</v>
      </c>
      <c r="AV109" s="3">
        <v>2</v>
      </c>
      <c r="AW109" s="3">
        <v>3</v>
      </c>
      <c r="AX109" s="3">
        <v>2</v>
      </c>
      <c r="AY109" s="3">
        <v>3</v>
      </c>
      <c r="AZ109" s="3">
        <v>3</v>
      </c>
      <c r="BA109" s="3">
        <v>2</v>
      </c>
      <c r="BB109" s="3">
        <v>4</v>
      </c>
      <c r="BC109" s="12" t="s">
        <v>815</v>
      </c>
      <c r="BD109" s="3">
        <v>1</v>
      </c>
      <c r="BE109" s="3">
        <v>2</v>
      </c>
      <c r="BF109" s="3">
        <v>3</v>
      </c>
      <c r="BG109" s="3">
        <v>3</v>
      </c>
      <c r="BH109" s="3">
        <v>3</v>
      </c>
      <c r="BI109" s="3">
        <v>2</v>
      </c>
      <c r="BJ109" s="3">
        <v>3</v>
      </c>
      <c r="BK109" s="3">
        <v>4</v>
      </c>
      <c r="BL109" s="3">
        <v>4</v>
      </c>
      <c r="BM109" s="3" t="s">
        <v>853</v>
      </c>
      <c r="BN109" s="3">
        <v>3</v>
      </c>
      <c r="BO109" s="3">
        <v>3</v>
      </c>
      <c r="BP109" s="3">
        <v>2</v>
      </c>
      <c r="BQ109" s="3">
        <v>2</v>
      </c>
      <c r="BR109" s="3">
        <v>2</v>
      </c>
      <c r="BS109" s="3">
        <v>3</v>
      </c>
      <c r="BT109" s="3">
        <v>3</v>
      </c>
      <c r="BU109" s="2">
        <v>1</v>
      </c>
      <c r="BV109" s="2">
        <v>1</v>
      </c>
      <c r="BW109" s="2">
        <v>2</v>
      </c>
      <c r="BX109" s="2">
        <v>1</v>
      </c>
      <c r="BY109" s="11" t="s">
        <v>815</v>
      </c>
      <c r="BZ109" s="2">
        <v>1</v>
      </c>
      <c r="CA109" s="11" t="s">
        <v>815</v>
      </c>
      <c r="CB109" s="2">
        <v>1</v>
      </c>
      <c r="CC109" s="2">
        <v>1</v>
      </c>
      <c r="CD109" s="11" t="s">
        <v>815</v>
      </c>
      <c r="CE109" s="2">
        <v>1</v>
      </c>
      <c r="CF109" s="2">
        <v>2</v>
      </c>
      <c r="CG109" s="2">
        <v>2</v>
      </c>
      <c r="CH109" s="2">
        <v>1</v>
      </c>
      <c r="CI109" s="2">
        <v>3</v>
      </c>
      <c r="CJ109" s="2">
        <v>1</v>
      </c>
      <c r="CK109" s="11" t="s">
        <v>815</v>
      </c>
      <c r="CL109" s="2">
        <v>3</v>
      </c>
      <c r="CM109" s="2">
        <v>1</v>
      </c>
      <c r="CN109" s="11" t="s">
        <v>815</v>
      </c>
      <c r="CO109" s="11" t="s">
        <v>815</v>
      </c>
      <c r="CP109" s="11" t="s">
        <v>815</v>
      </c>
      <c r="CQ109" s="2">
        <v>4</v>
      </c>
      <c r="CR109" s="2">
        <v>2</v>
      </c>
      <c r="CS109" s="2">
        <v>2</v>
      </c>
      <c r="CT109" s="2">
        <v>1</v>
      </c>
      <c r="CU109" s="11" t="s">
        <v>815</v>
      </c>
      <c r="CV109" s="11" t="s">
        <v>815</v>
      </c>
      <c r="CW109" s="11" t="s">
        <v>815</v>
      </c>
      <c r="CX109" s="11" t="s">
        <v>815</v>
      </c>
      <c r="CY109" s="11" t="s">
        <v>815</v>
      </c>
      <c r="CZ109" s="11" t="s">
        <v>815</v>
      </c>
      <c r="DA109" s="2">
        <v>3</v>
      </c>
      <c r="DB109" s="2">
        <v>2</v>
      </c>
      <c r="DC109" s="11" t="s">
        <v>815</v>
      </c>
      <c r="DD109" s="2">
        <v>1</v>
      </c>
      <c r="DE109" s="2">
        <v>4</v>
      </c>
      <c r="DF109" s="2">
        <v>4</v>
      </c>
      <c r="DG109" s="2">
        <v>3</v>
      </c>
      <c r="DH109" s="2">
        <v>4</v>
      </c>
      <c r="DI109" s="2">
        <v>2</v>
      </c>
      <c r="DJ109" s="11" t="s">
        <v>815</v>
      </c>
      <c r="DK109" s="2">
        <v>1</v>
      </c>
      <c r="DL109" s="2">
        <v>1</v>
      </c>
      <c r="DM109" s="2">
        <v>1</v>
      </c>
      <c r="DN109" s="11" t="s">
        <v>815</v>
      </c>
      <c r="DO109" s="11" t="s">
        <v>815</v>
      </c>
      <c r="DP109" s="2">
        <v>2</v>
      </c>
      <c r="DQ109" s="2">
        <v>3</v>
      </c>
      <c r="DR109" s="2">
        <v>1</v>
      </c>
      <c r="DS109" s="2">
        <v>3</v>
      </c>
      <c r="DT109" s="2">
        <v>2</v>
      </c>
      <c r="DU109" s="2">
        <v>1</v>
      </c>
      <c r="DV109" s="2">
        <v>1</v>
      </c>
      <c r="DW109" s="2">
        <v>1</v>
      </c>
      <c r="DX109" s="2">
        <v>3</v>
      </c>
      <c r="DY109" s="2">
        <v>1</v>
      </c>
      <c r="DZ109" s="11" t="s">
        <v>815</v>
      </c>
      <c r="EA109" s="11" t="s">
        <v>815</v>
      </c>
      <c r="EB109" s="2">
        <v>2</v>
      </c>
      <c r="EC109" s="2">
        <v>1</v>
      </c>
      <c r="ED109" s="2">
        <v>1</v>
      </c>
      <c r="EE109" s="2">
        <v>2</v>
      </c>
      <c r="EF109" s="11" t="s">
        <v>815</v>
      </c>
      <c r="EG109" s="2">
        <v>2</v>
      </c>
      <c r="EH109" s="2">
        <v>1</v>
      </c>
      <c r="EI109" s="2">
        <v>2</v>
      </c>
      <c r="EJ109" s="2">
        <v>1</v>
      </c>
      <c r="EK109" s="2">
        <v>2</v>
      </c>
      <c r="EL109" s="2">
        <v>1</v>
      </c>
      <c r="EM109" s="11" t="s">
        <v>815</v>
      </c>
      <c r="EN109" s="11" t="s">
        <v>815</v>
      </c>
      <c r="EO109" s="11" t="s">
        <v>815</v>
      </c>
      <c r="EP109" s="11" t="s">
        <v>815</v>
      </c>
      <c r="EQ109" s="2">
        <v>1</v>
      </c>
      <c r="ER109" s="11" t="s">
        <v>815</v>
      </c>
      <c r="ES109" s="11" t="s">
        <v>815</v>
      </c>
      <c r="ET109" s="11" t="s">
        <v>815</v>
      </c>
      <c r="EU109" s="2">
        <v>1</v>
      </c>
      <c r="EV109" s="2">
        <v>1</v>
      </c>
      <c r="EW109" s="2">
        <v>4</v>
      </c>
      <c r="EX109" s="2">
        <v>3</v>
      </c>
      <c r="EY109" s="2">
        <v>1</v>
      </c>
      <c r="EZ109" s="2">
        <v>1</v>
      </c>
      <c r="FA109" s="11" t="s">
        <v>815</v>
      </c>
      <c r="FB109" s="11" t="s">
        <v>815</v>
      </c>
      <c r="FC109" s="11" t="s">
        <v>815</v>
      </c>
      <c r="FD109" s="11" t="s">
        <v>815</v>
      </c>
      <c r="FE109" s="11" t="s">
        <v>815</v>
      </c>
      <c r="FF109" s="2">
        <v>1</v>
      </c>
      <c r="FG109" s="2">
        <v>1</v>
      </c>
      <c r="FH109" s="2">
        <v>2</v>
      </c>
      <c r="FI109" s="2">
        <v>1</v>
      </c>
      <c r="FJ109" s="11" t="s">
        <v>815</v>
      </c>
      <c r="FK109" s="2">
        <v>1</v>
      </c>
      <c r="FL109" s="2">
        <v>2</v>
      </c>
      <c r="FM109" s="2">
        <v>1</v>
      </c>
      <c r="FN109" s="11" t="s">
        <v>815</v>
      </c>
      <c r="FO109" s="11" t="s">
        <v>815</v>
      </c>
      <c r="FP109" s="11" t="s">
        <v>815</v>
      </c>
      <c r="FQ109" s="11" t="s">
        <v>815</v>
      </c>
      <c r="FR109" s="2">
        <v>2</v>
      </c>
      <c r="FS109" s="2">
        <v>1</v>
      </c>
      <c r="FT109" s="2">
        <v>2</v>
      </c>
      <c r="FU109" s="2">
        <v>3</v>
      </c>
      <c r="FV109" s="11" t="s">
        <v>815</v>
      </c>
      <c r="FW109" s="2">
        <v>2</v>
      </c>
      <c r="FX109" s="11" t="s">
        <v>815</v>
      </c>
      <c r="FY109" s="11" t="s">
        <v>815</v>
      </c>
      <c r="FZ109" s="11" t="s">
        <v>815</v>
      </c>
      <c r="GA109" s="11" t="s">
        <v>815</v>
      </c>
      <c r="GB109" s="2">
        <v>3</v>
      </c>
      <c r="GC109" s="2" t="s">
        <v>854</v>
      </c>
      <c r="GD109" s="2">
        <v>2</v>
      </c>
      <c r="GE109" s="11" t="s">
        <v>815</v>
      </c>
      <c r="GF109" s="11" t="s">
        <v>815</v>
      </c>
      <c r="GG109" s="2">
        <v>3</v>
      </c>
      <c r="GH109" s="2">
        <v>2</v>
      </c>
      <c r="GI109" s="2">
        <v>1</v>
      </c>
      <c r="GJ109" s="2">
        <v>1</v>
      </c>
      <c r="GK109" s="11" t="s">
        <v>815</v>
      </c>
      <c r="GL109" s="11" t="s">
        <v>815</v>
      </c>
      <c r="GM109" s="11" t="s">
        <v>815</v>
      </c>
      <c r="GN109" s="3">
        <v>2</v>
      </c>
      <c r="GO109" s="3">
        <v>3</v>
      </c>
      <c r="GP109" s="3">
        <v>2</v>
      </c>
      <c r="GQ109" s="3">
        <v>2</v>
      </c>
      <c r="GR109" s="3">
        <v>2</v>
      </c>
      <c r="GS109" s="3">
        <v>2</v>
      </c>
      <c r="GT109" s="3">
        <v>1</v>
      </c>
      <c r="GU109" s="3">
        <v>3</v>
      </c>
      <c r="GV109" s="3">
        <v>2</v>
      </c>
      <c r="GW109" s="3">
        <v>2</v>
      </c>
      <c r="GX109" s="12" t="s">
        <v>815</v>
      </c>
      <c r="GY109" s="12" t="s">
        <v>815</v>
      </c>
      <c r="GZ109" s="3">
        <v>2</v>
      </c>
      <c r="HA109" s="3">
        <v>1</v>
      </c>
      <c r="HB109" s="3">
        <v>1</v>
      </c>
      <c r="HC109" s="12" t="s">
        <v>815</v>
      </c>
      <c r="HD109" s="3">
        <v>1</v>
      </c>
      <c r="HE109" s="12" t="s">
        <v>815</v>
      </c>
      <c r="HF109" s="3">
        <v>1</v>
      </c>
      <c r="HG109" s="12" t="s">
        <v>815</v>
      </c>
      <c r="HH109" s="3">
        <v>2</v>
      </c>
      <c r="HI109" s="12" t="s">
        <v>815</v>
      </c>
      <c r="HJ109" s="12" t="s">
        <v>815</v>
      </c>
      <c r="HK109" s="3">
        <v>1</v>
      </c>
      <c r="HL109" s="12" t="s">
        <v>815</v>
      </c>
      <c r="HM109" s="3">
        <v>2</v>
      </c>
      <c r="HN109" s="3">
        <v>1</v>
      </c>
      <c r="HO109" s="12" t="s">
        <v>815</v>
      </c>
      <c r="HP109" s="3">
        <v>1</v>
      </c>
      <c r="HQ109" s="12" t="s">
        <v>815</v>
      </c>
      <c r="HR109" s="3">
        <v>1</v>
      </c>
      <c r="HS109" s="12" t="s">
        <v>815</v>
      </c>
      <c r="HT109" s="3">
        <v>1</v>
      </c>
      <c r="HU109" s="12" t="s">
        <v>815</v>
      </c>
      <c r="HV109" s="3">
        <v>2</v>
      </c>
      <c r="HW109" s="3">
        <v>2</v>
      </c>
      <c r="HX109" s="12" t="s">
        <v>815</v>
      </c>
      <c r="HY109" s="12" t="s">
        <v>815</v>
      </c>
      <c r="HZ109" s="12" t="s">
        <v>815</v>
      </c>
      <c r="IA109" s="3">
        <v>2</v>
      </c>
      <c r="IB109" s="3">
        <v>3</v>
      </c>
      <c r="IC109" s="3">
        <v>1</v>
      </c>
      <c r="ID109" s="3">
        <v>2</v>
      </c>
      <c r="IE109" s="12" t="s">
        <v>815</v>
      </c>
      <c r="IF109" s="3">
        <v>2</v>
      </c>
      <c r="IG109" s="3">
        <v>1</v>
      </c>
      <c r="IH109" s="12" t="s">
        <v>815</v>
      </c>
      <c r="II109" s="3">
        <v>1</v>
      </c>
      <c r="IJ109" s="12" t="s">
        <v>815</v>
      </c>
      <c r="IK109" s="3">
        <v>1</v>
      </c>
      <c r="IL109" s="12" t="s">
        <v>815</v>
      </c>
      <c r="IM109" s="3">
        <v>1</v>
      </c>
      <c r="IN109" s="12" t="s">
        <v>815</v>
      </c>
      <c r="IO109" s="12" t="s">
        <v>815</v>
      </c>
      <c r="IP109" s="12" t="s">
        <v>815</v>
      </c>
      <c r="IQ109" s="3">
        <v>3</v>
      </c>
      <c r="IR109" s="3" t="s">
        <v>855</v>
      </c>
      <c r="IS109" s="3">
        <v>2</v>
      </c>
      <c r="IT109" s="3">
        <v>2</v>
      </c>
      <c r="IU109" s="3">
        <v>2</v>
      </c>
      <c r="IV109" s="12" t="s">
        <v>815</v>
      </c>
      <c r="IW109" s="3">
        <v>2</v>
      </c>
      <c r="IX109" s="3">
        <v>1</v>
      </c>
      <c r="IY109" s="12" t="s">
        <v>815</v>
      </c>
      <c r="IZ109" s="2" t="s">
        <v>816</v>
      </c>
    </row>
    <row r="110" spans="1:261" ht="13.2" x14ac:dyDescent="0.25">
      <c r="A110" s="10" t="s">
        <v>274</v>
      </c>
      <c r="B110" s="2" t="s">
        <v>842</v>
      </c>
      <c r="C110" s="2" t="s">
        <v>261</v>
      </c>
      <c r="D110" s="2" t="s">
        <v>270</v>
      </c>
      <c r="E110" s="2">
        <v>20</v>
      </c>
      <c r="F110" s="11" t="s">
        <v>843</v>
      </c>
      <c r="G110" s="11" t="s">
        <v>856</v>
      </c>
      <c r="H110" s="2" t="s">
        <v>857</v>
      </c>
      <c r="I110" s="3">
        <v>3</v>
      </c>
      <c r="J110" s="3">
        <v>3</v>
      </c>
      <c r="K110" s="3">
        <v>3</v>
      </c>
      <c r="L110" s="3">
        <v>2</v>
      </c>
      <c r="M110" s="3">
        <v>1</v>
      </c>
      <c r="N110" s="3">
        <v>3</v>
      </c>
      <c r="O110" s="3">
        <v>3</v>
      </c>
      <c r="P110" s="3">
        <v>4</v>
      </c>
      <c r="Q110" s="3">
        <v>1</v>
      </c>
      <c r="R110" s="3">
        <v>4</v>
      </c>
      <c r="S110" s="3">
        <v>4</v>
      </c>
      <c r="T110" s="3">
        <v>2</v>
      </c>
      <c r="U110" s="3">
        <v>3</v>
      </c>
      <c r="V110" s="3">
        <v>4</v>
      </c>
      <c r="W110" s="3">
        <v>4</v>
      </c>
      <c r="X110" s="3">
        <v>3</v>
      </c>
      <c r="Y110" s="3">
        <v>2</v>
      </c>
      <c r="Z110" s="3">
        <v>2</v>
      </c>
      <c r="AA110" s="3">
        <v>4</v>
      </c>
      <c r="AB110" s="3">
        <v>3</v>
      </c>
      <c r="AC110" s="3">
        <v>4</v>
      </c>
      <c r="AD110" s="3">
        <v>4</v>
      </c>
      <c r="AE110" s="3">
        <v>4</v>
      </c>
      <c r="AF110" s="3">
        <v>1</v>
      </c>
      <c r="AG110" s="3">
        <v>3</v>
      </c>
      <c r="AH110" s="3">
        <v>2</v>
      </c>
      <c r="AI110" s="3">
        <v>2</v>
      </c>
      <c r="AJ110" s="3">
        <v>3</v>
      </c>
      <c r="AK110" s="3">
        <v>2</v>
      </c>
      <c r="AL110" s="3">
        <v>3</v>
      </c>
      <c r="AM110" s="3">
        <v>4</v>
      </c>
      <c r="AN110" s="3">
        <v>4</v>
      </c>
      <c r="AO110" s="3">
        <v>3</v>
      </c>
      <c r="AP110" s="3">
        <v>3</v>
      </c>
      <c r="AQ110" s="3">
        <v>3</v>
      </c>
      <c r="AR110" s="3">
        <v>3</v>
      </c>
      <c r="AS110" s="3">
        <v>4</v>
      </c>
      <c r="AT110" s="3">
        <v>3</v>
      </c>
      <c r="AU110" s="3">
        <v>4</v>
      </c>
      <c r="AV110" s="3">
        <v>4</v>
      </c>
      <c r="AW110" s="3">
        <v>3</v>
      </c>
      <c r="AX110" s="3">
        <v>4</v>
      </c>
      <c r="AY110" s="3">
        <v>4</v>
      </c>
      <c r="AZ110" s="3">
        <v>4</v>
      </c>
      <c r="BA110" s="3">
        <v>1</v>
      </c>
      <c r="BB110" s="3">
        <v>2</v>
      </c>
      <c r="BC110" s="12" t="s">
        <v>815</v>
      </c>
      <c r="BD110" s="3">
        <v>2</v>
      </c>
      <c r="BE110" s="3">
        <v>1</v>
      </c>
      <c r="BF110" s="3">
        <v>3</v>
      </c>
      <c r="BG110" s="3">
        <v>4</v>
      </c>
      <c r="BH110" s="3">
        <v>3</v>
      </c>
      <c r="BI110" s="3">
        <v>1</v>
      </c>
      <c r="BJ110" s="3">
        <v>2</v>
      </c>
      <c r="BK110" s="3">
        <v>2</v>
      </c>
      <c r="BL110" s="12" t="s">
        <v>815</v>
      </c>
      <c r="BM110" s="3" t="s">
        <v>858</v>
      </c>
      <c r="BN110" s="3">
        <v>4</v>
      </c>
      <c r="BO110" s="3">
        <v>3</v>
      </c>
      <c r="BP110" s="3">
        <v>4</v>
      </c>
      <c r="BQ110" s="3">
        <v>4</v>
      </c>
      <c r="BR110" s="3">
        <v>2</v>
      </c>
      <c r="BS110" s="3">
        <v>4</v>
      </c>
      <c r="BT110" s="3">
        <v>4</v>
      </c>
      <c r="BU110" s="2">
        <v>3</v>
      </c>
      <c r="BV110" s="11" t="s">
        <v>815</v>
      </c>
      <c r="BW110" s="2">
        <v>4</v>
      </c>
      <c r="BX110" s="2">
        <v>2</v>
      </c>
      <c r="BY110" s="2">
        <v>2</v>
      </c>
      <c r="BZ110" s="2">
        <v>2</v>
      </c>
      <c r="CA110" s="2">
        <v>3</v>
      </c>
      <c r="CB110" s="2">
        <v>2</v>
      </c>
      <c r="CC110" s="2">
        <v>3</v>
      </c>
      <c r="CD110" s="2">
        <v>4</v>
      </c>
      <c r="CE110" s="2">
        <v>1</v>
      </c>
      <c r="CF110" s="2">
        <v>4</v>
      </c>
      <c r="CG110" s="2">
        <v>1</v>
      </c>
      <c r="CH110" s="2">
        <v>1</v>
      </c>
      <c r="CI110" s="2">
        <v>2</v>
      </c>
      <c r="CJ110" s="2">
        <v>2</v>
      </c>
      <c r="CK110" s="2">
        <v>1</v>
      </c>
      <c r="CL110" s="2">
        <v>1</v>
      </c>
      <c r="CM110" s="2">
        <v>2</v>
      </c>
      <c r="CN110" s="2">
        <v>1</v>
      </c>
      <c r="CO110" s="2">
        <v>1</v>
      </c>
      <c r="CP110" s="2">
        <v>1</v>
      </c>
      <c r="CQ110" s="2">
        <v>2</v>
      </c>
      <c r="CR110" s="2">
        <v>2</v>
      </c>
      <c r="CS110" s="2">
        <v>1</v>
      </c>
      <c r="CT110" s="2">
        <v>2</v>
      </c>
      <c r="CU110" s="2">
        <v>1</v>
      </c>
      <c r="CV110" s="2">
        <v>2</v>
      </c>
      <c r="CW110" s="2">
        <v>4</v>
      </c>
      <c r="CX110" s="2">
        <v>2</v>
      </c>
      <c r="CY110" s="2">
        <v>1</v>
      </c>
      <c r="CZ110" s="2">
        <v>4</v>
      </c>
      <c r="DA110" s="2">
        <v>4</v>
      </c>
      <c r="DB110" s="2">
        <v>3</v>
      </c>
      <c r="DC110" s="2">
        <v>1</v>
      </c>
      <c r="DD110" s="2">
        <v>2</v>
      </c>
      <c r="DE110" s="2">
        <v>1</v>
      </c>
      <c r="DF110" s="2">
        <v>4</v>
      </c>
      <c r="DG110" s="2">
        <v>1</v>
      </c>
      <c r="DH110" s="2">
        <v>4</v>
      </c>
      <c r="DI110" s="2">
        <v>1</v>
      </c>
      <c r="DJ110" s="2">
        <v>1</v>
      </c>
      <c r="DK110" s="2">
        <v>1</v>
      </c>
      <c r="DL110" s="2">
        <v>3</v>
      </c>
      <c r="DM110" s="2">
        <v>2</v>
      </c>
      <c r="DN110" s="2">
        <v>2</v>
      </c>
      <c r="DO110" s="2">
        <v>3</v>
      </c>
      <c r="DP110" s="2">
        <v>3</v>
      </c>
      <c r="DQ110" s="2">
        <v>4</v>
      </c>
      <c r="DR110" s="2">
        <v>1</v>
      </c>
      <c r="DS110" s="2">
        <v>4</v>
      </c>
      <c r="DT110" s="2">
        <v>2</v>
      </c>
      <c r="DU110" s="2">
        <v>1</v>
      </c>
      <c r="DV110" s="2">
        <v>2</v>
      </c>
      <c r="DW110" s="2">
        <v>2</v>
      </c>
      <c r="DX110" s="2">
        <v>3</v>
      </c>
      <c r="DY110" s="2">
        <v>3</v>
      </c>
      <c r="DZ110" s="2">
        <v>1</v>
      </c>
      <c r="EA110" s="2">
        <v>2</v>
      </c>
      <c r="EB110" s="2">
        <v>3</v>
      </c>
      <c r="EC110" s="2">
        <v>2</v>
      </c>
      <c r="ED110" s="2">
        <v>1</v>
      </c>
      <c r="EE110" s="2">
        <v>3</v>
      </c>
      <c r="EF110" s="2">
        <v>2</v>
      </c>
      <c r="EG110" s="2">
        <v>4</v>
      </c>
      <c r="EH110" s="2">
        <v>1</v>
      </c>
      <c r="EI110" s="2">
        <v>2</v>
      </c>
      <c r="EJ110" s="2">
        <v>2</v>
      </c>
      <c r="EK110" s="2">
        <v>1</v>
      </c>
      <c r="EL110" s="2">
        <v>1</v>
      </c>
      <c r="EM110" s="2">
        <v>1</v>
      </c>
      <c r="EN110" s="2">
        <v>1</v>
      </c>
      <c r="EO110" s="2">
        <v>3</v>
      </c>
      <c r="EP110" s="2">
        <v>3</v>
      </c>
      <c r="EQ110" s="2">
        <v>4</v>
      </c>
      <c r="ER110" s="2">
        <v>1</v>
      </c>
      <c r="ES110" s="2">
        <v>2</v>
      </c>
      <c r="ET110" s="2">
        <v>2</v>
      </c>
      <c r="EU110" s="2">
        <v>2</v>
      </c>
      <c r="EV110" s="2">
        <v>2</v>
      </c>
      <c r="EW110" s="2">
        <v>1</v>
      </c>
      <c r="EX110" s="2">
        <v>3</v>
      </c>
      <c r="EY110" s="2">
        <v>1</v>
      </c>
      <c r="EZ110" s="2">
        <v>1</v>
      </c>
      <c r="FA110" s="2">
        <v>2</v>
      </c>
      <c r="FB110" s="2">
        <v>2</v>
      </c>
      <c r="FC110" s="2">
        <v>1</v>
      </c>
      <c r="FD110" s="2">
        <v>1</v>
      </c>
      <c r="FE110" s="2">
        <v>1</v>
      </c>
      <c r="FF110" s="2">
        <v>2</v>
      </c>
      <c r="FG110" s="2">
        <v>4</v>
      </c>
      <c r="FH110" s="2">
        <v>1</v>
      </c>
      <c r="FI110" s="2">
        <v>1</v>
      </c>
      <c r="FJ110" s="2">
        <v>1</v>
      </c>
      <c r="FK110" s="2">
        <v>4</v>
      </c>
      <c r="FL110" s="2">
        <v>4</v>
      </c>
      <c r="FM110" s="2">
        <v>3</v>
      </c>
      <c r="FN110" s="2">
        <v>3</v>
      </c>
      <c r="FO110" s="2">
        <v>1</v>
      </c>
      <c r="FP110" s="2">
        <v>2</v>
      </c>
      <c r="FQ110" s="2">
        <v>1</v>
      </c>
      <c r="FR110" s="2">
        <v>2</v>
      </c>
      <c r="FS110" s="11" t="s">
        <v>815</v>
      </c>
      <c r="FT110" s="2">
        <v>1</v>
      </c>
      <c r="FU110" s="2">
        <v>2</v>
      </c>
      <c r="FV110" s="2">
        <v>2</v>
      </c>
      <c r="FW110" s="2">
        <v>1</v>
      </c>
      <c r="FX110" s="2">
        <v>1</v>
      </c>
      <c r="FY110" s="11" t="s">
        <v>815</v>
      </c>
      <c r="FZ110" s="2">
        <v>1</v>
      </c>
      <c r="GA110" s="11" t="s">
        <v>815</v>
      </c>
      <c r="GB110" s="2">
        <v>1</v>
      </c>
      <c r="GC110" s="2" t="s">
        <v>859</v>
      </c>
      <c r="GD110" s="2">
        <v>2</v>
      </c>
      <c r="GE110" s="2">
        <v>4</v>
      </c>
      <c r="GF110" s="2">
        <v>4</v>
      </c>
      <c r="GG110" s="2">
        <v>1</v>
      </c>
      <c r="GH110" s="2">
        <v>3</v>
      </c>
      <c r="GI110" s="2">
        <v>4</v>
      </c>
      <c r="GJ110" s="2">
        <v>1</v>
      </c>
      <c r="GK110" s="2">
        <v>2</v>
      </c>
      <c r="GL110" s="2">
        <v>1</v>
      </c>
      <c r="GM110" s="2">
        <v>2</v>
      </c>
      <c r="GN110" s="3">
        <v>3</v>
      </c>
      <c r="GO110" s="3">
        <v>3</v>
      </c>
      <c r="GP110" s="3">
        <v>1</v>
      </c>
      <c r="GQ110" s="3">
        <v>2</v>
      </c>
      <c r="GR110" s="3">
        <v>2</v>
      </c>
      <c r="GS110" s="12" t="s">
        <v>815</v>
      </c>
      <c r="GT110" s="3">
        <v>1</v>
      </c>
      <c r="GU110" s="12" t="s">
        <v>815</v>
      </c>
      <c r="GV110" s="3">
        <v>1</v>
      </c>
      <c r="GW110" s="3">
        <v>2</v>
      </c>
      <c r="GX110" s="12" t="s">
        <v>815</v>
      </c>
      <c r="GY110" s="12" t="s">
        <v>815</v>
      </c>
      <c r="GZ110" s="3">
        <v>2</v>
      </c>
      <c r="HA110" s="3">
        <v>3</v>
      </c>
      <c r="HB110" s="3">
        <v>1</v>
      </c>
      <c r="HC110" s="12" t="s">
        <v>815</v>
      </c>
      <c r="HD110" s="3">
        <v>2</v>
      </c>
      <c r="HE110" s="12" t="s">
        <v>815</v>
      </c>
      <c r="HF110" s="3">
        <v>3</v>
      </c>
      <c r="HG110" s="12" t="s">
        <v>815</v>
      </c>
      <c r="HH110" s="3">
        <v>3</v>
      </c>
      <c r="HI110" s="12" t="s">
        <v>815</v>
      </c>
      <c r="HJ110" s="3">
        <v>3</v>
      </c>
      <c r="HK110" s="3">
        <v>3</v>
      </c>
      <c r="HL110" s="12" t="s">
        <v>815</v>
      </c>
      <c r="HM110" s="3">
        <v>2</v>
      </c>
      <c r="HN110" s="12" t="s">
        <v>815</v>
      </c>
      <c r="HO110" s="3">
        <v>2</v>
      </c>
      <c r="HP110" s="12" t="s">
        <v>815</v>
      </c>
      <c r="HQ110" s="3">
        <v>2</v>
      </c>
      <c r="HR110" s="3">
        <v>4</v>
      </c>
      <c r="HS110" s="3">
        <v>1</v>
      </c>
      <c r="HT110" s="3">
        <v>3</v>
      </c>
      <c r="HU110" s="3">
        <v>2</v>
      </c>
      <c r="HV110" s="3">
        <v>1</v>
      </c>
      <c r="HW110" s="12" t="s">
        <v>815</v>
      </c>
      <c r="HX110" s="3">
        <v>3</v>
      </c>
      <c r="HY110" s="3">
        <v>2</v>
      </c>
      <c r="HZ110" s="3">
        <v>3</v>
      </c>
      <c r="IA110" s="3">
        <v>2</v>
      </c>
      <c r="IB110" s="12" t="s">
        <v>815</v>
      </c>
      <c r="IC110" s="12" t="s">
        <v>815</v>
      </c>
      <c r="ID110" s="3">
        <v>3</v>
      </c>
      <c r="IE110" s="12" t="s">
        <v>815</v>
      </c>
      <c r="IF110" s="3">
        <v>3</v>
      </c>
      <c r="IG110" s="3">
        <v>3</v>
      </c>
      <c r="IH110" s="12" t="s">
        <v>815</v>
      </c>
      <c r="II110" s="12" t="s">
        <v>815</v>
      </c>
      <c r="IJ110" s="3">
        <v>3</v>
      </c>
      <c r="IK110" s="3">
        <v>3</v>
      </c>
      <c r="IL110" s="3">
        <v>3</v>
      </c>
      <c r="IM110" s="3">
        <v>4</v>
      </c>
      <c r="IN110" s="12" t="s">
        <v>815</v>
      </c>
      <c r="IO110" s="3">
        <v>1</v>
      </c>
      <c r="IP110" s="3">
        <v>1</v>
      </c>
      <c r="IQ110" s="3">
        <v>3</v>
      </c>
      <c r="IR110" s="3" t="s">
        <v>860</v>
      </c>
      <c r="IS110" s="12" t="s">
        <v>815</v>
      </c>
      <c r="IT110" s="3">
        <v>4</v>
      </c>
      <c r="IU110" s="12" t="s">
        <v>815</v>
      </c>
      <c r="IV110" s="3">
        <v>2</v>
      </c>
      <c r="IW110" s="3">
        <v>3</v>
      </c>
      <c r="IX110" s="3">
        <v>3</v>
      </c>
      <c r="IY110" s="3">
        <v>1</v>
      </c>
      <c r="IZ110" s="2" t="s">
        <v>816</v>
      </c>
    </row>
    <row r="111" spans="1:261" ht="13.2" x14ac:dyDescent="0.25">
      <c r="A111" s="10" t="s">
        <v>274</v>
      </c>
      <c r="B111" s="2" t="s">
        <v>861</v>
      </c>
      <c r="C111" s="2" t="s">
        <v>261</v>
      </c>
      <c r="D111" s="2" t="s">
        <v>270</v>
      </c>
      <c r="E111" s="2">
        <v>12</v>
      </c>
      <c r="F111" s="11" t="s">
        <v>862</v>
      </c>
      <c r="G111" s="11" t="s">
        <v>863</v>
      </c>
      <c r="H111" s="2" t="s">
        <v>864</v>
      </c>
      <c r="I111" s="3">
        <v>3</v>
      </c>
      <c r="J111" s="3">
        <v>2</v>
      </c>
      <c r="K111" s="3">
        <v>3</v>
      </c>
      <c r="L111" s="3">
        <v>1</v>
      </c>
      <c r="M111" s="3">
        <v>1</v>
      </c>
      <c r="N111" s="3">
        <v>3</v>
      </c>
      <c r="O111" s="3">
        <v>1</v>
      </c>
      <c r="P111" s="3">
        <v>3</v>
      </c>
      <c r="Q111" s="3">
        <v>3</v>
      </c>
      <c r="R111" s="3">
        <v>2</v>
      </c>
      <c r="S111" s="3">
        <v>1</v>
      </c>
      <c r="T111" s="3">
        <v>2</v>
      </c>
      <c r="U111" s="12" t="s">
        <v>815</v>
      </c>
      <c r="V111" s="3">
        <v>1</v>
      </c>
      <c r="W111" s="3">
        <v>1</v>
      </c>
      <c r="X111" s="3">
        <v>1</v>
      </c>
      <c r="Y111" s="3">
        <v>2</v>
      </c>
      <c r="Z111" s="3">
        <v>1</v>
      </c>
      <c r="AA111" s="3">
        <v>1</v>
      </c>
      <c r="AB111" s="3">
        <v>1</v>
      </c>
      <c r="AC111" s="3">
        <v>2</v>
      </c>
      <c r="AD111" s="12" t="s">
        <v>815</v>
      </c>
      <c r="AE111" s="3">
        <v>2</v>
      </c>
      <c r="AF111" s="12" t="s">
        <v>815</v>
      </c>
      <c r="AG111" s="12" t="s">
        <v>815</v>
      </c>
      <c r="AH111" s="12" t="s">
        <v>815</v>
      </c>
      <c r="AI111" s="3">
        <v>3</v>
      </c>
      <c r="AJ111" s="12" t="s">
        <v>815</v>
      </c>
      <c r="AK111" s="3">
        <v>3</v>
      </c>
      <c r="AL111" s="3">
        <v>1</v>
      </c>
      <c r="AM111" s="12" t="s">
        <v>815</v>
      </c>
      <c r="AN111" s="3">
        <v>1</v>
      </c>
      <c r="AO111" s="3">
        <v>2</v>
      </c>
      <c r="AP111" s="3">
        <v>1</v>
      </c>
      <c r="AQ111" s="12" t="s">
        <v>815</v>
      </c>
      <c r="AR111" s="12" t="s">
        <v>815</v>
      </c>
      <c r="AS111" s="3">
        <v>1</v>
      </c>
      <c r="AT111" s="12" t="s">
        <v>815</v>
      </c>
      <c r="AU111" s="3">
        <v>1</v>
      </c>
      <c r="AV111" s="12" t="s">
        <v>815</v>
      </c>
      <c r="AW111" s="12" t="s">
        <v>815</v>
      </c>
      <c r="AX111" s="12" t="s">
        <v>815</v>
      </c>
      <c r="AY111" s="12" t="s">
        <v>815</v>
      </c>
      <c r="AZ111" s="12" t="s">
        <v>815</v>
      </c>
      <c r="BA111" s="12" t="s">
        <v>815</v>
      </c>
      <c r="BB111" s="12" t="s">
        <v>815</v>
      </c>
      <c r="BC111" s="12" t="s">
        <v>815</v>
      </c>
      <c r="BD111" s="12" t="s">
        <v>815</v>
      </c>
      <c r="BE111" s="3">
        <v>2</v>
      </c>
      <c r="BF111" s="3">
        <v>1</v>
      </c>
      <c r="BG111" s="3">
        <v>1</v>
      </c>
      <c r="BH111" s="3">
        <v>1</v>
      </c>
      <c r="BI111" s="3">
        <v>1</v>
      </c>
      <c r="BJ111" s="3">
        <v>3</v>
      </c>
      <c r="BK111" s="3">
        <v>2</v>
      </c>
      <c r="BL111" s="12" t="s">
        <v>815</v>
      </c>
      <c r="BM111" s="3" t="s">
        <v>865</v>
      </c>
      <c r="BN111" s="3">
        <v>4</v>
      </c>
      <c r="BO111" s="3">
        <v>2</v>
      </c>
      <c r="BP111" s="3">
        <v>3</v>
      </c>
      <c r="BQ111" s="3">
        <v>2</v>
      </c>
      <c r="BR111" s="3">
        <v>2</v>
      </c>
      <c r="BS111" s="3">
        <v>2</v>
      </c>
      <c r="BT111" s="3">
        <v>1</v>
      </c>
      <c r="BU111" s="2">
        <v>2</v>
      </c>
      <c r="BV111" s="11" t="s">
        <v>815</v>
      </c>
      <c r="BW111" s="11" t="s">
        <v>815</v>
      </c>
      <c r="BX111" s="11" t="s">
        <v>815</v>
      </c>
      <c r="BY111" s="11" t="s">
        <v>815</v>
      </c>
      <c r="BZ111" s="11" t="s">
        <v>815</v>
      </c>
      <c r="CA111" s="11" t="s">
        <v>815</v>
      </c>
      <c r="CB111" s="11" t="s">
        <v>815</v>
      </c>
      <c r="CC111" s="2">
        <v>1</v>
      </c>
      <c r="CD111" s="11" t="s">
        <v>815</v>
      </c>
      <c r="CE111" s="11" t="s">
        <v>815</v>
      </c>
      <c r="CF111" s="2">
        <v>1</v>
      </c>
      <c r="CG111" s="11" t="s">
        <v>815</v>
      </c>
      <c r="CH111" s="11" t="s">
        <v>815</v>
      </c>
      <c r="CI111" s="2">
        <v>2</v>
      </c>
      <c r="CJ111" s="11" t="s">
        <v>815</v>
      </c>
      <c r="CK111" s="2">
        <v>1</v>
      </c>
      <c r="CL111" s="2">
        <v>1</v>
      </c>
      <c r="CM111" s="11" t="s">
        <v>815</v>
      </c>
      <c r="CN111" s="11" t="s">
        <v>815</v>
      </c>
      <c r="CO111" s="11" t="s">
        <v>815</v>
      </c>
      <c r="CP111" s="11" t="s">
        <v>815</v>
      </c>
      <c r="CQ111" s="11" t="s">
        <v>815</v>
      </c>
      <c r="CR111" s="2">
        <v>1</v>
      </c>
      <c r="CS111" s="2">
        <v>1</v>
      </c>
      <c r="CT111" s="11" t="s">
        <v>815</v>
      </c>
      <c r="CU111" s="2">
        <v>1</v>
      </c>
      <c r="CV111" s="11" t="s">
        <v>815</v>
      </c>
      <c r="CW111" s="11" t="s">
        <v>815</v>
      </c>
      <c r="CX111" s="11" t="s">
        <v>815</v>
      </c>
      <c r="CY111" s="11" t="s">
        <v>815</v>
      </c>
      <c r="CZ111" s="11" t="s">
        <v>815</v>
      </c>
      <c r="DA111" s="11" t="s">
        <v>815</v>
      </c>
      <c r="DB111" s="11" t="s">
        <v>815</v>
      </c>
      <c r="DC111" s="11" t="s">
        <v>815</v>
      </c>
      <c r="DD111" s="11" t="s">
        <v>815</v>
      </c>
      <c r="DE111" s="2">
        <v>1</v>
      </c>
      <c r="DF111" s="2">
        <v>1</v>
      </c>
      <c r="DG111" s="2">
        <v>1</v>
      </c>
      <c r="DH111" s="11" t="s">
        <v>815</v>
      </c>
      <c r="DI111" s="11" t="s">
        <v>815</v>
      </c>
      <c r="DJ111" s="11" t="s">
        <v>815</v>
      </c>
      <c r="DK111" s="11" t="s">
        <v>815</v>
      </c>
      <c r="DL111" s="2">
        <v>2</v>
      </c>
      <c r="DM111" s="2">
        <v>1</v>
      </c>
      <c r="DN111" s="11" t="s">
        <v>815</v>
      </c>
      <c r="DO111" s="2">
        <v>1</v>
      </c>
      <c r="DP111" s="11" t="s">
        <v>815</v>
      </c>
      <c r="DQ111" s="11" t="s">
        <v>815</v>
      </c>
      <c r="DR111" s="11" t="s">
        <v>815</v>
      </c>
      <c r="DS111" s="11" t="s">
        <v>815</v>
      </c>
      <c r="DT111" s="11" t="s">
        <v>815</v>
      </c>
      <c r="DU111" s="11" t="s">
        <v>815</v>
      </c>
      <c r="DV111" s="11" t="s">
        <v>815</v>
      </c>
      <c r="DW111" s="11" t="s">
        <v>815</v>
      </c>
      <c r="DX111" s="11" t="s">
        <v>815</v>
      </c>
      <c r="DY111" s="2">
        <v>1</v>
      </c>
      <c r="DZ111" s="2">
        <v>1</v>
      </c>
      <c r="EA111" s="11" t="s">
        <v>815</v>
      </c>
      <c r="EB111" s="11" t="s">
        <v>815</v>
      </c>
      <c r="EC111" s="11" t="s">
        <v>815</v>
      </c>
      <c r="ED111" s="11" t="s">
        <v>815</v>
      </c>
      <c r="EE111" s="11" t="s">
        <v>815</v>
      </c>
      <c r="EF111" s="11" t="s">
        <v>815</v>
      </c>
      <c r="EG111" s="11" t="s">
        <v>815</v>
      </c>
      <c r="EH111" s="11" t="s">
        <v>815</v>
      </c>
      <c r="EI111" s="2">
        <v>1</v>
      </c>
      <c r="EJ111" s="2">
        <v>2</v>
      </c>
      <c r="EK111" s="11" t="s">
        <v>815</v>
      </c>
      <c r="EL111" s="2">
        <v>1</v>
      </c>
      <c r="EM111" s="11" t="s">
        <v>815</v>
      </c>
      <c r="EN111" s="11" t="s">
        <v>815</v>
      </c>
      <c r="EO111" s="11" t="s">
        <v>815</v>
      </c>
      <c r="EP111" s="11" t="s">
        <v>815</v>
      </c>
      <c r="EQ111" s="11" t="s">
        <v>815</v>
      </c>
      <c r="ER111" s="11" t="s">
        <v>815</v>
      </c>
      <c r="ES111" s="11" t="s">
        <v>815</v>
      </c>
      <c r="ET111" s="11" t="s">
        <v>815</v>
      </c>
      <c r="EU111" s="2">
        <v>1</v>
      </c>
      <c r="EV111" s="2">
        <v>1</v>
      </c>
      <c r="EW111" s="11" t="s">
        <v>815</v>
      </c>
      <c r="EX111" s="11" t="s">
        <v>815</v>
      </c>
      <c r="EY111" s="2">
        <v>1</v>
      </c>
      <c r="EZ111" s="11" t="s">
        <v>815</v>
      </c>
      <c r="FA111" s="2">
        <v>2</v>
      </c>
      <c r="FB111" s="11" t="s">
        <v>815</v>
      </c>
      <c r="FC111" s="11" t="s">
        <v>815</v>
      </c>
      <c r="FD111" s="2">
        <v>2</v>
      </c>
      <c r="FE111" s="11" t="s">
        <v>815</v>
      </c>
      <c r="FF111" s="11" t="s">
        <v>815</v>
      </c>
      <c r="FG111" s="2">
        <v>1</v>
      </c>
      <c r="FH111" s="11" t="s">
        <v>815</v>
      </c>
      <c r="FI111" s="11" t="s">
        <v>815</v>
      </c>
      <c r="FJ111" s="11" t="s">
        <v>815</v>
      </c>
      <c r="FK111" s="11" t="s">
        <v>815</v>
      </c>
      <c r="FL111" s="11" t="s">
        <v>815</v>
      </c>
      <c r="FM111" s="11" t="s">
        <v>815</v>
      </c>
      <c r="FN111" s="11" t="s">
        <v>815</v>
      </c>
      <c r="FO111" s="11" t="s">
        <v>815</v>
      </c>
      <c r="FP111" s="11" t="s">
        <v>815</v>
      </c>
      <c r="FQ111" s="11" t="s">
        <v>815</v>
      </c>
      <c r="FR111" s="11" t="s">
        <v>815</v>
      </c>
      <c r="FS111" s="11" t="s">
        <v>815</v>
      </c>
      <c r="FT111" s="11" t="s">
        <v>815</v>
      </c>
      <c r="FU111" s="11" t="s">
        <v>815</v>
      </c>
      <c r="FV111" s="2">
        <v>3</v>
      </c>
      <c r="FW111" s="2">
        <v>1</v>
      </c>
      <c r="FX111" s="11" t="s">
        <v>815</v>
      </c>
      <c r="FY111" s="11" t="s">
        <v>815</v>
      </c>
      <c r="FZ111" s="11" t="s">
        <v>815</v>
      </c>
      <c r="GA111" s="11" t="s">
        <v>815</v>
      </c>
      <c r="GB111" s="11" t="s">
        <v>815</v>
      </c>
      <c r="GC111" s="2" t="s">
        <v>866</v>
      </c>
      <c r="GD111" s="2">
        <v>2</v>
      </c>
      <c r="GE111" s="2">
        <v>2</v>
      </c>
      <c r="GF111" s="2">
        <v>2</v>
      </c>
      <c r="GG111" s="11" t="s">
        <v>815</v>
      </c>
      <c r="GH111" s="2">
        <v>1</v>
      </c>
      <c r="GI111" s="11" t="s">
        <v>815</v>
      </c>
      <c r="GJ111" s="11" t="s">
        <v>815</v>
      </c>
      <c r="GK111" s="11" t="s">
        <v>815</v>
      </c>
      <c r="GL111" s="11" t="s">
        <v>815</v>
      </c>
      <c r="GM111" s="11" t="s">
        <v>815</v>
      </c>
      <c r="GN111" s="3">
        <v>4</v>
      </c>
      <c r="GO111" s="3">
        <v>2</v>
      </c>
      <c r="GP111" s="3">
        <v>2</v>
      </c>
      <c r="GQ111" s="3">
        <v>4</v>
      </c>
      <c r="GR111" s="3">
        <v>1</v>
      </c>
      <c r="GS111" s="12" t="s">
        <v>815</v>
      </c>
      <c r="GT111" s="3">
        <v>4</v>
      </c>
      <c r="GU111" s="3">
        <v>1</v>
      </c>
      <c r="GV111" s="12" t="s">
        <v>815</v>
      </c>
      <c r="GW111" s="3">
        <v>2</v>
      </c>
      <c r="GX111" s="12" t="s">
        <v>815</v>
      </c>
      <c r="GY111" s="12" t="s">
        <v>815</v>
      </c>
      <c r="GZ111" s="3">
        <v>2</v>
      </c>
      <c r="HA111" s="3">
        <v>2</v>
      </c>
      <c r="HB111" s="12" t="s">
        <v>815</v>
      </c>
      <c r="HC111" s="12" t="s">
        <v>815</v>
      </c>
      <c r="HD111" s="12" t="s">
        <v>815</v>
      </c>
      <c r="HE111" s="12" t="s">
        <v>815</v>
      </c>
      <c r="HF111" s="3">
        <v>1</v>
      </c>
      <c r="HG111" s="12" t="s">
        <v>815</v>
      </c>
      <c r="HH111" s="3">
        <v>2</v>
      </c>
      <c r="HI111" s="12" t="s">
        <v>815</v>
      </c>
      <c r="HJ111" s="3">
        <v>1</v>
      </c>
      <c r="HK111" s="12" t="s">
        <v>815</v>
      </c>
      <c r="HL111" s="12" t="s">
        <v>815</v>
      </c>
      <c r="HM111" s="12" t="s">
        <v>815</v>
      </c>
      <c r="HN111" s="12" t="s">
        <v>815</v>
      </c>
      <c r="HO111" s="12" t="s">
        <v>815</v>
      </c>
      <c r="HP111" s="12" t="s">
        <v>815</v>
      </c>
      <c r="HQ111" s="3">
        <v>2</v>
      </c>
      <c r="HR111" s="3">
        <v>3</v>
      </c>
      <c r="HS111" s="12" t="s">
        <v>815</v>
      </c>
      <c r="HT111" s="12" t="s">
        <v>815</v>
      </c>
      <c r="HU111" s="12" t="s">
        <v>815</v>
      </c>
      <c r="HV111" s="12" t="s">
        <v>815</v>
      </c>
      <c r="HW111" s="3">
        <v>1</v>
      </c>
      <c r="HX111" s="12" t="s">
        <v>815</v>
      </c>
      <c r="HY111" s="3">
        <v>2</v>
      </c>
      <c r="HZ111" s="3">
        <v>1</v>
      </c>
      <c r="IA111" s="3">
        <v>4</v>
      </c>
      <c r="IB111" s="12" t="s">
        <v>815</v>
      </c>
      <c r="IC111" s="12" t="s">
        <v>815</v>
      </c>
      <c r="ID111" s="3">
        <v>2</v>
      </c>
      <c r="IE111" s="12" t="s">
        <v>815</v>
      </c>
      <c r="IF111" s="12" t="s">
        <v>815</v>
      </c>
      <c r="IG111" s="12" t="s">
        <v>815</v>
      </c>
      <c r="IH111" s="12" t="s">
        <v>815</v>
      </c>
      <c r="II111" s="3">
        <v>1</v>
      </c>
      <c r="IJ111" s="12" t="s">
        <v>815</v>
      </c>
      <c r="IK111" s="12" t="s">
        <v>815</v>
      </c>
      <c r="IL111" s="12" t="s">
        <v>815</v>
      </c>
      <c r="IM111" s="12" t="s">
        <v>815</v>
      </c>
      <c r="IN111" s="12" t="s">
        <v>815</v>
      </c>
      <c r="IO111" s="12" t="s">
        <v>815</v>
      </c>
      <c r="IP111" s="12" t="s">
        <v>815</v>
      </c>
      <c r="IQ111" s="3">
        <v>2</v>
      </c>
      <c r="IR111" s="3" t="s">
        <v>867</v>
      </c>
      <c r="IS111" s="12" t="s">
        <v>815</v>
      </c>
      <c r="IT111" s="3">
        <v>2</v>
      </c>
      <c r="IU111" s="3">
        <v>1</v>
      </c>
      <c r="IV111" s="12" t="s">
        <v>815</v>
      </c>
      <c r="IW111" s="3">
        <v>2</v>
      </c>
      <c r="IX111" s="3">
        <v>1</v>
      </c>
      <c r="IY111" s="12" t="s">
        <v>815</v>
      </c>
      <c r="IZ111" s="2" t="s">
        <v>816</v>
      </c>
    </row>
    <row r="112" spans="1:261" ht="13.2" x14ac:dyDescent="0.25">
      <c r="A112" s="10" t="s">
        <v>274</v>
      </c>
      <c r="B112" s="2" t="s">
        <v>868</v>
      </c>
      <c r="C112" s="2" t="s">
        <v>276</v>
      </c>
      <c r="D112" s="2" t="s">
        <v>270</v>
      </c>
      <c r="E112" s="2">
        <v>24</v>
      </c>
      <c r="F112" s="11" t="s">
        <v>869</v>
      </c>
      <c r="G112" s="11" t="s">
        <v>870</v>
      </c>
      <c r="H112" s="2" t="s">
        <v>871</v>
      </c>
      <c r="I112" s="3">
        <v>3</v>
      </c>
      <c r="J112" s="3">
        <v>3</v>
      </c>
      <c r="K112" s="3">
        <v>3</v>
      </c>
      <c r="L112" s="3">
        <v>3</v>
      </c>
      <c r="M112" s="3">
        <v>2</v>
      </c>
      <c r="N112" s="3">
        <v>4</v>
      </c>
      <c r="O112" s="3">
        <v>3</v>
      </c>
      <c r="P112" s="3">
        <v>3</v>
      </c>
      <c r="Q112" s="3">
        <v>2</v>
      </c>
      <c r="R112" s="3">
        <v>1</v>
      </c>
      <c r="S112" s="3">
        <v>3</v>
      </c>
      <c r="T112" s="3">
        <v>3</v>
      </c>
      <c r="U112" s="3">
        <v>2</v>
      </c>
      <c r="V112" s="3">
        <v>2</v>
      </c>
      <c r="W112" s="3">
        <v>2</v>
      </c>
      <c r="X112" s="3">
        <v>3</v>
      </c>
      <c r="Y112" s="3">
        <v>2</v>
      </c>
      <c r="Z112" s="3">
        <v>2</v>
      </c>
      <c r="AA112" s="3">
        <v>2</v>
      </c>
      <c r="AB112" s="3">
        <v>2</v>
      </c>
      <c r="AC112" s="3">
        <v>2</v>
      </c>
      <c r="AD112" s="3">
        <v>2</v>
      </c>
      <c r="AE112" s="3">
        <v>2</v>
      </c>
      <c r="AF112" s="3">
        <v>1</v>
      </c>
      <c r="AG112" s="3">
        <v>3</v>
      </c>
      <c r="AH112" s="3">
        <v>1</v>
      </c>
      <c r="AI112" s="3">
        <v>3</v>
      </c>
      <c r="AJ112" s="3">
        <v>4</v>
      </c>
      <c r="AK112" s="3">
        <v>2</v>
      </c>
      <c r="AL112" s="3">
        <v>2</v>
      </c>
      <c r="AM112" s="3">
        <v>3</v>
      </c>
      <c r="AN112" s="3">
        <v>2</v>
      </c>
      <c r="AO112" s="3">
        <v>3</v>
      </c>
      <c r="AP112" s="3">
        <v>2</v>
      </c>
      <c r="AQ112" s="3">
        <v>2</v>
      </c>
      <c r="AR112" s="3">
        <v>2</v>
      </c>
      <c r="AS112" s="3">
        <v>2</v>
      </c>
      <c r="AT112" s="3">
        <v>2</v>
      </c>
      <c r="AU112" s="3">
        <v>3</v>
      </c>
      <c r="AV112" s="3">
        <v>2</v>
      </c>
      <c r="AW112" s="3">
        <v>4</v>
      </c>
      <c r="AX112" s="3">
        <v>3</v>
      </c>
      <c r="AY112" s="3">
        <v>4</v>
      </c>
      <c r="AZ112" s="3">
        <v>4</v>
      </c>
      <c r="BA112" s="3">
        <v>4</v>
      </c>
      <c r="BB112" s="3">
        <v>3</v>
      </c>
      <c r="BC112" s="3">
        <v>2</v>
      </c>
      <c r="BD112" s="3">
        <v>3</v>
      </c>
      <c r="BE112" s="3">
        <v>2</v>
      </c>
      <c r="BF112" s="3">
        <v>2</v>
      </c>
      <c r="BG112" s="3">
        <v>2</v>
      </c>
      <c r="BH112" s="3">
        <v>2</v>
      </c>
      <c r="BI112" s="3">
        <v>2</v>
      </c>
      <c r="BJ112" s="3">
        <v>3</v>
      </c>
      <c r="BK112" s="3">
        <v>3</v>
      </c>
      <c r="BL112" s="3">
        <v>3</v>
      </c>
      <c r="BM112" s="3" t="s">
        <v>274</v>
      </c>
      <c r="BN112" s="3">
        <v>3</v>
      </c>
      <c r="BO112" s="3">
        <v>3</v>
      </c>
      <c r="BP112" s="3">
        <v>3</v>
      </c>
      <c r="BQ112" s="3">
        <v>3</v>
      </c>
      <c r="BR112" s="3">
        <v>3</v>
      </c>
      <c r="BS112" s="3">
        <v>3</v>
      </c>
      <c r="BT112" s="3">
        <v>3</v>
      </c>
      <c r="BU112" s="2">
        <v>3</v>
      </c>
      <c r="BV112" s="2">
        <v>3</v>
      </c>
      <c r="BW112" s="2">
        <v>3</v>
      </c>
      <c r="BX112" s="2">
        <v>2</v>
      </c>
      <c r="BY112" s="2">
        <v>2</v>
      </c>
      <c r="BZ112" s="2">
        <v>2</v>
      </c>
      <c r="CA112" s="2">
        <v>3</v>
      </c>
      <c r="CB112" s="2">
        <v>3</v>
      </c>
      <c r="CC112" s="2">
        <v>2</v>
      </c>
      <c r="CD112" s="2">
        <v>2</v>
      </c>
      <c r="CE112" s="2">
        <v>3</v>
      </c>
      <c r="CF112" s="2">
        <v>4</v>
      </c>
      <c r="CG112" s="2">
        <v>3</v>
      </c>
      <c r="CH112" s="2">
        <v>2</v>
      </c>
      <c r="CI112" s="2">
        <v>2</v>
      </c>
      <c r="CJ112" s="2">
        <v>2</v>
      </c>
      <c r="CK112" s="2">
        <v>2</v>
      </c>
      <c r="CL112" s="2">
        <v>2</v>
      </c>
      <c r="CM112" s="2">
        <v>1</v>
      </c>
      <c r="CN112" s="2">
        <v>2</v>
      </c>
      <c r="CO112" s="2">
        <v>1</v>
      </c>
      <c r="CP112" s="2">
        <v>1</v>
      </c>
      <c r="CQ112" s="2">
        <v>3</v>
      </c>
      <c r="CR112" s="2">
        <v>1</v>
      </c>
      <c r="CS112" s="2">
        <v>3</v>
      </c>
      <c r="CT112" s="2">
        <v>1</v>
      </c>
      <c r="CU112" s="2">
        <v>1</v>
      </c>
      <c r="CV112" s="2">
        <v>2</v>
      </c>
      <c r="CW112" s="2">
        <v>2</v>
      </c>
      <c r="CX112" s="2">
        <v>2</v>
      </c>
      <c r="CY112" s="2">
        <v>1</v>
      </c>
      <c r="CZ112" s="2">
        <v>1</v>
      </c>
      <c r="DA112" s="2">
        <v>2</v>
      </c>
      <c r="DB112" s="2">
        <v>2</v>
      </c>
      <c r="DC112" s="2">
        <v>1</v>
      </c>
      <c r="DD112" s="2">
        <v>1</v>
      </c>
      <c r="DE112" s="2">
        <v>2</v>
      </c>
      <c r="DF112" s="2">
        <v>2</v>
      </c>
      <c r="DG112" s="2">
        <v>3</v>
      </c>
      <c r="DH112" s="2">
        <v>3</v>
      </c>
      <c r="DI112" s="2">
        <v>2</v>
      </c>
      <c r="DJ112" s="2">
        <v>2</v>
      </c>
      <c r="DK112" s="2">
        <v>2</v>
      </c>
      <c r="DL112" s="2">
        <v>2</v>
      </c>
      <c r="DM112" s="2">
        <v>2</v>
      </c>
      <c r="DN112" s="2">
        <v>2</v>
      </c>
      <c r="DO112" s="2">
        <v>2</v>
      </c>
      <c r="DP112" s="2">
        <v>2</v>
      </c>
      <c r="DQ112" s="2">
        <v>3</v>
      </c>
      <c r="DR112" s="2">
        <v>3</v>
      </c>
      <c r="DS112" s="2">
        <v>2</v>
      </c>
      <c r="DT112" s="2">
        <v>2</v>
      </c>
      <c r="DU112" s="2">
        <v>2</v>
      </c>
      <c r="DV112" s="2">
        <v>2</v>
      </c>
      <c r="DW112" s="2">
        <v>2</v>
      </c>
      <c r="DX112" s="2">
        <v>2</v>
      </c>
      <c r="DY112" s="2">
        <v>2</v>
      </c>
      <c r="DZ112" s="2">
        <v>2</v>
      </c>
      <c r="EA112" s="2">
        <v>2</v>
      </c>
      <c r="EB112" s="2">
        <v>2</v>
      </c>
      <c r="EC112" s="2">
        <v>3</v>
      </c>
      <c r="ED112" s="2">
        <v>3</v>
      </c>
      <c r="EE112" s="2">
        <v>3</v>
      </c>
      <c r="EF112" s="2">
        <v>2</v>
      </c>
      <c r="EG112" s="2">
        <v>4</v>
      </c>
      <c r="EH112" s="2">
        <v>2</v>
      </c>
      <c r="EI112" s="2">
        <v>4</v>
      </c>
      <c r="EJ112" s="2">
        <v>4</v>
      </c>
      <c r="EK112" s="2">
        <v>4</v>
      </c>
      <c r="EL112" s="2">
        <v>2</v>
      </c>
      <c r="EM112" s="2">
        <v>3</v>
      </c>
      <c r="EN112" s="2">
        <v>4</v>
      </c>
      <c r="EO112" s="2">
        <v>2</v>
      </c>
      <c r="EP112" s="2">
        <v>2</v>
      </c>
      <c r="EQ112" s="2">
        <v>2</v>
      </c>
      <c r="ER112" s="2">
        <v>4</v>
      </c>
      <c r="ES112" s="2">
        <v>2</v>
      </c>
      <c r="ET112" s="2">
        <v>2</v>
      </c>
      <c r="EU112" s="2">
        <v>2</v>
      </c>
      <c r="EV112" s="2">
        <v>3</v>
      </c>
      <c r="EW112" s="2">
        <v>3</v>
      </c>
      <c r="EX112" s="2">
        <v>3</v>
      </c>
      <c r="EY112" s="2">
        <v>2</v>
      </c>
      <c r="EZ112" s="2">
        <v>2</v>
      </c>
      <c r="FA112" s="2">
        <v>3</v>
      </c>
      <c r="FB112" s="2">
        <v>3</v>
      </c>
      <c r="FC112" s="2">
        <v>3</v>
      </c>
      <c r="FD112" s="2">
        <v>4</v>
      </c>
      <c r="FE112" s="2">
        <v>3</v>
      </c>
      <c r="FF112" s="2">
        <v>3</v>
      </c>
      <c r="FG112" s="2">
        <v>3</v>
      </c>
      <c r="FH112" s="2">
        <v>4</v>
      </c>
      <c r="FI112" s="2">
        <v>3</v>
      </c>
      <c r="FJ112" s="2">
        <v>2</v>
      </c>
      <c r="FK112" s="2">
        <v>4</v>
      </c>
      <c r="FL112" s="2">
        <v>4</v>
      </c>
      <c r="FM112" s="2">
        <v>4</v>
      </c>
      <c r="FN112" s="2">
        <v>4</v>
      </c>
      <c r="FO112" s="2">
        <v>3</v>
      </c>
      <c r="FP112" s="2">
        <v>4</v>
      </c>
      <c r="FQ112" s="2">
        <v>3</v>
      </c>
      <c r="FR112" s="2">
        <v>3</v>
      </c>
      <c r="FS112" s="2">
        <v>3</v>
      </c>
      <c r="FT112" s="2">
        <v>3</v>
      </c>
      <c r="FU112" s="2">
        <v>4</v>
      </c>
      <c r="FV112" s="2">
        <v>3</v>
      </c>
      <c r="FW112" s="2">
        <v>4</v>
      </c>
      <c r="FX112" s="2">
        <v>2</v>
      </c>
      <c r="FY112" s="2">
        <v>2</v>
      </c>
      <c r="FZ112" s="2">
        <v>2</v>
      </c>
      <c r="GA112" s="2">
        <v>2</v>
      </c>
      <c r="GB112" s="2">
        <v>4</v>
      </c>
      <c r="GC112" s="2" t="s">
        <v>872</v>
      </c>
      <c r="GD112" s="2">
        <v>3</v>
      </c>
      <c r="GE112" s="2">
        <v>2</v>
      </c>
      <c r="GF112" s="2">
        <v>2</v>
      </c>
      <c r="GG112" s="2">
        <v>4</v>
      </c>
      <c r="GH112" s="2">
        <v>2</v>
      </c>
      <c r="GI112" s="2">
        <v>3</v>
      </c>
      <c r="GJ112" s="2">
        <v>2</v>
      </c>
      <c r="GK112" s="2">
        <v>2</v>
      </c>
      <c r="GL112" s="2">
        <v>2</v>
      </c>
      <c r="GM112" s="2">
        <v>2</v>
      </c>
      <c r="GN112" s="3">
        <v>3</v>
      </c>
      <c r="GO112" s="3">
        <v>3</v>
      </c>
      <c r="GP112" s="3">
        <v>2</v>
      </c>
      <c r="GQ112" s="3">
        <v>3</v>
      </c>
      <c r="GR112" s="3">
        <v>3</v>
      </c>
      <c r="GS112" s="3">
        <v>3</v>
      </c>
      <c r="GT112" s="3">
        <v>2</v>
      </c>
      <c r="GU112" s="3">
        <v>2</v>
      </c>
      <c r="GV112" s="3">
        <v>2</v>
      </c>
      <c r="GW112" s="3">
        <v>2</v>
      </c>
      <c r="GX112" s="3">
        <v>2</v>
      </c>
      <c r="GY112" s="3">
        <v>2</v>
      </c>
      <c r="GZ112" s="3">
        <v>3</v>
      </c>
      <c r="HA112" s="3">
        <v>3</v>
      </c>
      <c r="HB112" s="3">
        <v>3</v>
      </c>
      <c r="HC112" s="3">
        <v>2</v>
      </c>
      <c r="HD112" s="3">
        <v>3</v>
      </c>
      <c r="HE112" s="3">
        <v>1</v>
      </c>
      <c r="HF112" s="3">
        <v>2</v>
      </c>
      <c r="HG112" s="3">
        <v>1</v>
      </c>
      <c r="HH112" s="3">
        <v>3</v>
      </c>
      <c r="HI112" s="3">
        <v>2</v>
      </c>
      <c r="HJ112" s="3">
        <v>2</v>
      </c>
      <c r="HK112" s="3">
        <v>4</v>
      </c>
      <c r="HL112" s="3">
        <v>1</v>
      </c>
      <c r="HM112" s="3">
        <v>3</v>
      </c>
      <c r="HN112" s="3">
        <v>1</v>
      </c>
      <c r="HO112" s="3">
        <v>3</v>
      </c>
      <c r="HP112" s="3">
        <v>3</v>
      </c>
      <c r="HQ112" s="3">
        <v>3</v>
      </c>
      <c r="HR112" s="3">
        <v>2</v>
      </c>
      <c r="HS112" s="3">
        <v>1</v>
      </c>
      <c r="HT112" s="3">
        <v>2</v>
      </c>
      <c r="HU112" s="3">
        <v>2</v>
      </c>
      <c r="HV112" s="3">
        <v>4</v>
      </c>
      <c r="HW112" s="3">
        <v>2</v>
      </c>
      <c r="HX112" s="3">
        <v>3</v>
      </c>
      <c r="HY112" s="3">
        <v>3</v>
      </c>
      <c r="HZ112" s="3">
        <v>1</v>
      </c>
      <c r="IA112" s="3">
        <v>2</v>
      </c>
      <c r="IB112" s="3">
        <v>2</v>
      </c>
      <c r="IC112" s="3">
        <v>2</v>
      </c>
      <c r="ID112" s="3">
        <v>2</v>
      </c>
      <c r="IE112" s="12" t="s">
        <v>815</v>
      </c>
      <c r="IF112" s="3">
        <v>2</v>
      </c>
      <c r="IG112" s="3">
        <v>2</v>
      </c>
      <c r="IH112" s="12" t="s">
        <v>815</v>
      </c>
      <c r="II112" s="3">
        <v>2</v>
      </c>
      <c r="IJ112" s="3">
        <v>1</v>
      </c>
      <c r="IK112" s="3">
        <v>2</v>
      </c>
      <c r="IL112" s="3">
        <v>2</v>
      </c>
      <c r="IM112" s="3">
        <v>2</v>
      </c>
      <c r="IN112" s="3">
        <v>2</v>
      </c>
      <c r="IO112" s="3">
        <v>1</v>
      </c>
      <c r="IP112" s="3">
        <v>1</v>
      </c>
      <c r="IQ112" s="3">
        <v>1</v>
      </c>
      <c r="IR112" s="3" t="s">
        <v>873</v>
      </c>
      <c r="IS112" s="3">
        <v>4</v>
      </c>
      <c r="IT112" s="3">
        <v>3</v>
      </c>
      <c r="IU112" s="3">
        <v>2</v>
      </c>
      <c r="IV112" s="3">
        <v>1</v>
      </c>
      <c r="IW112" s="3">
        <v>1</v>
      </c>
      <c r="IX112" s="3">
        <v>2</v>
      </c>
      <c r="IY112" s="3">
        <v>3</v>
      </c>
      <c r="IZ112" s="2" t="s">
        <v>816</v>
      </c>
    </row>
    <row r="113" spans="1:260" ht="13.2" x14ac:dyDescent="0.25">
      <c r="A113" s="10" t="s">
        <v>274</v>
      </c>
      <c r="B113" s="2" t="s">
        <v>874</v>
      </c>
      <c r="C113" s="2" t="s">
        <v>261</v>
      </c>
      <c r="D113" s="2" t="s">
        <v>270</v>
      </c>
      <c r="E113" s="2">
        <v>23</v>
      </c>
      <c r="F113" s="11" t="s">
        <v>875</v>
      </c>
      <c r="G113" s="11" t="s">
        <v>876</v>
      </c>
      <c r="H113" s="2" t="s">
        <v>877</v>
      </c>
      <c r="I113" s="3">
        <v>3</v>
      </c>
      <c r="J113" s="3">
        <v>3</v>
      </c>
      <c r="K113" s="3">
        <v>3</v>
      </c>
      <c r="L113" s="3">
        <v>4</v>
      </c>
      <c r="M113" s="3">
        <v>2</v>
      </c>
      <c r="N113" s="3">
        <v>3</v>
      </c>
      <c r="O113" s="3">
        <v>4</v>
      </c>
      <c r="P113" s="3">
        <v>2</v>
      </c>
      <c r="Q113" s="3">
        <v>4</v>
      </c>
      <c r="R113" s="3">
        <v>3</v>
      </c>
      <c r="S113" s="3">
        <v>3</v>
      </c>
      <c r="T113" s="3">
        <v>4</v>
      </c>
      <c r="U113" s="3">
        <v>3</v>
      </c>
      <c r="V113" s="3">
        <v>2</v>
      </c>
      <c r="W113" s="3">
        <v>3</v>
      </c>
      <c r="X113" s="3">
        <v>1</v>
      </c>
      <c r="Y113" s="3">
        <v>2</v>
      </c>
      <c r="Z113" s="3">
        <v>1</v>
      </c>
      <c r="AA113" s="3">
        <v>4</v>
      </c>
      <c r="AB113" s="3">
        <v>4</v>
      </c>
      <c r="AC113" s="3">
        <v>4</v>
      </c>
      <c r="AD113" s="3">
        <v>2</v>
      </c>
      <c r="AE113" s="3">
        <v>4</v>
      </c>
      <c r="AF113" s="12" t="s">
        <v>815</v>
      </c>
      <c r="AG113" s="12" t="s">
        <v>815</v>
      </c>
      <c r="AH113" s="12" t="s">
        <v>815</v>
      </c>
      <c r="AI113" s="3">
        <v>3</v>
      </c>
      <c r="AJ113" s="3">
        <v>3</v>
      </c>
      <c r="AK113" s="3">
        <v>3</v>
      </c>
      <c r="AL113" s="3">
        <v>3</v>
      </c>
      <c r="AM113" s="3">
        <v>1</v>
      </c>
      <c r="AN113" s="3">
        <v>2</v>
      </c>
      <c r="AO113" s="3">
        <v>4</v>
      </c>
      <c r="AP113" s="3">
        <v>4</v>
      </c>
      <c r="AQ113" s="3">
        <v>3</v>
      </c>
      <c r="AR113" s="3">
        <v>4</v>
      </c>
      <c r="AS113" s="3">
        <v>4</v>
      </c>
      <c r="AT113" s="3">
        <v>4</v>
      </c>
      <c r="AU113" s="3">
        <v>3</v>
      </c>
      <c r="AV113" s="3">
        <v>3</v>
      </c>
      <c r="AW113" s="3">
        <v>2</v>
      </c>
      <c r="AX113" s="3">
        <v>1</v>
      </c>
      <c r="AY113" s="3">
        <v>1</v>
      </c>
      <c r="AZ113" s="3">
        <v>1</v>
      </c>
      <c r="BA113" s="3">
        <v>1</v>
      </c>
      <c r="BB113" s="3">
        <v>2</v>
      </c>
      <c r="BC113" s="3">
        <v>1</v>
      </c>
      <c r="BD113" s="3">
        <v>2</v>
      </c>
      <c r="BE113" s="3">
        <v>4</v>
      </c>
      <c r="BF113" s="3">
        <v>2</v>
      </c>
      <c r="BG113" s="3">
        <v>2</v>
      </c>
      <c r="BH113" s="3">
        <v>3</v>
      </c>
      <c r="BI113" s="3">
        <v>4</v>
      </c>
      <c r="BJ113" s="3">
        <v>2</v>
      </c>
      <c r="BK113" s="3">
        <v>4</v>
      </c>
      <c r="BL113" s="3">
        <v>2</v>
      </c>
      <c r="BM113" s="3" t="s">
        <v>878</v>
      </c>
      <c r="BN113" s="3">
        <v>3</v>
      </c>
      <c r="BO113" s="3">
        <v>3</v>
      </c>
      <c r="BP113" s="3">
        <v>3</v>
      </c>
      <c r="BQ113" s="3">
        <v>3</v>
      </c>
      <c r="BR113" s="3">
        <v>2</v>
      </c>
      <c r="BS113" s="3">
        <v>4</v>
      </c>
      <c r="BT113" s="3">
        <v>3</v>
      </c>
      <c r="BU113" s="2">
        <v>4</v>
      </c>
      <c r="BV113" s="2">
        <v>2</v>
      </c>
      <c r="BW113" s="2">
        <v>2</v>
      </c>
      <c r="BX113" s="2">
        <v>2</v>
      </c>
      <c r="BY113" s="2">
        <v>1</v>
      </c>
      <c r="BZ113" s="2">
        <v>2</v>
      </c>
      <c r="CA113" s="2">
        <v>2</v>
      </c>
      <c r="CB113" s="2">
        <v>3</v>
      </c>
      <c r="CC113" s="2">
        <v>3</v>
      </c>
      <c r="CD113" s="2">
        <v>3</v>
      </c>
      <c r="CE113" s="2">
        <v>2</v>
      </c>
      <c r="CF113" s="2">
        <v>4</v>
      </c>
      <c r="CG113" s="2">
        <v>2</v>
      </c>
      <c r="CH113" s="2">
        <v>2</v>
      </c>
      <c r="CI113" s="2">
        <v>3</v>
      </c>
      <c r="CJ113" s="2">
        <v>3</v>
      </c>
      <c r="CK113" s="2">
        <v>4</v>
      </c>
      <c r="CL113" s="2">
        <v>4</v>
      </c>
      <c r="CM113" s="2">
        <v>2</v>
      </c>
      <c r="CN113" s="2">
        <v>4</v>
      </c>
      <c r="CO113" s="2">
        <v>2</v>
      </c>
      <c r="CP113" s="2">
        <v>2</v>
      </c>
      <c r="CQ113" s="2">
        <v>3</v>
      </c>
      <c r="CR113" s="2">
        <v>4</v>
      </c>
      <c r="CS113" s="2">
        <v>4</v>
      </c>
      <c r="CT113" s="2">
        <v>2</v>
      </c>
      <c r="CU113" s="2">
        <v>2</v>
      </c>
      <c r="CV113" s="2">
        <v>3</v>
      </c>
      <c r="CW113" s="2">
        <v>3</v>
      </c>
      <c r="CX113" s="2">
        <v>2</v>
      </c>
      <c r="CY113" s="2">
        <v>2</v>
      </c>
      <c r="CZ113" s="2">
        <v>2</v>
      </c>
      <c r="DA113" s="2">
        <v>2</v>
      </c>
      <c r="DB113" s="2">
        <v>1</v>
      </c>
      <c r="DC113" s="2">
        <v>1</v>
      </c>
      <c r="DD113" s="2">
        <v>1</v>
      </c>
      <c r="DE113" s="2">
        <v>4</v>
      </c>
      <c r="DF113" s="2">
        <v>2</v>
      </c>
      <c r="DG113" s="2">
        <v>2</v>
      </c>
      <c r="DH113" s="2">
        <v>3</v>
      </c>
      <c r="DI113" s="2">
        <v>2</v>
      </c>
      <c r="DJ113" s="2">
        <v>2</v>
      </c>
      <c r="DK113" s="2">
        <v>1</v>
      </c>
      <c r="DL113" s="2">
        <v>4</v>
      </c>
      <c r="DM113" s="2">
        <v>2</v>
      </c>
      <c r="DN113" s="2">
        <v>2</v>
      </c>
      <c r="DO113" s="2">
        <v>1</v>
      </c>
      <c r="DP113" s="2">
        <v>3</v>
      </c>
      <c r="DQ113" s="2">
        <v>4</v>
      </c>
      <c r="DR113" s="2">
        <v>1</v>
      </c>
      <c r="DS113" s="2">
        <v>4</v>
      </c>
      <c r="DT113" s="2">
        <v>2</v>
      </c>
      <c r="DU113" s="2">
        <v>1</v>
      </c>
      <c r="DV113" s="2">
        <v>1</v>
      </c>
      <c r="DW113" s="2">
        <v>2</v>
      </c>
      <c r="DX113" s="2">
        <v>2</v>
      </c>
      <c r="DY113" s="2">
        <v>4</v>
      </c>
      <c r="DZ113" s="2">
        <v>4</v>
      </c>
      <c r="EA113" s="2">
        <v>1</v>
      </c>
      <c r="EB113" s="11" t="s">
        <v>815</v>
      </c>
      <c r="EC113" s="11" t="s">
        <v>815</v>
      </c>
      <c r="ED113" s="11" t="s">
        <v>815</v>
      </c>
      <c r="EE113" s="11" t="s">
        <v>815</v>
      </c>
      <c r="EF113" s="11" t="s">
        <v>815</v>
      </c>
      <c r="EG113" s="11" t="s">
        <v>815</v>
      </c>
      <c r="EH113" s="11" t="s">
        <v>815</v>
      </c>
      <c r="EI113" s="2">
        <v>3</v>
      </c>
      <c r="EJ113" s="2">
        <v>3</v>
      </c>
      <c r="EK113" s="2">
        <v>2</v>
      </c>
      <c r="EL113" s="2">
        <v>3</v>
      </c>
      <c r="EM113" s="2">
        <v>2</v>
      </c>
      <c r="EN113" s="11" t="s">
        <v>815</v>
      </c>
      <c r="EO113" s="11" t="s">
        <v>815</v>
      </c>
      <c r="EP113" s="11" t="s">
        <v>815</v>
      </c>
      <c r="EQ113" s="2">
        <v>4</v>
      </c>
      <c r="ER113" s="2">
        <v>1</v>
      </c>
      <c r="ES113" s="2">
        <v>1</v>
      </c>
      <c r="ET113" s="2">
        <v>1</v>
      </c>
      <c r="EU113" s="2">
        <v>1</v>
      </c>
      <c r="EV113" s="2">
        <v>4</v>
      </c>
      <c r="EW113" s="2">
        <v>2</v>
      </c>
      <c r="EX113" s="2">
        <v>2</v>
      </c>
      <c r="EY113" s="2">
        <v>2</v>
      </c>
      <c r="EZ113" s="2">
        <v>2</v>
      </c>
      <c r="FA113" s="2">
        <v>2</v>
      </c>
      <c r="FB113" s="2">
        <v>2</v>
      </c>
      <c r="FC113" s="2">
        <v>4</v>
      </c>
      <c r="FD113" s="2">
        <v>4</v>
      </c>
      <c r="FE113" s="2">
        <v>2</v>
      </c>
      <c r="FF113" s="2">
        <v>2</v>
      </c>
      <c r="FG113" s="2">
        <v>4</v>
      </c>
      <c r="FH113" s="2">
        <v>2</v>
      </c>
      <c r="FI113" s="2">
        <v>2</v>
      </c>
      <c r="FJ113" s="2">
        <v>1</v>
      </c>
      <c r="FK113" s="2">
        <v>1</v>
      </c>
      <c r="FL113" s="2">
        <v>1</v>
      </c>
      <c r="FM113" s="2">
        <v>1</v>
      </c>
      <c r="FN113" s="2">
        <v>1</v>
      </c>
      <c r="FO113" s="2">
        <v>1</v>
      </c>
      <c r="FP113" s="2">
        <v>1</v>
      </c>
      <c r="FQ113" s="2">
        <v>1</v>
      </c>
      <c r="FR113" s="2">
        <v>2</v>
      </c>
      <c r="FS113" s="2">
        <v>1</v>
      </c>
      <c r="FT113" s="2">
        <v>1</v>
      </c>
      <c r="FU113" s="2">
        <v>4</v>
      </c>
      <c r="FV113" s="2">
        <v>1</v>
      </c>
      <c r="FW113" s="2">
        <v>3</v>
      </c>
      <c r="FX113" s="2">
        <v>2</v>
      </c>
      <c r="FY113" s="2">
        <v>1</v>
      </c>
      <c r="FZ113" s="2">
        <v>1</v>
      </c>
      <c r="GA113" s="2">
        <v>1</v>
      </c>
      <c r="GB113" s="2">
        <v>2</v>
      </c>
      <c r="GC113" s="2" t="s">
        <v>879</v>
      </c>
      <c r="GD113" s="2">
        <v>3</v>
      </c>
      <c r="GE113" s="2">
        <v>3</v>
      </c>
      <c r="GF113" s="2">
        <v>3</v>
      </c>
      <c r="GG113" s="2">
        <v>2</v>
      </c>
      <c r="GH113" s="2">
        <v>3</v>
      </c>
      <c r="GI113" s="2">
        <v>4</v>
      </c>
      <c r="GJ113" s="2">
        <v>4</v>
      </c>
      <c r="GK113" s="2">
        <v>2</v>
      </c>
      <c r="GL113" s="2">
        <v>1</v>
      </c>
      <c r="GM113" s="2">
        <v>2</v>
      </c>
      <c r="GN113" s="3">
        <v>3</v>
      </c>
      <c r="GO113" s="3">
        <v>3</v>
      </c>
      <c r="GP113" s="3">
        <v>4</v>
      </c>
      <c r="GQ113" s="3">
        <v>3</v>
      </c>
      <c r="GR113" s="3">
        <v>4</v>
      </c>
      <c r="GS113" s="3">
        <v>1</v>
      </c>
      <c r="GT113" s="3">
        <v>3</v>
      </c>
      <c r="GU113" s="3">
        <v>1</v>
      </c>
      <c r="GV113" s="3">
        <v>4</v>
      </c>
      <c r="GW113" s="3">
        <v>2</v>
      </c>
      <c r="GX113" s="3">
        <v>2</v>
      </c>
      <c r="GY113" s="3">
        <v>1</v>
      </c>
      <c r="GZ113" s="3">
        <v>3</v>
      </c>
      <c r="HA113" s="3">
        <v>3</v>
      </c>
      <c r="HB113" s="3">
        <v>2</v>
      </c>
      <c r="HC113" s="3">
        <v>1</v>
      </c>
      <c r="HD113" s="3">
        <v>1</v>
      </c>
      <c r="HE113" s="3">
        <v>1</v>
      </c>
      <c r="HF113" s="3">
        <v>2</v>
      </c>
      <c r="HG113" s="12" t="s">
        <v>815</v>
      </c>
      <c r="HH113" s="3">
        <v>3</v>
      </c>
      <c r="HI113" s="12" t="s">
        <v>815</v>
      </c>
      <c r="HJ113" s="3">
        <v>2</v>
      </c>
      <c r="HK113" s="3">
        <v>4</v>
      </c>
      <c r="HL113" s="3">
        <v>1</v>
      </c>
      <c r="HM113" s="3">
        <v>1</v>
      </c>
      <c r="HN113" s="3">
        <v>2</v>
      </c>
      <c r="HO113" s="3">
        <v>2</v>
      </c>
      <c r="HP113" s="3">
        <v>1</v>
      </c>
      <c r="HQ113" s="3">
        <v>4</v>
      </c>
      <c r="HR113" s="12" t="s">
        <v>815</v>
      </c>
      <c r="HS113" s="12" t="s">
        <v>815</v>
      </c>
      <c r="HT113" s="12" t="s">
        <v>815</v>
      </c>
      <c r="HU113" s="12" t="s">
        <v>815</v>
      </c>
      <c r="HV113" s="3">
        <v>4</v>
      </c>
      <c r="HW113" s="3">
        <v>1</v>
      </c>
      <c r="HX113" s="3">
        <v>1</v>
      </c>
      <c r="HY113" s="12" t="s">
        <v>815</v>
      </c>
      <c r="HZ113" s="3">
        <v>2</v>
      </c>
      <c r="IA113" s="3">
        <v>4</v>
      </c>
      <c r="IB113" s="3">
        <v>1</v>
      </c>
      <c r="IC113" s="3">
        <v>2</v>
      </c>
      <c r="ID113" s="3">
        <v>4</v>
      </c>
      <c r="IE113" s="3">
        <v>1</v>
      </c>
      <c r="IF113" s="3">
        <v>4</v>
      </c>
      <c r="IG113" s="3">
        <v>4</v>
      </c>
      <c r="IH113" s="3">
        <v>2</v>
      </c>
      <c r="II113" s="3">
        <v>1</v>
      </c>
      <c r="IJ113" s="3">
        <v>3</v>
      </c>
      <c r="IK113" s="3">
        <v>4</v>
      </c>
      <c r="IL113" s="3">
        <v>4</v>
      </c>
      <c r="IM113" s="12" t="s">
        <v>815</v>
      </c>
      <c r="IN113" s="12" t="s">
        <v>815</v>
      </c>
      <c r="IO113" s="3">
        <v>1</v>
      </c>
      <c r="IP113" s="3">
        <v>3</v>
      </c>
      <c r="IQ113" s="3">
        <v>2</v>
      </c>
      <c r="IR113" s="3" t="s">
        <v>880</v>
      </c>
      <c r="IS113" s="12" t="s">
        <v>815</v>
      </c>
      <c r="IT113" s="3">
        <v>2</v>
      </c>
      <c r="IU113" s="3">
        <v>1</v>
      </c>
      <c r="IV113" s="3">
        <v>1</v>
      </c>
      <c r="IW113" s="3">
        <v>2</v>
      </c>
      <c r="IX113" s="3">
        <v>1</v>
      </c>
      <c r="IY113" s="12" t="s">
        <v>815</v>
      </c>
      <c r="IZ113" s="2" t="s">
        <v>816</v>
      </c>
    </row>
    <row r="114" spans="1:260" ht="13.2" x14ac:dyDescent="0.25">
      <c r="A114" s="10" t="s">
        <v>274</v>
      </c>
      <c r="B114" s="2" t="s">
        <v>881</v>
      </c>
      <c r="C114" s="2" t="s">
        <v>276</v>
      </c>
      <c r="D114" s="2" t="s">
        <v>270</v>
      </c>
      <c r="E114" s="2">
        <v>23</v>
      </c>
      <c r="F114" s="11" t="s">
        <v>882</v>
      </c>
      <c r="G114" s="11" t="s">
        <v>883</v>
      </c>
      <c r="H114" s="2" t="s">
        <v>884</v>
      </c>
      <c r="I114" s="3">
        <v>1</v>
      </c>
      <c r="J114" s="3">
        <v>2</v>
      </c>
      <c r="K114" s="3">
        <v>3</v>
      </c>
      <c r="L114" s="3">
        <v>4</v>
      </c>
      <c r="M114" s="3">
        <v>4</v>
      </c>
      <c r="N114" s="3">
        <v>4</v>
      </c>
      <c r="O114" s="3">
        <v>3</v>
      </c>
      <c r="P114" s="3">
        <v>2</v>
      </c>
      <c r="Q114" s="3">
        <v>3</v>
      </c>
      <c r="R114" s="3">
        <v>3</v>
      </c>
      <c r="S114" s="3">
        <v>2</v>
      </c>
      <c r="T114" s="3">
        <v>3</v>
      </c>
      <c r="U114" s="3">
        <v>3</v>
      </c>
      <c r="V114" s="3">
        <v>1</v>
      </c>
      <c r="W114" s="3">
        <v>1</v>
      </c>
      <c r="X114" s="3">
        <v>1</v>
      </c>
      <c r="Y114" s="3">
        <v>2</v>
      </c>
      <c r="Z114" s="3">
        <v>3</v>
      </c>
      <c r="AA114" s="3">
        <v>1</v>
      </c>
      <c r="AB114" s="12" t="s">
        <v>815</v>
      </c>
      <c r="AC114" s="12" t="s">
        <v>815</v>
      </c>
      <c r="AD114" s="3">
        <v>1</v>
      </c>
      <c r="AE114" s="3">
        <v>2</v>
      </c>
      <c r="AF114" s="12" t="s">
        <v>815</v>
      </c>
      <c r="AG114" s="12" t="s">
        <v>815</v>
      </c>
      <c r="AH114" s="12" t="s">
        <v>815</v>
      </c>
      <c r="AI114" s="3">
        <v>3</v>
      </c>
      <c r="AJ114" s="3">
        <v>3</v>
      </c>
      <c r="AK114" s="3">
        <v>3</v>
      </c>
      <c r="AL114" s="3">
        <v>3</v>
      </c>
      <c r="AM114" s="3">
        <v>1</v>
      </c>
      <c r="AN114" s="3">
        <v>1</v>
      </c>
      <c r="AO114" s="3">
        <v>4</v>
      </c>
      <c r="AP114" s="3">
        <v>2</v>
      </c>
      <c r="AQ114" s="3">
        <v>2</v>
      </c>
      <c r="AR114" s="3">
        <v>1</v>
      </c>
      <c r="AS114" s="3">
        <v>2</v>
      </c>
      <c r="AT114" s="3">
        <v>2</v>
      </c>
      <c r="AU114" s="3">
        <v>2</v>
      </c>
      <c r="AV114" s="3">
        <v>2</v>
      </c>
      <c r="AW114" s="3">
        <v>4</v>
      </c>
      <c r="AX114" s="12" t="s">
        <v>815</v>
      </c>
      <c r="AY114" s="3">
        <v>3</v>
      </c>
      <c r="AZ114" s="3">
        <v>4</v>
      </c>
      <c r="BA114" s="3">
        <v>2</v>
      </c>
      <c r="BB114" s="3">
        <v>1</v>
      </c>
      <c r="BC114" s="12" t="s">
        <v>815</v>
      </c>
      <c r="BD114" s="3">
        <v>1</v>
      </c>
      <c r="BE114" s="3">
        <v>2</v>
      </c>
      <c r="BF114" s="3">
        <v>1</v>
      </c>
      <c r="BG114" s="3">
        <v>2</v>
      </c>
      <c r="BH114" s="3">
        <v>3</v>
      </c>
      <c r="BI114" s="3">
        <v>2</v>
      </c>
      <c r="BJ114" s="3">
        <v>2</v>
      </c>
      <c r="BK114" s="3">
        <v>2</v>
      </c>
      <c r="BL114" s="12" t="s">
        <v>815</v>
      </c>
      <c r="BM114" s="3" t="s">
        <v>885</v>
      </c>
      <c r="BN114" s="3">
        <v>2</v>
      </c>
      <c r="BO114" s="3">
        <v>2</v>
      </c>
      <c r="BP114" s="3">
        <v>2</v>
      </c>
      <c r="BQ114" s="3">
        <v>3</v>
      </c>
      <c r="BR114" s="3">
        <v>3</v>
      </c>
      <c r="BS114" s="3">
        <v>3</v>
      </c>
      <c r="BT114" s="3">
        <v>2</v>
      </c>
      <c r="BU114" s="2">
        <v>1</v>
      </c>
      <c r="BV114" s="11" t="s">
        <v>815</v>
      </c>
      <c r="BW114" s="2">
        <v>3</v>
      </c>
      <c r="BX114" s="2">
        <v>2</v>
      </c>
      <c r="BY114" s="11" t="s">
        <v>815</v>
      </c>
      <c r="BZ114" s="2">
        <v>2</v>
      </c>
      <c r="CA114" s="11" t="s">
        <v>815</v>
      </c>
      <c r="CB114" s="2">
        <v>3</v>
      </c>
      <c r="CC114" s="11" t="s">
        <v>815</v>
      </c>
      <c r="CD114" s="11" t="s">
        <v>815</v>
      </c>
      <c r="CE114" s="11" t="s">
        <v>815</v>
      </c>
      <c r="CF114" s="2">
        <v>2</v>
      </c>
      <c r="CG114" s="2">
        <v>3</v>
      </c>
      <c r="CH114" s="11" t="s">
        <v>815</v>
      </c>
      <c r="CI114" s="2">
        <v>4</v>
      </c>
      <c r="CJ114" s="11" t="s">
        <v>815</v>
      </c>
      <c r="CK114" s="2">
        <v>2</v>
      </c>
      <c r="CL114" s="2">
        <v>1</v>
      </c>
      <c r="CM114" s="2">
        <v>2</v>
      </c>
      <c r="CN114" s="2">
        <v>2</v>
      </c>
      <c r="CO114" s="11" t="s">
        <v>815</v>
      </c>
      <c r="CP114" s="11" t="s">
        <v>815</v>
      </c>
      <c r="CQ114" s="2">
        <v>2</v>
      </c>
      <c r="CR114" s="2">
        <v>3</v>
      </c>
      <c r="CS114" s="2">
        <v>1</v>
      </c>
      <c r="CT114" s="2">
        <v>2</v>
      </c>
      <c r="CU114" s="11" t="s">
        <v>815</v>
      </c>
      <c r="CV114" s="2">
        <v>2</v>
      </c>
      <c r="CW114" s="2">
        <v>3</v>
      </c>
      <c r="CX114" s="2">
        <v>2</v>
      </c>
      <c r="CY114" s="11" t="s">
        <v>815</v>
      </c>
      <c r="CZ114" s="11" t="s">
        <v>815</v>
      </c>
      <c r="DA114" s="2">
        <v>2</v>
      </c>
      <c r="DB114" s="2">
        <v>1</v>
      </c>
      <c r="DC114" s="11" t="s">
        <v>815</v>
      </c>
      <c r="DD114" s="11" t="s">
        <v>815</v>
      </c>
      <c r="DE114" s="2">
        <v>2</v>
      </c>
      <c r="DF114" s="2">
        <v>2</v>
      </c>
      <c r="DG114" s="11" t="s">
        <v>815</v>
      </c>
      <c r="DH114" s="2">
        <v>3</v>
      </c>
      <c r="DI114" s="2">
        <v>3</v>
      </c>
      <c r="DJ114" s="11" t="s">
        <v>815</v>
      </c>
      <c r="DK114" s="11" t="s">
        <v>815</v>
      </c>
      <c r="DL114" s="2">
        <v>1</v>
      </c>
      <c r="DM114" s="2">
        <v>2</v>
      </c>
      <c r="DN114" s="11" t="s">
        <v>815</v>
      </c>
      <c r="DO114" s="11" t="s">
        <v>815</v>
      </c>
      <c r="DP114" s="2">
        <v>1</v>
      </c>
      <c r="DQ114" s="2">
        <v>1</v>
      </c>
      <c r="DR114" s="11" t="s">
        <v>815</v>
      </c>
      <c r="DS114" s="2">
        <v>2</v>
      </c>
      <c r="DT114" s="2">
        <v>2</v>
      </c>
      <c r="DU114" s="11" t="s">
        <v>815</v>
      </c>
      <c r="DV114" s="11" t="s">
        <v>815</v>
      </c>
      <c r="DW114" s="11" t="s">
        <v>815</v>
      </c>
      <c r="DX114" s="2">
        <v>4</v>
      </c>
      <c r="DY114" s="2">
        <v>2</v>
      </c>
      <c r="DZ114" s="2">
        <v>2</v>
      </c>
      <c r="EA114" s="11" t="s">
        <v>815</v>
      </c>
      <c r="EB114" s="11" t="s">
        <v>815</v>
      </c>
      <c r="EC114" s="11" t="s">
        <v>815</v>
      </c>
      <c r="ED114" s="11" t="s">
        <v>815</v>
      </c>
      <c r="EE114" s="11" t="s">
        <v>815</v>
      </c>
      <c r="EF114" s="11" t="s">
        <v>815</v>
      </c>
      <c r="EG114" s="11" t="s">
        <v>815</v>
      </c>
      <c r="EH114" s="11" t="s">
        <v>815</v>
      </c>
      <c r="EI114" s="11" t="s">
        <v>815</v>
      </c>
      <c r="EJ114" s="2">
        <v>2</v>
      </c>
      <c r="EK114" s="2">
        <v>1</v>
      </c>
      <c r="EL114" s="2">
        <v>3</v>
      </c>
      <c r="EM114" s="11" t="s">
        <v>815</v>
      </c>
      <c r="EN114" s="11" t="s">
        <v>815</v>
      </c>
      <c r="EO114" s="11" t="s">
        <v>815</v>
      </c>
      <c r="EP114" s="11" t="s">
        <v>815</v>
      </c>
      <c r="EQ114" s="11" t="s">
        <v>815</v>
      </c>
      <c r="ER114" s="11" t="s">
        <v>815</v>
      </c>
      <c r="ES114" s="11" t="s">
        <v>815</v>
      </c>
      <c r="ET114" s="11" t="s">
        <v>815</v>
      </c>
      <c r="EU114" s="11" t="s">
        <v>815</v>
      </c>
      <c r="EV114" s="2">
        <v>2</v>
      </c>
      <c r="EW114" s="2">
        <v>2</v>
      </c>
      <c r="EX114" s="2">
        <v>4</v>
      </c>
      <c r="EY114" s="2">
        <v>3</v>
      </c>
      <c r="EZ114" s="11" t="s">
        <v>815</v>
      </c>
      <c r="FA114" s="2">
        <v>2</v>
      </c>
      <c r="FB114" s="11" t="s">
        <v>815</v>
      </c>
      <c r="FC114" s="2">
        <v>2</v>
      </c>
      <c r="FD114" s="2">
        <v>2</v>
      </c>
      <c r="FE114" s="2">
        <v>2</v>
      </c>
      <c r="FF114" s="2">
        <v>1</v>
      </c>
      <c r="FG114" s="2">
        <v>1</v>
      </c>
      <c r="FH114" s="11" t="s">
        <v>815</v>
      </c>
      <c r="FI114" s="11" t="s">
        <v>815</v>
      </c>
      <c r="FJ114" s="11" t="s">
        <v>815</v>
      </c>
      <c r="FK114" s="2">
        <v>1</v>
      </c>
      <c r="FL114" s="2">
        <v>3</v>
      </c>
      <c r="FM114" s="2">
        <v>3</v>
      </c>
      <c r="FN114" s="11" t="s">
        <v>815</v>
      </c>
      <c r="FO114" s="11" t="s">
        <v>815</v>
      </c>
      <c r="FP114" s="11" t="s">
        <v>815</v>
      </c>
      <c r="FQ114" s="11" t="s">
        <v>815</v>
      </c>
      <c r="FR114" s="2">
        <v>1</v>
      </c>
      <c r="FS114" s="11" t="s">
        <v>815</v>
      </c>
      <c r="FT114" s="11" t="s">
        <v>815</v>
      </c>
      <c r="FU114" s="2">
        <v>3</v>
      </c>
      <c r="FV114" s="2">
        <v>2</v>
      </c>
      <c r="FW114" s="2">
        <v>1</v>
      </c>
      <c r="FX114" s="2">
        <v>2</v>
      </c>
      <c r="FY114" s="2">
        <v>2</v>
      </c>
      <c r="FZ114" s="11" t="s">
        <v>815</v>
      </c>
      <c r="GA114" s="11" t="s">
        <v>815</v>
      </c>
      <c r="GB114" s="11" t="s">
        <v>815</v>
      </c>
      <c r="GC114" s="2" t="s">
        <v>886</v>
      </c>
      <c r="GD114" s="2">
        <v>2</v>
      </c>
      <c r="GE114" s="11" t="s">
        <v>815</v>
      </c>
      <c r="GF114" s="2">
        <v>2</v>
      </c>
      <c r="GG114" s="2">
        <v>1</v>
      </c>
      <c r="GH114" s="2">
        <v>3</v>
      </c>
      <c r="GI114" s="2">
        <v>2</v>
      </c>
      <c r="GJ114" s="2">
        <v>2</v>
      </c>
      <c r="GK114" s="11" t="s">
        <v>815</v>
      </c>
      <c r="GL114" s="11" t="s">
        <v>815</v>
      </c>
      <c r="GM114" s="11" t="s">
        <v>815</v>
      </c>
      <c r="GN114" s="3">
        <v>4</v>
      </c>
      <c r="GO114" s="3">
        <v>4</v>
      </c>
      <c r="GP114" s="3">
        <v>2</v>
      </c>
      <c r="GQ114" s="3">
        <v>4</v>
      </c>
      <c r="GR114" s="3">
        <v>4</v>
      </c>
      <c r="GS114" s="3">
        <v>2</v>
      </c>
      <c r="GT114" s="3">
        <v>4</v>
      </c>
      <c r="GU114" s="3">
        <v>2</v>
      </c>
      <c r="GV114" s="3">
        <v>4</v>
      </c>
      <c r="GW114" s="3">
        <v>1</v>
      </c>
      <c r="GX114" s="3">
        <v>1</v>
      </c>
      <c r="GY114" s="3">
        <v>2</v>
      </c>
      <c r="GZ114" s="3">
        <v>4</v>
      </c>
      <c r="HA114" s="3">
        <v>1</v>
      </c>
      <c r="HB114" s="3">
        <v>1</v>
      </c>
      <c r="HC114" s="3">
        <v>2</v>
      </c>
      <c r="HD114" s="12" t="s">
        <v>815</v>
      </c>
      <c r="HE114" s="12" t="s">
        <v>815</v>
      </c>
      <c r="HF114" s="3">
        <v>3</v>
      </c>
      <c r="HG114" s="12" t="s">
        <v>815</v>
      </c>
      <c r="HH114" s="3">
        <v>3</v>
      </c>
      <c r="HI114" s="12" t="s">
        <v>815</v>
      </c>
      <c r="HJ114" s="3">
        <v>1</v>
      </c>
      <c r="HK114" s="3">
        <v>3</v>
      </c>
      <c r="HL114" s="12" t="s">
        <v>815</v>
      </c>
      <c r="HM114" s="3">
        <v>1</v>
      </c>
      <c r="HN114" s="12" t="s">
        <v>815</v>
      </c>
      <c r="HO114" s="3">
        <v>4</v>
      </c>
      <c r="HP114" s="12" t="s">
        <v>815</v>
      </c>
      <c r="HQ114" s="3">
        <v>4</v>
      </c>
      <c r="HR114" s="12" t="s">
        <v>815</v>
      </c>
      <c r="HS114" s="12" t="s">
        <v>815</v>
      </c>
      <c r="HT114" s="12" t="s">
        <v>815</v>
      </c>
      <c r="HU114" s="12" t="s">
        <v>815</v>
      </c>
      <c r="HV114" s="3">
        <v>3</v>
      </c>
      <c r="HW114" s="3">
        <v>1</v>
      </c>
      <c r="HX114" s="3">
        <v>3</v>
      </c>
      <c r="HY114" s="3">
        <v>1</v>
      </c>
      <c r="HZ114" s="3">
        <v>3</v>
      </c>
      <c r="IA114" s="3">
        <v>4</v>
      </c>
      <c r="IB114" s="3">
        <v>2</v>
      </c>
      <c r="IC114" s="3">
        <v>1</v>
      </c>
      <c r="ID114" s="3">
        <v>4</v>
      </c>
      <c r="IE114" s="12" t="s">
        <v>815</v>
      </c>
      <c r="IF114" s="3">
        <v>4</v>
      </c>
      <c r="IG114" s="3">
        <v>2</v>
      </c>
      <c r="IH114" s="3">
        <v>2</v>
      </c>
      <c r="II114" s="3">
        <v>1</v>
      </c>
      <c r="IJ114" s="3">
        <v>3</v>
      </c>
      <c r="IK114" s="3">
        <v>1</v>
      </c>
      <c r="IL114" s="12" t="s">
        <v>815</v>
      </c>
      <c r="IM114" s="3">
        <v>1</v>
      </c>
      <c r="IN114" s="12" t="s">
        <v>815</v>
      </c>
      <c r="IO114" s="12" t="s">
        <v>815</v>
      </c>
      <c r="IP114" s="12" t="s">
        <v>815</v>
      </c>
      <c r="IQ114" s="3">
        <v>3</v>
      </c>
      <c r="IR114" s="3" t="s">
        <v>887</v>
      </c>
      <c r="IS114" s="3">
        <v>2</v>
      </c>
      <c r="IT114" s="3">
        <v>4</v>
      </c>
      <c r="IU114" s="3">
        <v>2</v>
      </c>
      <c r="IV114" s="3">
        <v>3</v>
      </c>
      <c r="IW114" s="3">
        <v>4</v>
      </c>
      <c r="IX114" s="3">
        <v>1</v>
      </c>
      <c r="IY114" s="12" t="s">
        <v>815</v>
      </c>
      <c r="IZ114" s="2" t="s">
        <v>816</v>
      </c>
    </row>
    <row r="115" spans="1:260" ht="13.2" x14ac:dyDescent="0.25">
      <c r="A115" s="10" t="s">
        <v>274</v>
      </c>
      <c r="B115" s="2" t="s">
        <v>888</v>
      </c>
      <c r="C115" s="2" t="s">
        <v>261</v>
      </c>
      <c r="D115" s="2" t="s">
        <v>270</v>
      </c>
      <c r="E115" s="2">
        <v>23</v>
      </c>
      <c r="F115" s="11" t="s">
        <v>889</v>
      </c>
      <c r="G115" s="11" t="s">
        <v>883</v>
      </c>
      <c r="H115" s="2" t="s">
        <v>890</v>
      </c>
      <c r="I115" s="3">
        <v>4</v>
      </c>
      <c r="J115" s="3">
        <v>4</v>
      </c>
      <c r="K115" s="3">
        <v>2</v>
      </c>
      <c r="L115" s="3">
        <v>3</v>
      </c>
      <c r="M115" s="3">
        <v>3</v>
      </c>
      <c r="N115" s="3">
        <v>3</v>
      </c>
      <c r="O115" s="3">
        <v>2</v>
      </c>
      <c r="P115" s="3">
        <v>1</v>
      </c>
      <c r="Q115" s="3">
        <v>1</v>
      </c>
      <c r="R115" s="3">
        <v>3</v>
      </c>
      <c r="S115" s="12" t="s">
        <v>815</v>
      </c>
      <c r="T115" s="12" t="s">
        <v>815</v>
      </c>
      <c r="U115" s="3">
        <v>2</v>
      </c>
      <c r="V115" s="3">
        <v>1</v>
      </c>
      <c r="W115" s="3">
        <v>1</v>
      </c>
      <c r="X115" s="3">
        <v>1</v>
      </c>
      <c r="Y115" s="3">
        <v>3</v>
      </c>
      <c r="Z115" s="3">
        <v>3</v>
      </c>
      <c r="AA115" s="3">
        <v>4</v>
      </c>
      <c r="AB115" s="3">
        <v>4</v>
      </c>
      <c r="AC115" s="3">
        <v>4</v>
      </c>
      <c r="AD115" s="3">
        <v>4</v>
      </c>
      <c r="AE115" s="3">
        <v>3</v>
      </c>
      <c r="AF115" s="12" t="s">
        <v>815</v>
      </c>
      <c r="AG115" s="12" t="s">
        <v>815</v>
      </c>
      <c r="AH115" s="12" t="s">
        <v>815</v>
      </c>
      <c r="AI115" s="3">
        <v>2</v>
      </c>
      <c r="AJ115" s="3">
        <v>3</v>
      </c>
      <c r="AK115" s="3">
        <v>3</v>
      </c>
      <c r="AL115" s="3">
        <v>4</v>
      </c>
      <c r="AM115" s="12" t="s">
        <v>815</v>
      </c>
      <c r="AN115" s="3">
        <v>3</v>
      </c>
      <c r="AO115" s="3">
        <v>2</v>
      </c>
      <c r="AP115" s="3">
        <v>3</v>
      </c>
      <c r="AQ115" s="12" t="s">
        <v>815</v>
      </c>
      <c r="AR115" s="3">
        <v>3</v>
      </c>
      <c r="AS115" s="3">
        <v>2</v>
      </c>
      <c r="AT115" s="3">
        <v>3</v>
      </c>
      <c r="AU115" s="3">
        <v>4</v>
      </c>
      <c r="AV115" s="3">
        <v>3</v>
      </c>
      <c r="AW115" s="3">
        <v>2</v>
      </c>
      <c r="AX115" s="12" t="s">
        <v>815</v>
      </c>
      <c r="AY115" s="3">
        <v>1</v>
      </c>
      <c r="AZ115" s="3">
        <v>2</v>
      </c>
      <c r="BA115" s="12" t="s">
        <v>815</v>
      </c>
      <c r="BB115" s="12" t="s">
        <v>815</v>
      </c>
      <c r="BC115" s="12" t="s">
        <v>815</v>
      </c>
      <c r="BD115" s="12" t="s">
        <v>815</v>
      </c>
      <c r="BE115" s="3">
        <v>3</v>
      </c>
      <c r="BF115" s="3">
        <v>3</v>
      </c>
      <c r="BG115" s="3">
        <v>4</v>
      </c>
      <c r="BH115" s="3">
        <v>4</v>
      </c>
      <c r="BI115" s="3">
        <v>3</v>
      </c>
      <c r="BJ115" s="12" t="s">
        <v>815</v>
      </c>
      <c r="BK115" s="12" t="s">
        <v>815</v>
      </c>
      <c r="BL115" s="12" t="s">
        <v>815</v>
      </c>
      <c r="BM115" s="3" t="s">
        <v>891</v>
      </c>
      <c r="BN115" s="3">
        <v>4</v>
      </c>
      <c r="BO115" s="3">
        <v>4</v>
      </c>
      <c r="BP115" s="3">
        <v>4</v>
      </c>
      <c r="BQ115" s="3">
        <v>3</v>
      </c>
      <c r="BR115" s="3">
        <v>3</v>
      </c>
      <c r="BS115" s="3">
        <v>2</v>
      </c>
      <c r="BT115" s="3">
        <v>3</v>
      </c>
      <c r="BU115" s="2">
        <v>3</v>
      </c>
      <c r="BV115" s="11" t="s">
        <v>815</v>
      </c>
      <c r="BW115" s="2">
        <v>4</v>
      </c>
      <c r="BX115" s="2">
        <v>3</v>
      </c>
      <c r="BY115" s="11" t="s">
        <v>815</v>
      </c>
      <c r="BZ115" s="11" t="s">
        <v>815</v>
      </c>
      <c r="CA115" s="11" t="s">
        <v>815</v>
      </c>
      <c r="CB115" s="2">
        <v>1</v>
      </c>
      <c r="CC115" s="2">
        <v>1</v>
      </c>
      <c r="CD115" s="2">
        <v>1</v>
      </c>
      <c r="CE115" s="11" t="s">
        <v>815</v>
      </c>
      <c r="CF115" s="11" t="s">
        <v>815</v>
      </c>
      <c r="CG115" s="11" t="s">
        <v>815</v>
      </c>
      <c r="CH115" s="11" t="s">
        <v>815</v>
      </c>
      <c r="CI115" s="2">
        <v>3</v>
      </c>
      <c r="CJ115" s="2">
        <v>1</v>
      </c>
      <c r="CK115" s="11" t="s">
        <v>815</v>
      </c>
      <c r="CL115" s="2">
        <v>1</v>
      </c>
      <c r="CM115" s="2">
        <v>2</v>
      </c>
      <c r="CN115" s="11" t="s">
        <v>815</v>
      </c>
      <c r="CO115" s="11" t="s">
        <v>815</v>
      </c>
      <c r="CP115" s="11" t="s">
        <v>815</v>
      </c>
      <c r="CQ115" s="2">
        <v>2</v>
      </c>
      <c r="CR115" s="2">
        <v>1</v>
      </c>
      <c r="CS115" s="11" t="s">
        <v>815</v>
      </c>
      <c r="CT115" s="11" t="s">
        <v>815</v>
      </c>
      <c r="CU115" s="11" t="s">
        <v>815</v>
      </c>
      <c r="CV115" s="2">
        <v>2</v>
      </c>
      <c r="CW115" s="2">
        <v>3</v>
      </c>
      <c r="CX115" s="11" t="s">
        <v>815</v>
      </c>
      <c r="CY115" s="11" t="s">
        <v>815</v>
      </c>
      <c r="CZ115" s="2">
        <v>4</v>
      </c>
      <c r="DA115" s="2">
        <v>4</v>
      </c>
      <c r="DB115" s="2">
        <v>4</v>
      </c>
      <c r="DC115" s="11" t="s">
        <v>815</v>
      </c>
      <c r="DD115" s="11" t="s">
        <v>815</v>
      </c>
      <c r="DE115" s="2">
        <v>1</v>
      </c>
      <c r="DF115" s="2">
        <v>2</v>
      </c>
      <c r="DG115" s="11" t="s">
        <v>815</v>
      </c>
      <c r="DH115" s="2">
        <v>3</v>
      </c>
      <c r="DI115" s="2">
        <v>3</v>
      </c>
      <c r="DJ115" s="11" t="s">
        <v>815</v>
      </c>
      <c r="DK115" s="11" t="s">
        <v>815</v>
      </c>
      <c r="DL115" s="2">
        <v>2</v>
      </c>
      <c r="DM115" s="2">
        <v>3</v>
      </c>
      <c r="DN115" s="11" t="s">
        <v>815</v>
      </c>
      <c r="DO115" s="2">
        <v>2</v>
      </c>
      <c r="DP115" s="2">
        <v>2</v>
      </c>
      <c r="DQ115" s="2">
        <v>3</v>
      </c>
      <c r="DR115" s="11" t="s">
        <v>815</v>
      </c>
      <c r="DS115" s="2">
        <v>3</v>
      </c>
      <c r="DT115" s="2">
        <v>3</v>
      </c>
      <c r="DU115" s="11" t="s">
        <v>815</v>
      </c>
      <c r="DV115" s="11" t="s">
        <v>815</v>
      </c>
      <c r="DW115" s="11" t="s">
        <v>815</v>
      </c>
      <c r="DX115" s="2">
        <v>4</v>
      </c>
      <c r="DY115" s="2">
        <v>2</v>
      </c>
      <c r="DZ115" s="2">
        <v>1</v>
      </c>
      <c r="EA115" s="11" t="s">
        <v>815</v>
      </c>
      <c r="EB115" s="11" t="s">
        <v>815</v>
      </c>
      <c r="EC115" s="11" t="s">
        <v>815</v>
      </c>
      <c r="ED115" s="11" t="s">
        <v>815</v>
      </c>
      <c r="EE115" s="11" t="s">
        <v>815</v>
      </c>
      <c r="EF115" s="11" t="s">
        <v>815</v>
      </c>
      <c r="EG115" s="11" t="s">
        <v>815</v>
      </c>
      <c r="EH115" s="11" t="s">
        <v>815</v>
      </c>
      <c r="EI115" s="2">
        <v>3</v>
      </c>
      <c r="EJ115" s="2">
        <v>3</v>
      </c>
      <c r="EK115" s="11" t="s">
        <v>815</v>
      </c>
      <c r="EL115" s="2">
        <v>1</v>
      </c>
      <c r="EM115" s="11" t="s">
        <v>815</v>
      </c>
      <c r="EN115" s="11" t="s">
        <v>815</v>
      </c>
      <c r="EO115" s="11" t="s">
        <v>815</v>
      </c>
      <c r="EP115" s="11" t="s">
        <v>815</v>
      </c>
      <c r="EQ115" s="2">
        <v>4</v>
      </c>
      <c r="ER115" s="11" t="s">
        <v>815</v>
      </c>
      <c r="ES115" s="2">
        <v>4</v>
      </c>
      <c r="ET115" s="2">
        <v>2</v>
      </c>
      <c r="EU115" s="2">
        <v>2</v>
      </c>
      <c r="EV115" s="2">
        <v>1</v>
      </c>
      <c r="EW115" s="2">
        <v>1</v>
      </c>
      <c r="EX115" s="2">
        <v>3</v>
      </c>
      <c r="EY115" s="11" t="s">
        <v>815</v>
      </c>
      <c r="EZ115" s="11" t="s">
        <v>815</v>
      </c>
      <c r="FA115" s="11" t="s">
        <v>815</v>
      </c>
      <c r="FB115" s="11" t="s">
        <v>815</v>
      </c>
      <c r="FC115" s="2">
        <v>2</v>
      </c>
      <c r="FD115" s="11" t="s">
        <v>815</v>
      </c>
      <c r="FE115" s="2">
        <v>2</v>
      </c>
      <c r="FF115" s="2">
        <v>3</v>
      </c>
      <c r="FG115" s="2">
        <v>3</v>
      </c>
      <c r="FH115" s="11" t="s">
        <v>815</v>
      </c>
      <c r="FI115" s="2">
        <v>2</v>
      </c>
      <c r="FJ115" s="2">
        <v>1</v>
      </c>
      <c r="FK115" s="11" t="s">
        <v>815</v>
      </c>
      <c r="FL115" s="2">
        <v>1</v>
      </c>
      <c r="FM115" s="2">
        <v>1</v>
      </c>
      <c r="FN115" s="11" t="s">
        <v>815</v>
      </c>
      <c r="FO115" s="11" t="s">
        <v>815</v>
      </c>
      <c r="FP115" s="11" t="s">
        <v>815</v>
      </c>
      <c r="FQ115" s="11" t="s">
        <v>815</v>
      </c>
      <c r="FR115" s="2">
        <v>4</v>
      </c>
      <c r="FS115" s="11" t="s">
        <v>815</v>
      </c>
      <c r="FT115" s="11" t="s">
        <v>815</v>
      </c>
      <c r="FU115" s="2">
        <v>2</v>
      </c>
      <c r="FV115" s="2">
        <v>2</v>
      </c>
      <c r="FW115" s="11" t="s">
        <v>815</v>
      </c>
      <c r="FX115" s="2">
        <v>2</v>
      </c>
      <c r="FY115" s="11" t="s">
        <v>815</v>
      </c>
      <c r="FZ115" s="11" t="s">
        <v>815</v>
      </c>
      <c r="GA115" s="11" t="s">
        <v>815</v>
      </c>
      <c r="GB115" s="11" t="s">
        <v>815</v>
      </c>
      <c r="GC115" s="2" t="s">
        <v>892</v>
      </c>
      <c r="GD115" s="2">
        <v>1</v>
      </c>
      <c r="GE115" s="2">
        <v>3</v>
      </c>
      <c r="GF115" s="2">
        <v>2</v>
      </c>
      <c r="GG115" s="11" t="s">
        <v>815</v>
      </c>
      <c r="GH115" s="2">
        <v>4</v>
      </c>
      <c r="GI115" s="2">
        <v>2</v>
      </c>
      <c r="GJ115" s="2">
        <v>1</v>
      </c>
      <c r="GK115" s="11" t="s">
        <v>815</v>
      </c>
      <c r="GL115" s="11" t="s">
        <v>815</v>
      </c>
      <c r="GM115" s="11" t="s">
        <v>815</v>
      </c>
      <c r="GN115" s="3">
        <v>3</v>
      </c>
      <c r="GO115" s="3">
        <v>2</v>
      </c>
      <c r="GP115" s="3">
        <v>3</v>
      </c>
      <c r="GQ115" s="3">
        <v>2</v>
      </c>
      <c r="GR115" s="3">
        <v>1</v>
      </c>
      <c r="GS115" s="3">
        <v>1</v>
      </c>
      <c r="GT115" s="3">
        <v>3</v>
      </c>
      <c r="GU115" s="3">
        <v>2</v>
      </c>
      <c r="GV115" s="3">
        <v>2</v>
      </c>
      <c r="GW115" s="3">
        <v>2</v>
      </c>
      <c r="GX115" s="3">
        <v>3</v>
      </c>
      <c r="GY115" s="3">
        <v>2</v>
      </c>
      <c r="GZ115" s="3">
        <v>3</v>
      </c>
      <c r="HA115" s="3">
        <v>3</v>
      </c>
      <c r="HB115" s="12" t="s">
        <v>815</v>
      </c>
      <c r="HC115" s="3">
        <v>1</v>
      </c>
      <c r="HD115" s="3">
        <v>1</v>
      </c>
      <c r="HE115" s="12" t="s">
        <v>815</v>
      </c>
      <c r="HF115" s="3">
        <v>2</v>
      </c>
      <c r="HG115" s="12" t="s">
        <v>815</v>
      </c>
      <c r="HH115" s="3">
        <v>2</v>
      </c>
      <c r="HI115" s="12" t="s">
        <v>815</v>
      </c>
      <c r="HJ115" s="12" t="s">
        <v>815</v>
      </c>
      <c r="HK115" s="3">
        <v>2</v>
      </c>
      <c r="HL115" s="12" t="s">
        <v>815</v>
      </c>
      <c r="HM115" s="3">
        <v>3</v>
      </c>
      <c r="HN115" s="12" t="s">
        <v>815</v>
      </c>
      <c r="HO115" s="3">
        <v>3</v>
      </c>
      <c r="HP115" s="3">
        <v>2</v>
      </c>
      <c r="HQ115" s="3">
        <v>3</v>
      </c>
      <c r="HR115" s="12" t="s">
        <v>815</v>
      </c>
      <c r="HS115" s="12" t="s">
        <v>815</v>
      </c>
      <c r="HT115" s="12" t="s">
        <v>815</v>
      </c>
      <c r="HU115" s="12" t="s">
        <v>815</v>
      </c>
      <c r="HV115" s="3">
        <v>1</v>
      </c>
      <c r="HW115" s="3">
        <v>3</v>
      </c>
      <c r="HX115" s="12" t="s">
        <v>815</v>
      </c>
      <c r="HY115" s="12" t="s">
        <v>815</v>
      </c>
      <c r="HZ115" s="3">
        <v>1</v>
      </c>
      <c r="IA115" s="3">
        <v>3</v>
      </c>
      <c r="IB115" s="3">
        <v>2</v>
      </c>
      <c r="IC115" s="12" t="s">
        <v>815</v>
      </c>
      <c r="ID115" s="3">
        <v>3</v>
      </c>
      <c r="IE115" s="12" t="s">
        <v>815</v>
      </c>
      <c r="IF115" s="3">
        <v>2</v>
      </c>
      <c r="IG115" s="3">
        <v>2</v>
      </c>
      <c r="IH115" s="12" t="s">
        <v>815</v>
      </c>
      <c r="II115" s="3">
        <v>1</v>
      </c>
      <c r="IJ115" s="3">
        <v>2</v>
      </c>
      <c r="IK115" s="3">
        <v>3</v>
      </c>
      <c r="IL115" s="3">
        <v>4</v>
      </c>
      <c r="IM115" s="3">
        <v>1</v>
      </c>
      <c r="IN115" s="12" t="s">
        <v>815</v>
      </c>
      <c r="IO115" s="3">
        <v>3</v>
      </c>
      <c r="IP115" s="3">
        <v>3</v>
      </c>
      <c r="IQ115" s="12" t="s">
        <v>815</v>
      </c>
      <c r="IR115" s="3" t="s">
        <v>893</v>
      </c>
      <c r="IS115" s="3">
        <v>1</v>
      </c>
      <c r="IT115" s="3">
        <v>4</v>
      </c>
      <c r="IU115" s="3">
        <v>2</v>
      </c>
      <c r="IV115" s="3">
        <v>3</v>
      </c>
      <c r="IW115" s="3">
        <v>3</v>
      </c>
      <c r="IX115" s="3">
        <v>3</v>
      </c>
      <c r="IY115" s="3">
        <v>4</v>
      </c>
      <c r="IZ115" s="2" t="s">
        <v>816</v>
      </c>
    </row>
    <row r="116" spans="1:260" ht="13.2" x14ac:dyDescent="0.25">
      <c r="A116" s="10" t="s">
        <v>274</v>
      </c>
      <c r="B116" s="2" t="s">
        <v>894</v>
      </c>
      <c r="C116" s="2" t="s">
        <v>261</v>
      </c>
      <c r="D116" s="2" t="s">
        <v>270</v>
      </c>
      <c r="E116" s="2">
        <v>23</v>
      </c>
      <c r="F116" s="11" t="s">
        <v>277</v>
      </c>
      <c r="G116" s="11" t="s">
        <v>895</v>
      </c>
      <c r="H116" s="2" t="s">
        <v>896</v>
      </c>
      <c r="I116" s="3">
        <v>3</v>
      </c>
      <c r="J116" s="3">
        <v>3</v>
      </c>
      <c r="K116" s="3">
        <v>4</v>
      </c>
      <c r="L116" s="3">
        <v>2</v>
      </c>
      <c r="M116" s="3">
        <v>2</v>
      </c>
      <c r="N116" s="3">
        <v>3</v>
      </c>
      <c r="O116" s="3">
        <v>2</v>
      </c>
      <c r="P116" s="3">
        <v>1</v>
      </c>
      <c r="Q116" s="3">
        <v>1</v>
      </c>
      <c r="R116" s="3">
        <v>4</v>
      </c>
      <c r="S116" s="3">
        <v>3</v>
      </c>
      <c r="T116" s="3">
        <v>4</v>
      </c>
      <c r="U116" s="12" t="s">
        <v>815</v>
      </c>
      <c r="V116" s="12" t="s">
        <v>815</v>
      </c>
      <c r="W116" s="3">
        <v>2</v>
      </c>
      <c r="X116" s="12" t="s">
        <v>815</v>
      </c>
      <c r="Y116" s="3">
        <v>2</v>
      </c>
      <c r="Z116" s="12" t="s">
        <v>815</v>
      </c>
      <c r="AA116" s="3">
        <v>4</v>
      </c>
      <c r="AB116" s="3">
        <v>3</v>
      </c>
      <c r="AC116" s="3">
        <v>3</v>
      </c>
      <c r="AD116" s="12" t="s">
        <v>815</v>
      </c>
      <c r="AE116" s="12" t="s">
        <v>815</v>
      </c>
      <c r="AF116" s="12" t="s">
        <v>815</v>
      </c>
      <c r="AG116" s="3">
        <v>3</v>
      </c>
      <c r="AH116" s="3">
        <v>3</v>
      </c>
      <c r="AI116" s="3">
        <v>3</v>
      </c>
      <c r="AJ116" s="12" t="s">
        <v>815</v>
      </c>
      <c r="AK116" s="3">
        <v>3</v>
      </c>
      <c r="AL116" s="12" t="s">
        <v>815</v>
      </c>
      <c r="AM116" s="3">
        <v>4</v>
      </c>
      <c r="AN116" s="12" t="s">
        <v>815</v>
      </c>
      <c r="AO116" s="3">
        <v>2</v>
      </c>
      <c r="AP116" s="3">
        <v>2</v>
      </c>
      <c r="AQ116" s="3">
        <v>2</v>
      </c>
      <c r="AR116" s="3">
        <v>3</v>
      </c>
      <c r="AS116" s="3">
        <v>2</v>
      </c>
      <c r="AT116" s="12" t="s">
        <v>815</v>
      </c>
      <c r="AU116" s="3">
        <v>4</v>
      </c>
      <c r="AV116" s="3">
        <v>4</v>
      </c>
      <c r="AW116" s="12" t="s">
        <v>815</v>
      </c>
      <c r="AX116" s="12" t="s">
        <v>815</v>
      </c>
      <c r="AY116" s="12" t="s">
        <v>815</v>
      </c>
      <c r="AZ116" s="12" t="s">
        <v>815</v>
      </c>
      <c r="BA116" s="12" t="s">
        <v>815</v>
      </c>
      <c r="BB116" s="3">
        <v>1</v>
      </c>
      <c r="BC116" s="12" t="s">
        <v>815</v>
      </c>
      <c r="BD116" s="3">
        <v>2</v>
      </c>
      <c r="BE116" s="12" t="s">
        <v>815</v>
      </c>
      <c r="BF116" s="12" t="s">
        <v>815</v>
      </c>
      <c r="BG116" s="12" t="s">
        <v>815</v>
      </c>
      <c r="BH116" s="12" t="s">
        <v>815</v>
      </c>
      <c r="BI116" s="12" t="s">
        <v>815</v>
      </c>
      <c r="BJ116" s="12" t="s">
        <v>815</v>
      </c>
      <c r="BK116" s="12" t="s">
        <v>815</v>
      </c>
      <c r="BL116" s="12" t="s">
        <v>815</v>
      </c>
      <c r="BM116" s="3" t="s">
        <v>897</v>
      </c>
      <c r="BN116" s="3">
        <v>3</v>
      </c>
      <c r="BO116" s="3">
        <v>1</v>
      </c>
      <c r="BP116" s="3">
        <v>2</v>
      </c>
      <c r="BQ116" s="3">
        <v>2</v>
      </c>
      <c r="BR116" s="3">
        <v>2</v>
      </c>
      <c r="BS116" s="3">
        <v>2</v>
      </c>
      <c r="BT116" s="3">
        <v>2</v>
      </c>
      <c r="BU116" s="2">
        <v>4</v>
      </c>
      <c r="BV116" s="2">
        <v>3</v>
      </c>
      <c r="BW116" s="2">
        <v>4</v>
      </c>
      <c r="BX116" s="2">
        <v>3</v>
      </c>
      <c r="BY116" s="2">
        <v>3</v>
      </c>
      <c r="BZ116" s="11" t="s">
        <v>815</v>
      </c>
      <c r="CA116" s="2">
        <v>4</v>
      </c>
      <c r="CB116" s="2">
        <v>4</v>
      </c>
      <c r="CC116" s="2">
        <v>2</v>
      </c>
      <c r="CD116" s="11" t="s">
        <v>815</v>
      </c>
      <c r="CE116" s="11" t="s">
        <v>815</v>
      </c>
      <c r="CF116" s="2">
        <v>3</v>
      </c>
      <c r="CG116" s="2">
        <v>2</v>
      </c>
      <c r="CH116" s="11" t="s">
        <v>815</v>
      </c>
      <c r="CI116" s="2">
        <v>2</v>
      </c>
      <c r="CJ116" s="11" t="s">
        <v>815</v>
      </c>
      <c r="CK116" s="11" t="s">
        <v>815</v>
      </c>
      <c r="CL116" s="2">
        <v>2</v>
      </c>
      <c r="CM116" s="11" t="s">
        <v>815</v>
      </c>
      <c r="CN116" s="11" t="s">
        <v>815</v>
      </c>
      <c r="CO116" s="2">
        <v>2</v>
      </c>
      <c r="CP116" s="2">
        <v>2</v>
      </c>
      <c r="CQ116" s="2">
        <v>3</v>
      </c>
      <c r="CR116" s="2">
        <v>2</v>
      </c>
      <c r="CS116" s="2">
        <v>2</v>
      </c>
      <c r="CT116" s="2">
        <v>2</v>
      </c>
      <c r="CU116" s="2">
        <v>2</v>
      </c>
      <c r="CV116" s="2">
        <v>4</v>
      </c>
      <c r="CW116" s="2">
        <v>3</v>
      </c>
      <c r="CX116" s="2">
        <v>3</v>
      </c>
      <c r="CY116" s="2">
        <v>2</v>
      </c>
      <c r="CZ116" s="2">
        <v>1</v>
      </c>
      <c r="DA116" s="2">
        <v>1</v>
      </c>
      <c r="DB116" s="11" t="s">
        <v>815</v>
      </c>
      <c r="DC116" s="11" t="s">
        <v>815</v>
      </c>
      <c r="DD116" s="2">
        <v>1</v>
      </c>
      <c r="DE116" s="2">
        <v>2</v>
      </c>
      <c r="DF116" s="2">
        <v>2</v>
      </c>
      <c r="DG116" s="2">
        <v>3</v>
      </c>
      <c r="DH116" s="2">
        <v>3</v>
      </c>
      <c r="DI116" s="2">
        <v>3</v>
      </c>
      <c r="DJ116" s="2">
        <v>2</v>
      </c>
      <c r="DK116" s="2">
        <v>2</v>
      </c>
      <c r="DL116" s="2">
        <v>2</v>
      </c>
      <c r="DM116" s="2">
        <v>3</v>
      </c>
      <c r="DN116" s="2">
        <v>1</v>
      </c>
      <c r="DO116" s="11" t="s">
        <v>815</v>
      </c>
      <c r="DP116" s="2">
        <v>2</v>
      </c>
      <c r="DQ116" s="2">
        <v>1</v>
      </c>
      <c r="DR116" s="2">
        <v>2</v>
      </c>
      <c r="DS116" s="2">
        <v>4</v>
      </c>
      <c r="DT116" s="2">
        <v>4</v>
      </c>
      <c r="DU116" s="2">
        <v>2</v>
      </c>
      <c r="DV116" s="2">
        <v>3</v>
      </c>
      <c r="DW116" s="2">
        <v>4</v>
      </c>
      <c r="DX116" s="2">
        <v>2</v>
      </c>
      <c r="DY116" s="2">
        <v>2</v>
      </c>
      <c r="DZ116" s="2">
        <v>2</v>
      </c>
      <c r="EA116" s="2">
        <v>2</v>
      </c>
      <c r="EB116" s="2">
        <v>2</v>
      </c>
      <c r="EC116" s="2">
        <v>2</v>
      </c>
      <c r="ED116" s="11" t="s">
        <v>815</v>
      </c>
      <c r="EE116" s="11" t="s">
        <v>815</v>
      </c>
      <c r="EF116" s="11" t="s">
        <v>815</v>
      </c>
      <c r="EG116" s="11" t="s">
        <v>815</v>
      </c>
      <c r="EH116" s="11" t="s">
        <v>815</v>
      </c>
      <c r="EI116" s="2">
        <v>1</v>
      </c>
      <c r="EJ116" s="2">
        <v>2</v>
      </c>
      <c r="EK116" s="2">
        <v>2</v>
      </c>
      <c r="EL116" s="2">
        <v>2</v>
      </c>
      <c r="EM116" s="2">
        <v>2</v>
      </c>
      <c r="EN116" s="2">
        <v>3</v>
      </c>
      <c r="EO116" s="2">
        <v>4</v>
      </c>
      <c r="EP116" s="2">
        <v>4</v>
      </c>
      <c r="EQ116" s="11" t="s">
        <v>815</v>
      </c>
      <c r="ER116" s="11" t="s">
        <v>815</v>
      </c>
      <c r="ES116" s="11" t="s">
        <v>815</v>
      </c>
      <c r="ET116" s="11" t="s">
        <v>815</v>
      </c>
      <c r="EU116" s="2">
        <v>2</v>
      </c>
      <c r="EV116" s="2">
        <v>2</v>
      </c>
      <c r="EW116" s="2">
        <v>2</v>
      </c>
      <c r="EX116" s="2">
        <v>2</v>
      </c>
      <c r="EY116" s="2">
        <v>2</v>
      </c>
      <c r="EZ116" s="11" t="s">
        <v>815</v>
      </c>
      <c r="FA116" s="2">
        <v>4</v>
      </c>
      <c r="FB116" s="2">
        <v>4</v>
      </c>
      <c r="FC116" s="2">
        <v>4</v>
      </c>
      <c r="FD116" s="2">
        <v>4</v>
      </c>
      <c r="FE116" s="2">
        <v>2</v>
      </c>
      <c r="FF116" s="2">
        <v>4</v>
      </c>
      <c r="FG116" s="2">
        <v>3</v>
      </c>
      <c r="FH116" s="2">
        <v>3</v>
      </c>
      <c r="FI116" s="2">
        <v>3</v>
      </c>
      <c r="FJ116" s="2">
        <v>3</v>
      </c>
      <c r="FK116" s="11" t="s">
        <v>815</v>
      </c>
      <c r="FL116" s="11" t="s">
        <v>815</v>
      </c>
      <c r="FM116" s="11" t="s">
        <v>815</v>
      </c>
      <c r="FN116" s="11" t="s">
        <v>815</v>
      </c>
      <c r="FO116" s="11" t="s">
        <v>815</v>
      </c>
      <c r="FP116" s="11" t="s">
        <v>815</v>
      </c>
      <c r="FQ116" s="11" t="s">
        <v>815</v>
      </c>
      <c r="FR116" s="2">
        <v>1</v>
      </c>
      <c r="FS116" s="2">
        <v>1</v>
      </c>
      <c r="FT116" s="2">
        <v>1</v>
      </c>
      <c r="FU116" s="2">
        <v>1</v>
      </c>
      <c r="FV116" s="2">
        <v>4</v>
      </c>
      <c r="FW116" s="2">
        <v>4</v>
      </c>
      <c r="FX116" s="2">
        <v>4</v>
      </c>
      <c r="FY116" s="2">
        <v>4</v>
      </c>
      <c r="FZ116" s="2">
        <v>4</v>
      </c>
      <c r="GA116" s="2">
        <v>4</v>
      </c>
      <c r="GB116" s="2">
        <v>2</v>
      </c>
      <c r="GC116" s="2" t="s">
        <v>898</v>
      </c>
      <c r="GD116" s="2">
        <v>4</v>
      </c>
      <c r="GE116" s="2">
        <v>2</v>
      </c>
      <c r="GF116" s="2">
        <v>2</v>
      </c>
      <c r="GG116" s="2">
        <v>4</v>
      </c>
      <c r="GH116" s="2">
        <v>3</v>
      </c>
      <c r="GI116" s="2">
        <v>4</v>
      </c>
      <c r="GJ116" s="2">
        <v>4</v>
      </c>
      <c r="GK116" s="2">
        <v>4</v>
      </c>
      <c r="GL116" s="2">
        <v>4</v>
      </c>
      <c r="GM116" s="2">
        <v>4</v>
      </c>
      <c r="GN116" s="3">
        <v>4</v>
      </c>
      <c r="GO116" s="3">
        <v>1</v>
      </c>
      <c r="GP116" s="12" t="s">
        <v>815</v>
      </c>
      <c r="GQ116" s="3">
        <v>4</v>
      </c>
      <c r="GR116" s="12" t="s">
        <v>815</v>
      </c>
      <c r="GS116" s="3">
        <v>2</v>
      </c>
      <c r="GT116" s="3">
        <v>3</v>
      </c>
      <c r="GU116" s="12" t="s">
        <v>815</v>
      </c>
      <c r="GV116" s="3">
        <v>1</v>
      </c>
      <c r="GW116" s="12" t="s">
        <v>815</v>
      </c>
      <c r="GX116" s="12" t="s">
        <v>815</v>
      </c>
      <c r="GY116" s="3">
        <v>2</v>
      </c>
      <c r="GZ116" s="12" t="s">
        <v>815</v>
      </c>
      <c r="HA116" s="12" t="s">
        <v>815</v>
      </c>
      <c r="HB116" s="12" t="s">
        <v>815</v>
      </c>
      <c r="HC116" s="3">
        <v>2</v>
      </c>
      <c r="HD116" s="12" t="s">
        <v>815</v>
      </c>
      <c r="HE116" s="3">
        <v>2</v>
      </c>
      <c r="HF116" s="3">
        <v>2</v>
      </c>
      <c r="HG116" s="12" t="s">
        <v>815</v>
      </c>
      <c r="HH116" s="3">
        <v>4</v>
      </c>
      <c r="HI116" s="3">
        <v>2</v>
      </c>
      <c r="HJ116" s="12" t="s">
        <v>815</v>
      </c>
      <c r="HK116" s="3">
        <v>3</v>
      </c>
      <c r="HL116" s="3">
        <v>2</v>
      </c>
      <c r="HM116" s="12" t="s">
        <v>815</v>
      </c>
      <c r="HN116" s="3">
        <v>2</v>
      </c>
      <c r="HO116" s="3">
        <v>2</v>
      </c>
      <c r="HP116" s="3">
        <v>3</v>
      </c>
      <c r="HQ116" s="12" t="s">
        <v>815</v>
      </c>
      <c r="HR116" s="12" t="s">
        <v>815</v>
      </c>
      <c r="HS116" s="12" t="s">
        <v>815</v>
      </c>
      <c r="HT116" s="12" t="s">
        <v>815</v>
      </c>
      <c r="HU116" s="12" t="s">
        <v>815</v>
      </c>
      <c r="HV116" s="3">
        <v>4</v>
      </c>
      <c r="HW116" s="3">
        <v>4</v>
      </c>
      <c r="HX116" s="12" t="s">
        <v>815</v>
      </c>
      <c r="HY116" s="12" t="s">
        <v>815</v>
      </c>
      <c r="HZ116" s="12" t="s">
        <v>815</v>
      </c>
      <c r="IA116" s="3">
        <v>1</v>
      </c>
      <c r="IB116" s="3">
        <v>2</v>
      </c>
      <c r="IC116" s="12" t="s">
        <v>815</v>
      </c>
      <c r="ID116" s="3">
        <v>4</v>
      </c>
      <c r="IE116" s="3">
        <v>2</v>
      </c>
      <c r="IF116" s="12" t="s">
        <v>815</v>
      </c>
      <c r="IG116" s="12" t="s">
        <v>815</v>
      </c>
      <c r="IH116" s="12" t="s">
        <v>815</v>
      </c>
      <c r="II116" s="3">
        <v>2</v>
      </c>
      <c r="IJ116" s="3">
        <v>3</v>
      </c>
      <c r="IK116" s="12" t="s">
        <v>815</v>
      </c>
      <c r="IL116" s="12" t="s">
        <v>815</v>
      </c>
      <c r="IM116" s="12" t="s">
        <v>815</v>
      </c>
      <c r="IN116" s="3">
        <v>2</v>
      </c>
      <c r="IO116" s="12" t="s">
        <v>815</v>
      </c>
      <c r="IP116" s="12" t="s">
        <v>815</v>
      </c>
      <c r="IQ116" s="3">
        <v>4</v>
      </c>
      <c r="IR116" s="3" t="s">
        <v>899</v>
      </c>
      <c r="IS116" s="3">
        <v>3</v>
      </c>
      <c r="IT116" s="3">
        <v>4</v>
      </c>
      <c r="IU116" s="3">
        <v>4</v>
      </c>
      <c r="IV116" s="3">
        <v>4</v>
      </c>
      <c r="IW116" s="12" t="s">
        <v>815</v>
      </c>
      <c r="IX116" s="12" t="s">
        <v>815</v>
      </c>
      <c r="IY116" s="12" t="s">
        <v>815</v>
      </c>
      <c r="IZ116" s="2" t="s">
        <v>816</v>
      </c>
    </row>
    <row r="117" spans="1:260" ht="13.2" x14ac:dyDescent="0.25">
      <c r="A117" s="10" t="s">
        <v>274</v>
      </c>
      <c r="B117" s="2" t="s">
        <v>900</v>
      </c>
      <c r="C117" s="2" t="s">
        <v>276</v>
      </c>
      <c r="D117" s="2" t="s">
        <v>270</v>
      </c>
      <c r="E117" s="2">
        <v>24</v>
      </c>
      <c r="F117" s="11" t="s">
        <v>901</v>
      </c>
      <c r="G117" s="11" t="s">
        <v>902</v>
      </c>
      <c r="H117" s="2" t="s">
        <v>903</v>
      </c>
      <c r="I117" s="3">
        <v>2</v>
      </c>
      <c r="J117" s="3">
        <v>1</v>
      </c>
      <c r="K117" s="3">
        <v>2</v>
      </c>
      <c r="L117" s="3">
        <v>1</v>
      </c>
      <c r="M117" s="3">
        <v>2</v>
      </c>
      <c r="N117" s="3">
        <v>2</v>
      </c>
      <c r="O117" s="3">
        <v>1</v>
      </c>
      <c r="P117" s="3">
        <v>1</v>
      </c>
      <c r="Q117" s="3">
        <v>1</v>
      </c>
      <c r="R117" s="12" t="s">
        <v>815</v>
      </c>
      <c r="S117" s="12" t="s">
        <v>815</v>
      </c>
      <c r="T117" s="12" t="s">
        <v>815</v>
      </c>
      <c r="U117" s="12" t="s">
        <v>815</v>
      </c>
      <c r="V117" s="12" t="s">
        <v>815</v>
      </c>
      <c r="W117" s="12" t="s">
        <v>815</v>
      </c>
      <c r="X117" s="12" t="s">
        <v>815</v>
      </c>
      <c r="Y117" s="3">
        <v>1</v>
      </c>
      <c r="Z117" s="3">
        <v>1</v>
      </c>
      <c r="AA117" s="3">
        <v>2</v>
      </c>
      <c r="AB117" s="3">
        <v>1</v>
      </c>
      <c r="AC117" s="3">
        <v>1</v>
      </c>
      <c r="AD117" s="3">
        <v>1</v>
      </c>
      <c r="AE117" s="3">
        <v>1</v>
      </c>
      <c r="AF117" s="12" t="s">
        <v>815</v>
      </c>
      <c r="AG117" s="12" t="s">
        <v>815</v>
      </c>
      <c r="AH117" s="12" t="s">
        <v>815</v>
      </c>
      <c r="AI117" s="3">
        <v>1</v>
      </c>
      <c r="AJ117" s="3">
        <v>1</v>
      </c>
      <c r="AK117" s="3">
        <v>4</v>
      </c>
      <c r="AL117" s="3">
        <v>1</v>
      </c>
      <c r="AM117" s="3">
        <v>4</v>
      </c>
      <c r="AN117" s="12" t="s">
        <v>815</v>
      </c>
      <c r="AO117" s="3">
        <v>1</v>
      </c>
      <c r="AP117" s="12" t="s">
        <v>815</v>
      </c>
      <c r="AQ117" s="12" t="s">
        <v>815</v>
      </c>
      <c r="AR117" s="12" t="s">
        <v>815</v>
      </c>
      <c r="AS117" s="3">
        <v>2</v>
      </c>
      <c r="AT117" s="12" t="s">
        <v>815</v>
      </c>
      <c r="AU117" s="3">
        <v>1</v>
      </c>
      <c r="AV117" s="3">
        <v>1</v>
      </c>
      <c r="AW117" s="3">
        <v>2</v>
      </c>
      <c r="AX117" s="3">
        <v>1</v>
      </c>
      <c r="AY117" s="3">
        <v>1</v>
      </c>
      <c r="AZ117" s="3">
        <v>2</v>
      </c>
      <c r="BA117" s="12" t="s">
        <v>815</v>
      </c>
      <c r="BB117" s="3">
        <v>2</v>
      </c>
      <c r="BC117" s="3">
        <v>1</v>
      </c>
      <c r="BD117" s="3">
        <v>2</v>
      </c>
      <c r="BE117" s="3">
        <v>1</v>
      </c>
      <c r="BF117" s="12" t="s">
        <v>815</v>
      </c>
      <c r="BG117" s="3">
        <v>1</v>
      </c>
      <c r="BH117" s="3">
        <v>2</v>
      </c>
      <c r="BI117" s="3">
        <v>1</v>
      </c>
      <c r="BJ117" s="3">
        <v>2</v>
      </c>
      <c r="BK117" s="12" t="s">
        <v>815</v>
      </c>
      <c r="BL117" s="3">
        <v>1</v>
      </c>
      <c r="BM117" s="3" t="s">
        <v>904</v>
      </c>
      <c r="BN117" s="3">
        <v>3</v>
      </c>
      <c r="BO117" s="12" t="s">
        <v>815</v>
      </c>
      <c r="BP117" s="3">
        <v>1</v>
      </c>
      <c r="BQ117" s="3">
        <v>1</v>
      </c>
      <c r="BR117" s="3">
        <v>1</v>
      </c>
      <c r="BS117" s="3">
        <v>2</v>
      </c>
      <c r="BT117" s="3">
        <v>2</v>
      </c>
      <c r="BU117" s="2">
        <v>1</v>
      </c>
      <c r="BV117" s="11" t="s">
        <v>815</v>
      </c>
      <c r="BW117" s="2">
        <v>1</v>
      </c>
      <c r="BX117" s="11" t="s">
        <v>815</v>
      </c>
      <c r="BY117" s="11" t="s">
        <v>815</v>
      </c>
      <c r="BZ117" s="2">
        <v>1</v>
      </c>
      <c r="CA117" s="11" t="s">
        <v>815</v>
      </c>
      <c r="CB117" s="2">
        <v>1</v>
      </c>
      <c r="CC117" s="2">
        <v>2</v>
      </c>
      <c r="CD117" s="2">
        <v>1</v>
      </c>
      <c r="CE117" s="11" t="s">
        <v>815</v>
      </c>
      <c r="CF117" s="2">
        <v>1</v>
      </c>
      <c r="CG117" s="11" t="s">
        <v>815</v>
      </c>
      <c r="CH117" s="11" t="s">
        <v>815</v>
      </c>
      <c r="CI117" s="11" t="s">
        <v>815</v>
      </c>
      <c r="CJ117" s="2">
        <v>1</v>
      </c>
      <c r="CK117" s="11" t="s">
        <v>815</v>
      </c>
      <c r="CL117" s="2">
        <v>1</v>
      </c>
      <c r="CM117" s="2">
        <v>1</v>
      </c>
      <c r="CN117" s="11" t="s">
        <v>815</v>
      </c>
      <c r="CO117" s="11" t="s">
        <v>815</v>
      </c>
      <c r="CP117" s="11" t="s">
        <v>815</v>
      </c>
      <c r="CQ117" s="2">
        <v>2</v>
      </c>
      <c r="CR117" s="2">
        <v>1</v>
      </c>
      <c r="CS117" s="2">
        <v>1</v>
      </c>
      <c r="CT117" s="11" t="s">
        <v>815</v>
      </c>
      <c r="CU117" s="11" t="s">
        <v>815</v>
      </c>
      <c r="CV117" s="2">
        <v>1</v>
      </c>
      <c r="CW117" s="2">
        <v>1</v>
      </c>
      <c r="CX117" s="11" t="s">
        <v>815</v>
      </c>
      <c r="CY117" s="11" t="s">
        <v>815</v>
      </c>
      <c r="CZ117" s="11" t="s">
        <v>815</v>
      </c>
      <c r="DA117" s="2">
        <v>1</v>
      </c>
      <c r="DB117" s="11" t="s">
        <v>815</v>
      </c>
      <c r="DC117" s="11" t="s">
        <v>815</v>
      </c>
      <c r="DD117" s="2">
        <v>1</v>
      </c>
      <c r="DE117" s="2">
        <v>1</v>
      </c>
      <c r="DF117" s="11" t="s">
        <v>815</v>
      </c>
      <c r="DG117" s="2">
        <v>1</v>
      </c>
      <c r="DH117" s="11" t="s">
        <v>815</v>
      </c>
      <c r="DI117" s="2">
        <v>1</v>
      </c>
      <c r="DJ117" s="11" t="s">
        <v>815</v>
      </c>
      <c r="DK117" s="2">
        <v>1</v>
      </c>
      <c r="DL117" s="2">
        <v>1</v>
      </c>
      <c r="DM117" s="11" t="s">
        <v>815</v>
      </c>
      <c r="DN117" s="11" t="s">
        <v>815</v>
      </c>
      <c r="DO117" s="11" t="s">
        <v>815</v>
      </c>
      <c r="DP117" s="2">
        <v>1</v>
      </c>
      <c r="DQ117" s="2">
        <v>1</v>
      </c>
      <c r="DR117" s="11" t="s">
        <v>815</v>
      </c>
      <c r="DS117" s="11" t="s">
        <v>815</v>
      </c>
      <c r="DT117" s="11" t="s">
        <v>815</v>
      </c>
      <c r="DU117" s="11" t="s">
        <v>815</v>
      </c>
      <c r="DV117" s="11" t="s">
        <v>815</v>
      </c>
      <c r="DW117" s="2">
        <v>1</v>
      </c>
      <c r="DX117" s="2">
        <v>1</v>
      </c>
      <c r="DY117" s="11" t="s">
        <v>815</v>
      </c>
      <c r="DZ117" s="11" t="s">
        <v>815</v>
      </c>
      <c r="EA117" s="11" t="s">
        <v>815</v>
      </c>
      <c r="EB117" s="11" t="s">
        <v>815</v>
      </c>
      <c r="EC117" s="11" t="s">
        <v>815</v>
      </c>
      <c r="ED117" s="11" t="s">
        <v>815</v>
      </c>
      <c r="EE117" s="11" t="s">
        <v>815</v>
      </c>
      <c r="EF117" s="11" t="s">
        <v>815</v>
      </c>
      <c r="EG117" s="2">
        <v>1</v>
      </c>
      <c r="EH117" s="11" t="s">
        <v>815</v>
      </c>
      <c r="EI117" s="2">
        <v>2</v>
      </c>
      <c r="EJ117" s="2">
        <v>1</v>
      </c>
      <c r="EK117" s="2">
        <v>2</v>
      </c>
      <c r="EL117" s="11" t="s">
        <v>815</v>
      </c>
      <c r="EM117" s="11" t="s">
        <v>815</v>
      </c>
      <c r="EN117" s="2">
        <v>3</v>
      </c>
      <c r="EO117" s="2">
        <v>3</v>
      </c>
      <c r="EP117" s="2">
        <v>2</v>
      </c>
      <c r="EQ117" s="2">
        <v>1</v>
      </c>
      <c r="ER117" s="11" t="s">
        <v>815</v>
      </c>
      <c r="ES117" s="11" t="s">
        <v>815</v>
      </c>
      <c r="ET117" s="11" t="s">
        <v>815</v>
      </c>
      <c r="EU117" s="2">
        <v>2</v>
      </c>
      <c r="EV117" s="11" t="s">
        <v>815</v>
      </c>
      <c r="EW117" s="2">
        <v>2</v>
      </c>
      <c r="EX117" s="2">
        <v>1</v>
      </c>
      <c r="EY117" s="11" t="s">
        <v>815</v>
      </c>
      <c r="EZ117" s="11" t="s">
        <v>815</v>
      </c>
      <c r="FA117" s="11" t="s">
        <v>815</v>
      </c>
      <c r="FB117" s="2">
        <v>1</v>
      </c>
      <c r="FC117" s="11" t="s">
        <v>815</v>
      </c>
      <c r="FD117" s="11" t="s">
        <v>815</v>
      </c>
      <c r="FE117" s="2">
        <v>1</v>
      </c>
      <c r="FF117" s="2">
        <v>1</v>
      </c>
      <c r="FG117" s="11" t="s">
        <v>815</v>
      </c>
      <c r="FH117" s="11" t="s">
        <v>815</v>
      </c>
      <c r="FI117" s="11" t="s">
        <v>815</v>
      </c>
      <c r="FJ117" s="11" t="s">
        <v>815</v>
      </c>
      <c r="FK117" s="2">
        <v>2</v>
      </c>
      <c r="FL117" s="2">
        <v>2</v>
      </c>
      <c r="FM117" s="2">
        <v>2</v>
      </c>
      <c r="FN117" s="2">
        <v>2</v>
      </c>
      <c r="FO117" s="2">
        <v>1</v>
      </c>
      <c r="FP117" s="2">
        <v>1</v>
      </c>
      <c r="FQ117" s="2">
        <v>2</v>
      </c>
      <c r="FR117" s="2">
        <v>1</v>
      </c>
      <c r="FS117" s="11" t="s">
        <v>815</v>
      </c>
      <c r="FT117" s="11" t="s">
        <v>815</v>
      </c>
      <c r="FU117" s="2">
        <v>1</v>
      </c>
      <c r="FV117" s="11" t="s">
        <v>815</v>
      </c>
      <c r="FW117" s="2">
        <v>1</v>
      </c>
      <c r="FX117" s="11" t="s">
        <v>815</v>
      </c>
      <c r="FY117" s="11" t="s">
        <v>815</v>
      </c>
      <c r="FZ117" s="11" t="s">
        <v>815</v>
      </c>
      <c r="GA117" s="11" t="s">
        <v>815</v>
      </c>
      <c r="GB117" s="2">
        <v>1</v>
      </c>
      <c r="GC117" s="2" t="s">
        <v>905</v>
      </c>
      <c r="GD117" s="2">
        <v>1</v>
      </c>
      <c r="GE117" s="2">
        <v>1</v>
      </c>
      <c r="GF117" s="2">
        <v>1</v>
      </c>
      <c r="GG117" s="2">
        <v>2</v>
      </c>
      <c r="GH117" s="2">
        <v>1</v>
      </c>
      <c r="GI117" s="2">
        <v>1</v>
      </c>
      <c r="GJ117" s="11" t="s">
        <v>815</v>
      </c>
      <c r="GK117" s="2">
        <v>1</v>
      </c>
      <c r="GL117" s="11" t="s">
        <v>815</v>
      </c>
      <c r="GM117" s="2">
        <v>1</v>
      </c>
      <c r="GN117" s="3">
        <v>2</v>
      </c>
      <c r="GO117" s="3">
        <v>2</v>
      </c>
      <c r="GP117" s="3">
        <v>1</v>
      </c>
      <c r="GQ117" s="3">
        <v>2</v>
      </c>
      <c r="GR117" s="3">
        <v>1</v>
      </c>
      <c r="GS117" s="3">
        <v>1</v>
      </c>
      <c r="GT117" s="3">
        <v>1</v>
      </c>
      <c r="GU117" s="3">
        <v>1</v>
      </c>
      <c r="GV117" s="3">
        <v>1</v>
      </c>
      <c r="GW117" s="12" t="s">
        <v>815</v>
      </c>
      <c r="GX117" s="12" t="s">
        <v>815</v>
      </c>
      <c r="GY117" s="3">
        <v>2</v>
      </c>
      <c r="GZ117" s="3">
        <v>1</v>
      </c>
      <c r="HA117" s="3">
        <v>1</v>
      </c>
      <c r="HB117" s="3">
        <v>1</v>
      </c>
      <c r="HC117" s="12" t="s">
        <v>815</v>
      </c>
      <c r="HD117" s="3">
        <v>1</v>
      </c>
      <c r="HE117" s="12" t="s">
        <v>815</v>
      </c>
      <c r="HF117" s="12" t="s">
        <v>815</v>
      </c>
      <c r="HG117" s="12" t="s">
        <v>815</v>
      </c>
      <c r="HH117" s="3">
        <v>1</v>
      </c>
      <c r="HI117" s="12" t="s">
        <v>815</v>
      </c>
      <c r="HJ117" s="12" t="s">
        <v>815</v>
      </c>
      <c r="HK117" s="3">
        <v>1</v>
      </c>
      <c r="HL117" s="12" t="s">
        <v>815</v>
      </c>
      <c r="HM117" s="3">
        <v>1</v>
      </c>
      <c r="HN117" s="12" t="s">
        <v>815</v>
      </c>
      <c r="HO117" s="12" t="s">
        <v>815</v>
      </c>
      <c r="HP117" s="12" t="s">
        <v>815</v>
      </c>
      <c r="HQ117" s="12" t="s">
        <v>815</v>
      </c>
      <c r="HR117" s="12" t="s">
        <v>815</v>
      </c>
      <c r="HS117" s="12" t="s">
        <v>815</v>
      </c>
      <c r="HT117" s="12" t="s">
        <v>815</v>
      </c>
      <c r="HU117" s="12" t="s">
        <v>815</v>
      </c>
      <c r="HV117" s="3">
        <v>3</v>
      </c>
      <c r="HW117" s="3">
        <v>1</v>
      </c>
      <c r="HX117" s="3">
        <v>1</v>
      </c>
      <c r="HY117" s="3">
        <v>1</v>
      </c>
      <c r="HZ117" s="3">
        <v>1</v>
      </c>
      <c r="IA117" s="3">
        <v>1</v>
      </c>
      <c r="IB117" s="3">
        <v>1</v>
      </c>
      <c r="IC117" s="3">
        <v>1</v>
      </c>
      <c r="ID117" s="3">
        <v>1</v>
      </c>
      <c r="IE117" s="3">
        <v>1</v>
      </c>
      <c r="IF117" s="3">
        <v>1</v>
      </c>
      <c r="IG117" s="3">
        <v>1</v>
      </c>
      <c r="IH117" s="12" t="s">
        <v>815</v>
      </c>
      <c r="II117" s="12" t="s">
        <v>815</v>
      </c>
      <c r="IJ117" s="3">
        <v>1</v>
      </c>
      <c r="IK117" s="12" t="s">
        <v>815</v>
      </c>
      <c r="IL117" s="3">
        <v>1</v>
      </c>
      <c r="IM117" s="3">
        <v>2</v>
      </c>
      <c r="IN117" s="12" t="s">
        <v>815</v>
      </c>
      <c r="IO117" s="3">
        <v>1</v>
      </c>
      <c r="IP117" s="3">
        <v>1</v>
      </c>
      <c r="IQ117" s="3">
        <v>2</v>
      </c>
      <c r="IR117" s="3" t="s">
        <v>906</v>
      </c>
      <c r="IS117" s="3">
        <v>2</v>
      </c>
      <c r="IT117" s="3">
        <v>3</v>
      </c>
      <c r="IU117" s="3">
        <v>1</v>
      </c>
      <c r="IV117" s="3">
        <v>3</v>
      </c>
      <c r="IW117" s="3">
        <v>1</v>
      </c>
      <c r="IX117" s="3">
        <v>1</v>
      </c>
      <c r="IY117" s="3">
        <v>2</v>
      </c>
      <c r="IZ117" s="2" t="s">
        <v>816</v>
      </c>
    </row>
    <row r="118" spans="1:260" ht="13.2" x14ac:dyDescent="0.25">
      <c r="A118" s="10" t="s">
        <v>274</v>
      </c>
      <c r="B118" s="2" t="s">
        <v>907</v>
      </c>
      <c r="C118" s="2" t="s">
        <v>276</v>
      </c>
      <c r="D118" s="2" t="s">
        <v>262</v>
      </c>
      <c r="E118" s="2">
        <v>29</v>
      </c>
      <c r="F118" s="11" t="s">
        <v>908</v>
      </c>
      <c r="G118" s="11" t="s">
        <v>909</v>
      </c>
      <c r="H118" s="2" t="s">
        <v>910</v>
      </c>
      <c r="I118" s="3">
        <v>1</v>
      </c>
      <c r="J118" s="12" t="s">
        <v>815</v>
      </c>
      <c r="K118" s="12" t="s">
        <v>815</v>
      </c>
      <c r="L118" s="3">
        <v>1</v>
      </c>
      <c r="M118" s="12" t="s">
        <v>815</v>
      </c>
      <c r="N118" s="3">
        <v>2</v>
      </c>
      <c r="O118" s="12" t="s">
        <v>815</v>
      </c>
      <c r="P118" s="12" t="s">
        <v>815</v>
      </c>
      <c r="Q118" s="12" t="s">
        <v>815</v>
      </c>
      <c r="R118" s="12" t="s">
        <v>815</v>
      </c>
      <c r="S118" s="12" t="s">
        <v>815</v>
      </c>
      <c r="T118" s="12" t="s">
        <v>815</v>
      </c>
      <c r="U118" s="12" t="s">
        <v>815</v>
      </c>
      <c r="V118" s="12" t="s">
        <v>815</v>
      </c>
      <c r="W118" s="12" t="s">
        <v>815</v>
      </c>
      <c r="X118" s="12" t="s">
        <v>815</v>
      </c>
      <c r="Y118" s="3">
        <v>2</v>
      </c>
      <c r="Z118" s="3">
        <v>1</v>
      </c>
      <c r="AA118" s="12" t="s">
        <v>815</v>
      </c>
      <c r="AB118" s="12" t="s">
        <v>815</v>
      </c>
      <c r="AC118" s="12" t="s">
        <v>815</v>
      </c>
      <c r="AD118" s="12" t="s">
        <v>815</v>
      </c>
      <c r="AE118" s="3">
        <v>2</v>
      </c>
      <c r="AF118" s="3">
        <v>2</v>
      </c>
      <c r="AG118" s="3">
        <v>4</v>
      </c>
      <c r="AH118" s="3">
        <v>4</v>
      </c>
      <c r="AI118" s="3">
        <v>2</v>
      </c>
      <c r="AJ118" s="3">
        <v>4</v>
      </c>
      <c r="AK118" s="12" t="s">
        <v>815</v>
      </c>
      <c r="AL118" s="12" t="s">
        <v>815</v>
      </c>
      <c r="AM118" s="3">
        <v>3</v>
      </c>
      <c r="AN118" s="3">
        <v>4</v>
      </c>
      <c r="AO118" s="3">
        <v>1</v>
      </c>
      <c r="AP118" s="3">
        <v>1</v>
      </c>
      <c r="AQ118" s="3">
        <v>1</v>
      </c>
      <c r="AR118" s="3">
        <v>2</v>
      </c>
      <c r="AS118" s="3">
        <v>1</v>
      </c>
      <c r="AT118" s="12" t="s">
        <v>815</v>
      </c>
      <c r="AU118" s="12" t="s">
        <v>815</v>
      </c>
      <c r="AV118" s="12" t="s">
        <v>815</v>
      </c>
      <c r="AW118" s="3">
        <v>3</v>
      </c>
      <c r="AX118" s="3">
        <v>3</v>
      </c>
      <c r="AY118" s="3">
        <v>3</v>
      </c>
      <c r="AZ118" s="3">
        <v>3</v>
      </c>
      <c r="BA118" s="3">
        <v>2</v>
      </c>
      <c r="BB118" s="3">
        <v>3</v>
      </c>
      <c r="BC118" s="12" t="s">
        <v>815</v>
      </c>
      <c r="BD118" s="3">
        <v>2</v>
      </c>
      <c r="BE118" s="3">
        <v>4</v>
      </c>
      <c r="BF118" s="3">
        <v>1</v>
      </c>
      <c r="BG118" s="12" t="s">
        <v>815</v>
      </c>
      <c r="BH118" s="3">
        <v>2</v>
      </c>
      <c r="BI118" s="3">
        <v>1</v>
      </c>
      <c r="BJ118" s="3">
        <v>2</v>
      </c>
      <c r="BK118" s="3">
        <v>2</v>
      </c>
      <c r="BL118" s="3">
        <v>2</v>
      </c>
      <c r="BM118" s="3" t="s">
        <v>911</v>
      </c>
      <c r="BN118" s="3">
        <v>4</v>
      </c>
      <c r="BO118" s="3">
        <v>1</v>
      </c>
      <c r="BP118" s="3">
        <v>1</v>
      </c>
      <c r="BQ118" s="3">
        <v>1</v>
      </c>
      <c r="BR118" s="3">
        <v>3</v>
      </c>
      <c r="BS118" s="12" t="s">
        <v>815</v>
      </c>
      <c r="BT118" s="3">
        <v>1</v>
      </c>
      <c r="BU118" s="2">
        <v>2</v>
      </c>
      <c r="BV118" s="11" t="s">
        <v>815</v>
      </c>
      <c r="BW118" s="2">
        <v>2</v>
      </c>
      <c r="BX118" s="2">
        <v>2</v>
      </c>
      <c r="BY118" s="2">
        <v>2</v>
      </c>
      <c r="BZ118" s="11" t="s">
        <v>815</v>
      </c>
      <c r="CA118" s="11" t="s">
        <v>815</v>
      </c>
      <c r="CB118" s="11" t="s">
        <v>815</v>
      </c>
      <c r="CC118" s="11" t="s">
        <v>815</v>
      </c>
      <c r="CD118" s="11" t="s">
        <v>815</v>
      </c>
      <c r="CE118" s="11" t="s">
        <v>815</v>
      </c>
      <c r="CF118" s="11" t="s">
        <v>815</v>
      </c>
      <c r="CG118" s="11" t="s">
        <v>815</v>
      </c>
      <c r="CH118" s="11" t="s">
        <v>815</v>
      </c>
      <c r="CI118" s="2">
        <v>2</v>
      </c>
      <c r="CJ118" s="11" t="s">
        <v>815</v>
      </c>
      <c r="CK118" s="11" t="s">
        <v>815</v>
      </c>
      <c r="CL118" s="11" t="s">
        <v>815</v>
      </c>
      <c r="CM118" s="11" t="s">
        <v>815</v>
      </c>
      <c r="CN118" s="11" t="s">
        <v>815</v>
      </c>
      <c r="CO118" s="11" t="s">
        <v>815</v>
      </c>
      <c r="CP118" s="11" t="s">
        <v>815</v>
      </c>
      <c r="CQ118" s="2">
        <v>2</v>
      </c>
      <c r="CR118" s="11" t="s">
        <v>815</v>
      </c>
      <c r="CS118" s="11" t="s">
        <v>815</v>
      </c>
      <c r="CT118" s="11" t="s">
        <v>815</v>
      </c>
      <c r="CU118" s="11" t="s">
        <v>815</v>
      </c>
      <c r="CV118" s="11" t="s">
        <v>815</v>
      </c>
      <c r="CW118" s="11" t="s">
        <v>815</v>
      </c>
      <c r="CX118" s="11" t="s">
        <v>815</v>
      </c>
      <c r="CY118" s="11" t="s">
        <v>815</v>
      </c>
      <c r="CZ118" s="11" t="s">
        <v>815</v>
      </c>
      <c r="DA118" s="2">
        <v>2</v>
      </c>
      <c r="DB118" s="11" t="s">
        <v>815</v>
      </c>
      <c r="DC118" s="11" t="s">
        <v>815</v>
      </c>
      <c r="DD118" s="11" t="s">
        <v>815</v>
      </c>
      <c r="DE118" s="2">
        <v>2</v>
      </c>
      <c r="DF118" s="2">
        <v>1</v>
      </c>
      <c r="DG118" s="11" t="s">
        <v>815</v>
      </c>
      <c r="DH118" s="2">
        <v>2</v>
      </c>
      <c r="DI118" s="2">
        <v>2</v>
      </c>
      <c r="DJ118" s="2">
        <v>2</v>
      </c>
      <c r="DK118" s="11" t="s">
        <v>815</v>
      </c>
      <c r="DL118" s="11" t="s">
        <v>815</v>
      </c>
      <c r="DM118" s="2">
        <v>2</v>
      </c>
      <c r="DN118" s="2">
        <v>2</v>
      </c>
      <c r="DO118" s="11" t="s">
        <v>815</v>
      </c>
      <c r="DP118" s="2">
        <v>2</v>
      </c>
      <c r="DQ118" s="2">
        <v>2</v>
      </c>
      <c r="DR118" s="11" t="s">
        <v>815</v>
      </c>
      <c r="DS118" s="2">
        <v>2</v>
      </c>
      <c r="DT118" s="2">
        <v>2</v>
      </c>
      <c r="DU118" s="2">
        <v>2</v>
      </c>
      <c r="DV118" s="2">
        <v>2</v>
      </c>
      <c r="DW118" s="11" t="s">
        <v>815</v>
      </c>
      <c r="DX118" s="11" t="s">
        <v>815</v>
      </c>
      <c r="DY118" s="11" t="s">
        <v>815</v>
      </c>
      <c r="DZ118" s="11" t="s">
        <v>815</v>
      </c>
      <c r="EA118" s="11" t="s">
        <v>815</v>
      </c>
      <c r="EB118" s="2">
        <v>4</v>
      </c>
      <c r="EC118" s="2">
        <v>4</v>
      </c>
      <c r="ED118" s="11" t="s">
        <v>815</v>
      </c>
      <c r="EE118" s="2">
        <v>4</v>
      </c>
      <c r="EF118" s="2">
        <v>4</v>
      </c>
      <c r="EG118" s="2">
        <v>4</v>
      </c>
      <c r="EH118" s="2">
        <v>4</v>
      </c>
      <c r="EI118" s="11" t="s">
        <v>815</v>
      </c>
      <c r="EJ118" s="11" t="s">
        <v>815</v>
      </c>
      <c r="EK118" s="11" t="s">
        <v>815</v>
      </c>
      <c r="EL118" s="11" t="s">
        <v>815</v>
      </c>
      <c r="EM118" s="11" t="s">
        <v>815</v>
      </c>
      <c r="EN118" s="2">
        <v>4</v>
      </c>
      <c r="EO118" s="2">
        <v>4</v>
      </c>
      <c r="EP118" s="2">
        <v>4</v>
      </c>
      <c r="EQ118" s="2">
        <v>2</v>
      </c>
      <c r="ER118" s="11" t="s">
        <v>815</v>
      </c>
      <c r="ES118" s="11" t="s">
        <v>815</v>
      </c>
      <c r="ET118" s="11" t="s">
        <v>815</v>
      </c>
      <c r="EU118" s="2">
        <v>3</v>
      </c>
      <c r="EV118" s="2">
        <v>3</v>
      </c>
      <c r="EW118" s="2">
        <v>3</v>
      </c>
      <c r="EX118" s="2">
        <v>3</v>
      </c>
      <c r="EY118" s="2">
        <v>3</v>
      </c>
      <c r="EZ118" s="2">
        <v>3</v>
      </c>
      <c r="FA118" s="2">
        <v>2</v>
      </c>
      <c r="FB118" s="11" t="s">
        <v>815</v>
      </c>
      <c r="FC118" s="11" t="s">
        <v>815</v>
      </c>
      <c r="FD118" s="11" t="s">
        <v>815</v>
      </c>
      <c r="FE118" s="11" t="s">
        <v>815</v>
      </c>
      <c r="FF118" s="11" t="s">
        <v>815</v>
      </c>
      <c r="FG118" s="11" t="s">
        <v>815</v>
      </c>
      <c r="FH118" s="11" t="s">
        <v>815</v>
      </c>
      <c r="FI118" s="11" t="s">
        <v>815</v>
      </c>
      <c r="FJ118" s="11" t="s">
        <v>815</v>
      </c>
      <c r="FK118" s="2">
        <v>4</v>
      </c>
      <c r="FL118" s="2">
        <v>4</v>
      </c>
      <c r="FM118" s="2">
        <v>4</v>
      </c>
      <c r="FN118" s="2">
        <v>4</v>
      </c>
      <c r="FO118" s="2">
        <v>4</v>
      </c>
      <c r="FP118" s="2">
        <v>4</v>
      </c>
      <c r="FQ118" s="2">
        <v>3</v>
      </c>
      <c r="FR118" s="2">
        <v>3</v>
      </c>
      <c r="FS118" s="2">
        <v>3</v>
      </c>
      <c r="FT118" s="2">
        <v>3</v>
      </c>
      <c r="FU118" s="2">
        <v>2</v>
      </c>
      <c r="FV118" s="2">
        <v>2</v>
      </c>
      <c r="FW118" s="11" t="s">
        <v>815</v>
      </c>
      <c r="FX118" s="11" t="s">
        <v>815</v>
      </c>
      <c r="FY118" s="11" t="s">
        <v>815</v>
      </c>
      <c r="FZ118" s="11" t="s">
        <v>815</v>
      </c>
      <c r="GA118" s="11" t="s">
        <v>815</v>
      </c>
      <c r="GB118" s="11" t="s">
        <v>815</v>
      </c>
      <c r="GC118" s="2" t="s">
        <v>912</v>
      </c>
      <c r="GD118" s="2">
        <v>4</v>
      </c>
      <c r="GE118" s="2">
        <v>3</v>
      </c>
      <c r="GF118" s="2">
        <v>3</v>
      </c>
      <c r="GG118" s="11" t="s">
        <v>815</v>
      </c>
      <c r="GH118" s="2">
        <v>3</v>
      </c>
      <c r="GI118" s="2">
        <v>3</v>
      </c>
      <c r="GJ118" s="2">
        <v>3</v>
      </c>
      <c r="GK118" s="2">
        <v>3</v>
      </c>
      <c r="GL118" s="2">
        <v>3</v>
      </c>
      <c r="GM118" s="2">
        <v>3</v>
      </c>
      <c r="GN118" s="12" t="s">
        <v>815</v>
      </c>
      <c r="GO118" s="12" t="s">
        <v>815</v>
      </c>
      <c r="GP118" s="12" t="s">
        <v>815</v>
      </c>
      <c r="GQ118" s="12" t="s">
        <v>815</v>
      </c>
      <c r="GR118" s="12" t="s">
        <v>815</v>
      </c>
      <c r="GS118" s="12" t="s">
        <v>815</v>
      </c>
      <c r="GT118" s="12" t="s">
        <v>815</v>
      </c>
      <c r="GU118" s="12" t="s">
        <v>815</v>
      </c>
      <c r="GV118" s="12" t="s">
        <v>815</v>
      </c>
      <c r="GW118" s="12" t="s">
        <v>815</v>
      </c>
      <c r="GX118" s="12" t="s">
        <v>815</v>
      </c>
      <c r="GY118" s="12" t="s">
        <v>815</v>
      </c>
      <c r="GZ118" s="12" t="s">
        <v>815</v>
      </c>
      <c r="HA118" s="12" t="s">
        <v>815</v>
      </c>
      <c r="HB118" s="12" t="s">
        <v>815</v>
      </c>
      <c r="HC118" s="12" t="s">
        <v>815</v>
      </c>
      <c r="HD118" s="12" t="s">
        <v>815</v>
      </c>
      <c r="HE118" s="12" t="s">
        <v>815</v>
      </c>
      <c r="HF118" s="12" t="s">
        <v>815</v>
      </c>
      <c r="HG118" s="12" t="s">
        <v>815</v>
      </c>
      <c r="HH118" s="12" t="s">
        <v>815</v>
      </c>
      <c r="HI118" s="12" t="s">
        <v>815</v>
      </c>
      <c r="HJ118" s="12" t="s">
        <v>815</v>
      </c>
      <c r="HK118" s="12" t="s">
        <v>815</v>
      </c>
      <c r="HL118" s="12" t="s">
        <v>815</v>
      </c>
      <c r="HM118" s="12" t="s">
        <v>815</v>
      </c>
      <c r="HN118" s="3">
        <v>2</v>
      </c>
      <c r="HO118" s="12" t="s">
        <v>815</v>
      </c>
      <c r="HP118" s="3">
        <v>2</v>
      </c>
      <c r="HQ118" s="12" t="s">
        <v>815</v>
      </c>
      <c r="HR118" s="3">
        <v>4</v>
      </c>
      <c r="HS118" s="3">
        <v>4</v>
      </c>
      <c r="HT118" s="3">
        <v>4</v>
      </c>
      <c r="HU118" s="3">
        <v>4</v>
      </c>
      <c r="HV118" s="3">
        <v>2</v>
      </c>
      <c r="HW118" s="12" t="s">
        <v>815</v>
      </c>
      <c r="HX118" s="3">
        <v>4</v>
      </c>
      <c r="HY118" s="3">
        <v>4</v>
      </c>
      <c r="HZ118" s="3">
        <v>2</v>
      </c>
      <c r="IA118" s="3">
        <v>2</v>
      </c>
      <c r="IB118" s="12" t="s">
        <v>815</v>
      </c>
      <c r="IC118" s="12" t="s">
        <v>815</v>
      </c>
      <c r="ID118" s="12" t="s">
        <v>815</v>
      </c>
      <c r="IE118" s="12" t="s">
        <v>815</v>
      </c>
      <c r="IF118" s="12" t="s">
        <v>815</v>
      </c>
      <c r="IG118" s="12" t="s">
        <v>815</v>
      </c>
      <c r="IH118" s="12" t="s">
        <v>815</v>
      </c>
      <c r="II118" s="12" t="s">
        <v>815</v>
      </c>
      <c r="IJ118" s="12" t="s">
        <v>815</v>
      </c>
      <c r="IK118" s="12" t="s">
        <v>815</v>
      </c>
      <c r="IL118" s="12" t="s">
        <v>815</v>
      </c>
      <c r="IM118" s="12" t="s">
        <v>815</v>
      </c>
      <c r="IN118" s="12" t="s">
        <v>815</v>
      </c>
      <c r="IO118" s="12" t="s">
        <v>815</v>
      </c>
      <c r="IP118" s="12" t="s">
        <v>815</v>
      </c>
      <c r="IQ118" s="12" t="s">
        <v>815</v>
      </c>
      <c r="IR118" s="3" t="s">
        <v>913</v>
      </c>
      <c r="IS118" s="3">
        <v>4</v>
      </c>
      <c r="IT118" s="3">
        <v>2</v>
      </c>
      <c r="IU118" s="12" t="s">
        <v>815</v>
      </c>
      <c r="IV118" s="3">
        <v>2</v>
      </c>
      <c r="IW118" s="12" t="s">
        <v>815</v>
      </c>
      <c r="IX118" s="3">
        <v>2</v>
      </c>
      <c r="IY118" s="12" t="s">
        <v>815</v>
      </c>
      <c r="IZ118" s="2" t="s">
        <v>816</v>
      </c>
    </row>
    <row r="119" spans="1:260" ht="13.2" x14ac:dyDescent="0.25">
      <c r="A119" s="10" t="s">
        <v>274</v>
      </c>
      <c r="B119" s="2" t="s">
        <v>914</v>
      </c>
      <c r="C119" s="2" t="s">
        <v>276</v>
      </c>
      <c r="D119" s="2" t="s">
        <v>270</v>
      </c>
      <c r="E119" s="2">
        <v>20</v>
      </c>
      <c r="F119" s="11" t="s">
        <v>915</v>
      </c>
      <c r="G119" s="11" t="s">
        <v>916</v>
      </c>
      <c r="H119" s="2" t="s">
        <v>917</v>
      </c>
      <c r="I119" s="3">
        <v>2</v>
      </c>
      <c r="J119" s="3">
        <v>2</v>
      </c>
      <c r="K119" s="3">
        <v>1</v>
      </c>
      <c r="L119" s="3">
        <v>2</v>
      </c>
      <c r="M119" s="3">
        <v>3</v>
      </c>
      <c r="N119" s="3">
        <v>3</v>
      </c>
      <c r="O119" s="3">
        <v>1</v>
      </c>
      <c r="P119" s="3">
        <v>2</v>
      </c>
      <c r="Q119" s="3">
        <v>2</v>
      </c>
      <c r="R119" s="3">
        <v>3</v>
      </c>
      <c r="S119" s="3">
        <v>1</v>
      </c>
      <c r="T119" s="3">
        <v>3</v>
      </c>
      <c r="U119" s="3">
        <v>1</v>
      </c>
      <c r="V119" s="3">
        <v>1</v>
      </c>
      <c r="W119" s="3">
        <v>2</v>
      </c>
      <c r="X119" s="3">
        <v>2</v>
      </c>
      <c r="Y119" s="3">
        <v>2</v>
      </c>
      <c r="Z119" s="3">
        <v>3</v>
      </c>
      <c r="AA119" s="3">
        <v>3</v>
      </c>
      <c r="AB119" s="3">
        <v>2</v>
      </c>
      <c r="AC119" s="3">
        <v>3</v>
      </c>
      <c r="AD119" s="3">
        <v>2</v>
      </c>
      <c r="AE119" s="3">
        <v>1</v>
      </c>
      <c r="AF119" s="3">
        <v>1</v>
      </c>
      <c r="AG119" s="12" t="s">
        <v>815</v>
      </c>
      <c r="AH119" s="12" t="s">
        <v>815</v>
      </c>
      <c r="AI119" s="3">
        <v>2</v>
      </c>
      <c r="AJ119" s="3">
        <v>2</v>
      </c>
      <c r="AK119" s="3">
        <v>2</v>
      </c>
      <c r="AL119" s="3">
        <v>2</v>
      </c>
      <c r="AM119" s="12" t="s">
        <v>815</v>
      </c>
      <c r="AN119" s="12" t="s">
        <v>815</v>
      </c>
      <c r="AO119" s="3">
        <v>1</v>
      </c>
      <c r="AP119" s="3">
        <v>2</v>
      </c>
      <c r="AQ119" s="12" t="s">
        <v>815</v>
      </c>
      <c r="AR119" s="3">
        <v>1</v>
      </c>
      <c r="AS119" s="12" t="s">
        <v>815</v>
      </c>
      <c r="AT119" s="3">
        <v>1</v>
      </c>
      <c r="AU119" s="3">
        <v>2</v>
      </c>
      <c r="AV119" s="3">
        <v>1</v>
      </c>
      <c r="AW119" s="3">
        <v>2</v>
      </c>
      <c r="AX119" s="12" t="s">
        <v>815</v>
      </c>
      <c r="AY119" s="3">
        <v>1</v>
      </c>
      <c r="AZ119" s="3">
        <v>2</v>
      </c>
      <c r="BA119" s="12" t="s">
        <v>815</v>
      </c>
      <c r="BB119" s="3">
        <v>2</v>
      </c>
      <c r="BC119" s="3">
        <v>1</v>
      </c>
      <c r="BD119" s="3">
        <v>3</v>
      </c>
      <c r="BE119" s="3">
        <v>2</v>
      </c>
      <c r="BF119" s="3">
        <v>3</v>
      </c>
      <c r="BG119" s="3">
        <v>3</v>
      </c>
      <c r="BH119" s="3">
        <v>3</v>
      </c>
      <c r="BI119" s="3">
        <v>3</v>
      </c>
      <c r="BJ119" s="3">
        <v>1</v>
      </c>
      <c r="BK119" s="3">
        <v>2</v>
      </c>
      <c r="BL119" s="3">
        <v>1</v>
      </c>
      <c r="BM119" s="3" t="s">
        <v>274</v>
      </c>
      <c r="BN119" s="3">
        <v>3</v>
      </c>
      <c r="BO119" s="3">
        <v>3</v>
      </c>
      <c r="BP119" s="3">
        <v>3</v>
      </c>
      <c r="BQ119" s="3">
        <v>2</v>
      </c>
      <c r="BR119" s="3">
        <v>2</v>
      </c>
      <c r="BS119" s="3">
        <v>3</v>
      </c>
      <c r="BT119" s="3">
        <v>1</v>
      </c>
      <c r="BU119" s="2">
        <v>4</v>
      </c>
      <c r="BV119" s="2">
        <v>2</v>
      </c>
      <c r="BW119" s="2">
        <v>3</v>
      </c>
      <c r="BX119" s="2">
        <v>2</v>
      </c>
      <c r="BY119" s="2">
        <v>4</v>
      </c>
      <c r="BZ119" s="2">
        <v>2</v>
      </c>
      <c r="CA119" s="2">
        <v>2</v>
      </c>
      <c r="CB119" s="2">
        <v>2</v>
      </c>
      <c r="CC119" s="2">
        <v>2</v>
      </c>
      <c r="CD119" s="2">
        <v>3</v>
      </c>
      <c r="CE119" s="2">
        <v>3</v>
      </c>
      <c r="CF119" s="2">
        <v>2</v>
      </c>
      <c r="CG119" s="2">
        <v>1</v>
      </c>
      <c r="CH119" s="2">
        <v>1</v>
      </c>
      <c r="CI119" s="2">
        <v>3</v>
      </c>
      <c r="CJ119" s="11" t="s">
        <v>815</v>
      </c>
      <c r="CK119" s="2">
        <v>2</v>
      </c>
      <c r="CL119" s="2">
        <v>3</v>
      </c>
      <c r="CM119" s="2">
        <v>1</v>
      </c>
      <c r="CN119" s="2">
        <v>1</v>
      </c>
      <c r="CO119" s="2">
        <v>3</v>
      </c>
      <c r="CP119" s="2">
        <v>1</v>
      </c>
      <c r="CQ119" s="2">
        <v>2</v>
      </c>
      <c r="CR119" s="2">
        <v>3</v>
      </c>
      <c r="CS119" s="2">
        <v>2</v>
      </c>
      <c r="CT119" s="2">
        <v>1</v>
      </c>
      <c r="CU119" s="2">
        <v>1</v>
      </c>
      <c r="CV119" s="2">
        <v>3</v>
      </c>
      <c r="CW119" s="2">
        <v>2</v>
      </c>
      <c r="CX119" s="2">
        <v>1</v>
      </c>
      <c r="CY119" s="2">
        <v>1</v>
      </c>
      <c r="CZ119" s="2">
        <v>2</v>
      </c>
      <c r="DA119" s="2">
        <v>3</v>
      </c>
      <c r="DB119" s="2">
        <v>1</v>
      </c>
      <c r="DC119" s="2">
        <v>2</v>
      </c>
      <c r="DD119" s="2">
        <v>2</v>
      </c>
      <c r="DE119" s="2">
        <v>3</v>
      </c>
      <c r="DF119" s="2">
        <v>3</v>
      </c>
      <c r="DG119" s="2">
        <v>3</v>
      </c>
      <c r="DH119" s="2">
        <v>2</v>
      </c>
      <c r="DI119" s="2">
        <v>1</v>
      </c>
      <c r="DJ119" s="2">
        <v>2</v>
      </c>
      <c r="DK119" s="2">
        <v>1</v>
      </c>
      <c r="DL119" s="2">
        <v>3</v>
      </c>
      <c r="DM119" s="2">
        <v>1</v>
      </c>
      <c r="DN119" s="2">
        <v>1</v>
      </c>
      <c r="DO119" s="2">
        <v>2</v>
      </c>
      <c r="DP119" s="2">
        <v>3</v>
      </c>
      <c r="DQ119" s="2">
        <v>3</v>
      </c>
      <c r="DR119" s="2">
        <v>1</v>
      </c>
      <c r="DS119" s="2">
        <v>3</v>
      </c>
      <c r="DT119" s="2">
        <v>2</v>
      </c>
      <c r="DU119" s="2">
        <v>1</v>
      </c>
      <c r="DV119" s="2">
        <v>1</v>
      </c>
      <c r="DW119" s="2">
        <v>1</v>
      </c>
      <c r="DX119" s="2">
        <v>3</v>
      </c>
      <c r="DY119" s="2">
        <v>1</v>
      </c>
      <c r="DZ119" s="11" t="s">
        <v>815</v>
      </c>
      <c r="EA119" s="2">
        <v>1</v>
      </c>
      <c r="EB119" s="2">
        <v>1</v>
      </c>
      <c r="EC119" s="2">
        <v>2</v>
      </c>
      <c r="ED119" s="2">
        <v>1</v>
      </c>
      <c r="EE119" s="2">
        <v>1</v>
      </c>
      <c r="EF119" s="2">
        <v>1</v>
      </c>
      <c r="EG119" s="2">
        <v>1</v>
      </c>
      <c r="EH119" s="11" t="s">
        <v>815</v>
      </c>
      <c r="EI119" s="2">
        <v>3</v>
      </c>
      <c r="EJ119" s="2">
        <v>3</v>
      </c>
      <c r="EK119" s="2">
        <v>2</v>
      </c>
      <c r="EL119" s="2">
        <v>1</v>
      </c>
      <c r="EM119" s="2">
        <v>1</v>
      </c>
      <c r="EN119" s="11" t="s">
        <v>815</v>
      </c>
      <c r="EO119" s="11" t="s">
        <v>815</v>
      </c>
      <c r="EP119" s="11" t="s">
        <v>815</v>
      </c>
      <c r="EQ119" s="2">
        <v>2</v>
      </c>
      <c r="ER119" s="2">
        <v>1</v>
      </c>
      <c r="ES119" s="2">
        <v>1</v>
      </c>
      <c r="ET119" s="2">
        <v>2</v>
      </c>
      <c r="EU119" s="11" t="s">
        <v>815</v>
      </c>
      <c r="EV119" s="2">
        <v>1</v>
      </c>
      <c r="EW119" s="2">
        <v>2</v>
      </c>
      <c r="EX119" s="2">
        <v>2</v>
      </c>
      <c r="EY119" s="2">
        <v>1</v>
      </c>
      <c r="EZ119" s="2">
        <v>1</v>
      </c>
      <c r="FA119" s="2">
        <v>2</v>
      </c>
      <c r="FB119" s="2">
        <v>2</v>
      </c>
      <c r="FC119" s="2">
        <v>1</v>
      </c>
      <c r="FD119" s="2">
        <v>3</v>
      </c>
      <c r="FE119" s="2">
        <v>2</v>
      </c>
      <c r="FF119" s="2">
        <v>3</v>
      </c>
      <c r="FG119" s="2">
        <v>2</v>
      </c>
      <c r="FH119" s="2">
        <v>1</v>
      </c>
      <c r="FI119" s="11" t="s">
        <v>815</v>
      </c>
      <c r="FJ119" s="2">
        <v>2</v>
      </c>
      <c r="FK119" s="2">
        <v>3</v>
      </c>
      <c r="FL119" s="2">
        <v>3</v>
      </c>
      <c r="FM119" s="2">
        <v>1</v>
      </c>
      <c r="FN119" s="2">
        <v>2</v>
      </c>
      <c r="FO119" s="2">
        <v>1</v>
      </c>
      <c r="FP119" s="2">
        <v>2</v>
      </c>
      <c r="FQ119" s="2">
        <v>2</v>
      </c>
      <c r="FR119" s="2">
        <v>3</v>
      </c>
      <c r="FS119" s="2">
        <v>1</v>
      </c>
      <c r="FT119" s="2">
        <v>1</v>
      </c>
      <c r="FU119" s="2">
        <v>3</v>
      </c>
      <c r="FV119" s="2">
        <v>3</v>
      </c>
      <c r="FW119" s="2">
        <v>1</v>
      </c>
      <c r="FX119" s="2">
        <v>3</v>
      </c>
      <c r="FY119" s="2">
        <v>1</v>
      </c>
      <c r="FZ119" s="2">
        <v>3</v>
      </c>
      <c r="GA119" s="2">
        <v>1</v>
      </c>
      <c r="GB119" s="2">
        <v>2</v>
      </c>
      <c r="GC119" s="2" t="s">
        <v>918</v>
      </c>
      <c r="GD119" s="2">
        <v>2</v>
      </c>
      <c r="GE119" s="2">
        <v>3</v>
      </c>
      <c r="GF119" s="2">
        <v>3</v>
      </c>
      <c r="GG119" s="2">
        <v>2</v>
      </c>
      <c r="GH119" s="2">
        <v>3</v>
      </c>
      <c r="GI119" s="2">
        <v>2</v>
      </c>
      <c r="GJ119" s="2">
        <v>1</v>
      </c>
      <c r="GK119" s="2">
        <v>3</v>
      </c>
      <c r="GL119" s="2">
        <v>2</v>
      </c>
      <c r="GM119" s="2">
        <v>2</v>
      </c>
      <c r="GN119" s="3">
        <v>3</v>
      </c>
      <c r="GO119" s="3">
        <v>2</v>
      </c>
      <c r="GP119" s="3">
        <v>1</v>
      </c>
      <c r="GQ119" s="3">
        <v>3</v>
      </c>
      <c r="GR119" s="3">
        <v>2</v>
      </c>
      <c r="GS119" s="3">
        <v>1</v>
      </c>
      <c r="GT119" s="3">
        <v>2</v>
      </c>
      <c r="GU119" s="3">
        <v>1</v>
      </c>
      <c r="GV119" s="3">
        <v>1</v>
      </c>
      <c r="GW119" s="12" t="s">
        <v>815</v>
      </c>
      <c r="GX119" s="12" t="s">
        <v>815</v>
      </c>
      <c r="GY119" s="3">
        <v>1</v>
      </c>
      <c r="GZ119" s="3">
        <v>1</v>
      </c>
      <c r="HA119" s="3">
        <v>2</v>
      </c>
      <c r="HB119" s="12" t="s">
        <v>815</v>
      </c>
      <c r="HC119" s="12" t="s">
        <v>815</v>
      </c>
      <c r="HD119" s="12" t="s">
        <v>815</v>
      </c>
      <c r="HE119" s="12" t="s">
        <v>815</v>
      </c>
      <c r="HF119" s="3">
        <v>2</v>
      </c>
      <c r="HG119" s="12" t="s">
        <v>815</v>
      </c>
      <c r="HH119" s="3">
        <v>2</v>
      </c>
      <c r="HI119" s="12" t="s">
        <v>815</v>
      </c>
      <c r="HJ119" s="12" t="s">
        <v>815</v>
      </c>
      <c r="HK119" s="3">
        <v>3</v>
      </c>
      <c r="HL119" s="12" t="s">
        <v>815</v>
      </c>
      <c r="HM119" s="12" t="s">
        <v>815</v>
      </c>
      <c r="HN119" s="12" t="s">
        <v>815</v>
      </c>
      <c r="HO119" s="3">
        <v>3</v>
      </c>
      <c r="HP119" s="3">
        <v>1</v>
      </c>
      <c r="HQ119" s="3">
        <v>2</v>
      </c>
      <c r="HR119" s="3">
        <v>2</v>
      </c>
      <c r="HS119" s="12" t="s">
        <v>815</v>
      </c>
      <c r="HT119" s="3">
        <v>2</v>
      </c>
      <c r="HU119" s="12" t="s">
        <v>815</v>
      </c>
      <c r="HV119" s="12" t="s">
        <v>815</v>
      </c>
      <c r="HW119" s="12" t="s">
        <v>815</v>
      </c>
      <c r="HX119" s="3">
        <v>2</v>
      </c>
      <c r="HY119" s="12" t="s">
        <v>815</v>
      </c>
      <c r="HZ119" s="3">
        <v>1</v>
      </c>
      <c r="IA119" s="12" t="s">
        <v>815</v>
      </c>
      <c r="IB119" s="12" t="s">
        <v>815</v>
      </c>
      <c r="IC119" s="12" t="s">
        <v>815</v>
      </c>
      <c r="ID119" s="3">
        <v>2</v>
      </c>
      <c r="IE119" s="12" t="s">
        <v>815</v>
      </c>
      <c r="IF119" s="3">
        <v>2</v>
      </c>
      <c r="IG119" s="12" t="s">
        <v>815</v>
      </c>
      <c r="IH119" s="12" t="s">
        <v>815</v>
      </c>
      <c r="II119" s="3">
        <v>2</v>
      </c>
      <c r="IJ119" s="3">
        <v>2</v>
      </c>
      <c r="IK119" s="12" t="s">
        <v>815</v>
      </c>
      <c r="IL119" s="12" t="s">
        <v>815</v>
      </c>
      <c r="IM119" s="12" t="s">
        <v>815</v>
      </c>
      <c r="IN119" s="12" t="s">
        <v>815</v>
      </c>
      <c r="IO119" s="3">
        <v>2</v>
      </c>
      <c r="IP119" s="12" t="s">
        <v>815</v>
      </c>
      <c r="IQ119" s="3">
        <v>1</v>
      </c>
      <c r="IR119" s="3" t="s">
        <v>919</v>
      </c>
      <c r="IS119" s="3">
        <v>1</v>
      </c>
      <c r="IT119" s="3">
        <v>3</v>
      </c>
      <c r="IU119" s="3">
        <v>1</v>
      </c>
      <c r="IV119" s="3">
        <v>2</v>
      </c>
      <c r="IW119" s="3">
        <v>3</v>
      </c>
      <c r="IX119" s="3">
        <v>2</v>
      </c>
      <c r="IY119" s="3">
        <v>1</v>
      </c>
      <c r="IZ119" s="2" t="s">
        <v>816</v>
      </c>
    </row>
    <row r="120" spans="1:260" ht="13.2" x14ac:dyDescent="0.25">
      <c r="A120" s="10" t="s">
        <v>274</v>
      </c>
      <c r="B120" s="2" t="s">
        <v>920</v>
      </c>
      <c r="C120" s="2" t="s">
        <v>261</v>
      </c>
      <c r="D120" s="2" t="s">
        <v>270</v>
      </c>
      <c r="E120" s="2">
        <v>19</v>
      </c>
      <c r="F120" s="11" t="s">
        <v>921</v>
      </c>
      <c r="G120" s="11" t="s">
        <v>922</v>
      </c>
      <c r="H120" s="2" t="s">
        <v>923</v>
      </c>
      <c r="I120" s="3">
        <v>4</v>
      </c>
      <c r="J120" s="3">
        <v>2</v>
      </c>
      <c r="K120" s="3">
        <v>3</v>
      </c>
      <c r="L120" s="3">
        <v>3</v>
      </c>
      <c r="M120" s="3">
        <v>2</v>
      </c>
      <c r="N120" s="3">
        <v>2</v>
      </c>
      <c r="O120" s="3">
        <v>3</v>
      </c>
      <c r="P120" s="3">
        <v>2</v>
      </c>
      <c r="Q120" s="3">
        <v>2</v>
      </c>
      <c r="R120" s="3">
        <v>2</v>
      </c>
      <c r="S120" s="3">
        <v>1</v>
      </c>
      <c r="T120" s="3">
        <v>2</v>
      </c>
      <c r="U120" s="3">
        <v>2</v>
      </c>
      <c r="V120" s="12" t="s">
        <v>815</v>
      </c>
      <c r="W120" s="3">
        <v>1</v>
      </c>
      <c r="X120" s="3">
        <v>2</v>
      </c>
      <c r="Y120" s="3">
        <v>2</v>
      </c>
      <c r="Z120" s="3">
        <v>2</v>
      </c>
      <c r="AA120" s="3">
        <v>3</v>
      </c>
      <c r="AB120" s="3">
        <v>2</v>
      </c>
      <c r="AC120" s="3">
        <v>3</v>
      </c>
      <c r="AD120" s="3">
        <v>2</v>
      </c>
      <c r="AE120" s="3">
        <v>3</v>
      </c>
      <c r="AF120" s="12" t="s">
        <v>815</v>
      </c>
      <c r="AG120" s="12" t="s">
        <v>815</v>
      </c>
      <c r="AH120" s="12" t="s">
        <v>815</v>
      </c>
      <c r="AI120" s="3">
        <v>3</v>
      </c>
      <c r="AJ120" s="3">
        <v>3</v>
      </c>
      <c r="AK120" s="3">
        <v>3</v>
      </c>
      <c r="AL120" s="3">
        <v>2</v>
      </c>
      <c r="AM120" s="3">
        <v>1</v>
      </c>
      <c r="AN120" s="12" t="s">
        <v>815</v>
      </c>
      <c r="AO120" s="3">
        <v>3</v>
      </c>
      <c r="AP120" s="3">
        <v>2</v>
      </c>
      <c r="AQ120" s="3">
        <v>1</v>
      </c>
      <c r="AR120" s="3">
        <v>1</v>
      </c>
      <c r="AS120" s="3">
        <v>2</v>
      </c>
      <c r="AT120" s="3">
        <v>2</v>
      </c>
      <c r="AU120" s="3">
        <v>2</v>
      </c>
      <c r="AV120" s="3">
        <v>2</v>
      </c>
      <c r="AW120" s="12" t="s">
        <v>815</v>
      </c>
      <c r="AX120" s="12" t="s">
        <v>815</v>
      </c>
      <c r="AY120" s="12" t="s">
        <v>815</v>
      </c>
      <c r="AZ120" s="12" t="s">
        <v>815</v>
      </c>
      <c r="BA120" s="12" t="s">
        <v>815</v>
      </c>
      <c r="BB120" s="3">
        <v>4</v>
      </c>
      <c r="BC120" s="12" t="s">
        <v>815</v>
      </c>
      <c r="BD120" s="3">
        <v>4</v>
      </c>
      <c r="BE120" s="3">
        <v>1</v>
      </c>
      <c r="BF120" s="3">
        <v>2</v>
      </c>
      <c r="BG120" s="3">
        <v>2</v>
      </c>
      <c r="BH120" s="3">
        <v>3</v>
      </c>
      <c r="BI120" s="3">
        <v>1</v>
      </c>
      <c r="BJ120" s="3">
        <v>1</v>
      </c>
      <c r="BK120" s="12" t="s">
        <v>815</v>
      </c>
      <c r="BL120" s="3">
        <v>1</v>
      </c>
      <c r="BM120" s="3" t="s">
        <v>274</v>
      </c>
      <c r="BN120" s="3" t="s">
        <v>274</v>
      </c>
      <c r="BO120" s="3" t="s">
        <v>274</v>
      </c>
      <c r="BP120" s="3" t="s">
        <v>274</v>
      </c>
      <c r="BQ120" s="3" t="s">
        <v>274</v>
      </c>
      <c r="BR120" s="3" t="s">
        <v>274</v>
      </c>
      <c r="BS120" s="3" t="s">
        <v>274</v>
      </c>
      <c r="BT120" s="3" t="s">
        <v>274</v>
      </c>
      <c r="BU120" s="2">
        <v>4</v>
      </c>
      <c r="BV120" s="11" t="s">
        <v>815</v>
      </c>
      <c r="BW120" s="2">
        <v>2</v>
      </c>
      <c r="BX120" s="11" t="s">
        <v>815</v>
      </c>
      <c r="BY120" s="11" t="s">
        <v>815</v>
      </c>
      <c r="BZ120" s="2">
        <v>1</v>
      </c>
      <c r="CA120" s="2">
        <v>3</v>
      </c>
      <c r="CB120" s="2">
        <v>3</v>
      </c>
      <c r="CC120" s="2">
        <v>1</v>
      </c>
      <c r="CD120" s="2">
        <v>2</v>
      </c>
      <c r="CE120" s="11" t="s">
        <v>815</v>
      </c>
      <c r="CF120" s="2">
        <v>1</v>
      </c>
      <c r="CG120" s="11" t="s">
        <v>815</v>
      </c>
      <c r="CH120" s="11" t="s">
        <v>815</v>
      </c>
      <c r="CI120" s="2">
        <v>3</v>
      </c>
      <c r="CJ120" s="2">
        <v>1</v>
      </c>
      <c r="CK120" s="2">
        <v>2</v>
      </c>
      <c r="CL120" s="11" t="s">
        <v>815</v>
      </c>
      <c r="CM120" s="11" t="s">
        <v>815</v>
      </c>
      <c r="CN120" s="11" t="s">
        <v>815</v>
      </c>
      <c r="CO120" s="11" t="s">
        <v>815</v>
      </c>
      <c r="CP120" s="11" t="s">
        <v>815</v>
      </c>
      <c r="CQ120" s="11" t="s">
        <v>815</v>
      </c>
      <c r="CR120" s="2">
        <v>3</v>
      </c>
      <c r="CS120" s="11" t="s">
        <v>815</v>
      </c>
      <c r="CT120" s="11" t="s">
        <v>815</v>
      </c>
      <c r="CU120" s="11" t="s">
        <v>815</v>
      </c>
      <c r="CV120" s="2">
        <v>2</v>
      </c>
      <c r="CW120" s="2">
        <v>1</v>
      </c>
      <c r="CX120" s="11" t="s">
        <v>815</v>
      </c>
      <c r="CY120" s="11" t="s">
        <v>815</v>
      </c>
      <c r="CZ120" s="2">
        <v>2</v>
      </c>
      <c r="DA120" s="2">
        <v>1</v>
      </c>
      <c r="DB120" s="11" t="s">
        <v>815</v>
      </c>
      <c r="DC120" s="11" t="s">
        <v>815</v>
      </c>
      <c r="DD120" s="2">
        <v>2</v>
      </c>
      <c r="DE120" s="2">
        <v>2</v>
      </c>
      <c r="DF120" s="2">
        <v>3</v>
      </c>
      <c r="DG120" s="11" t="s">
        <v>815</v>
      </c>
      <c r="DH120" s="11" t="s">
        <v>815</v>
      </c>
      <c r="DI120" s="11" t="s">
        <v>815</v>
      </c>
      <c r="DJ120" s="11" t="s">
        <v>815</v>
      </c>
      <c r="DK120" s="2">
        <v>1</v>
      </c>
      <c r="DL120" s="2">
        <v>2</v>
      </c>
      <c r="DM120" s="11" t="s">
        <v>815</v>
      </c>
      <c r="DN120" s="11" t="s">
        <v>815</v>
      </c>
      <c r="DO120" s="2">
        <v>1</v>
      </c>
      <c r="DP120" s="2">
        <v>3</v>
      </c>
      <c r="DQ120" s="2">
        <v>4</v>
      </c>
      <c r="DR120" s="11" t="s">
        <v>815</v>
      </c>
      <c r="DS120" s="11" t="s">
        <v>815</v>
      </c>
      <c r="DT120" s="11" t="s">
        <v>815</v>
      </c>
      <c r="DU120" s="11" t="s">
        <v>815</v>
      </c>
      <c r="DV120" s="2">
        <v>1</v>
      </c>
      <c r="DW120" s="2">
        <v>1</v>
      </c>
      <c r="DX120" s="2">
        <v>2</v>
      </c>
      <c r="DY120" s="11" t="s">
        <v>815</v>
      </c>
      <c r="DZ120" s="11" t="s">
        <v>815</v>
      </c>
      <c r="EA120" s="11" t="s">
        <v>815</v>
      </c>
      <c r="EB120" s="11" t="s">
        <v>815</v>
      </c>
      <c r="EC120" s="11" t="s">
        <v>815</v>
      </c>
      <c r="ED120" s="11" t="s">
        <v>815</v>
      </c>
      <c r="EE120" s="11" t="s">
        <v>815</v>
      </c>
      <c r="EF120" s="11" t="s">
        <v>815</v>
      </c>
      <c r="EG120" s="11" t="s">
        <v>815</v>
      </c>
      <c r="EH120" s="11" t="s">
        <v>815</v>
      </c>
      <c r="EI120" s="11" t="s">
        <v>815</v>
      </c>
      <c r="EJ120" s="2">
        <v>2</v>
      </c>
      <c r="EK120" s="11" t="s">
        <v>815</v>
      </c>
      <c r="EL120" s="11" t="s">
        <v>815</v>
      </c>
      <c r="EM120" s="11" t="s">
        <v>815</v>
      </c>
      <c r="EN120" s="11" t="s">
        <v>815</v>
      </c>
      <c r="EO120" s="11" t="s">
        <v>815</v>
      </c>
      <c r="EP120" s="11" t="s">
        <v>815</v>
      </c>
      <c r="EQ120" s="2">
        <v>2</v>
      </c>
      <c r="ER120" s="11" t="s">
        <v>815</v>
      </c>
      <c r="ES120" s="11" t="s">
        <v>815</v>
      </c>
      <c r="ET120" s="2">
        <v>1</v>
      </c>
      <c r="EU120" s="11" t="s">
        <v>815</v>
      </c>
      <c r="EV120" s="11" t="s">
        <v>815</v>
      </c>
      <c r="EW120" s="11" t="s">
        <v>815</v>
      </c>
      <c r="EX120" s="11" t="s">
        <v>815</v>
      </c>
      <c r="EY120" s="11" t="s">
        <v>815</v>
      </c>
      <c r="EZ120" s="11" t="s">
        <v>815</v>
      </c>
      <c r="FA120" s="2">
        <v>2</v>
      </c>
      <c r="FB120" s="11" t="s">
        <v>815</v>
      </c>
      <c r="FC120" s="11" t="s">
        <v>815</v>
      </c>
      <c r="FD120" s="11" t="s">
        <v>815</v>
      </c>
      <c r="FE120" s="11" t="s">
        <v>815</v>
      </c>
      <c r="FF120" s="2">
        <v>3</v>
      </c>
      <c r="FG120" s="2">
        <v>2</v>
      </c>
      <c r="FH120" s="11" t="s">
        <v>815</v>
      </c>
      <c r="FI120" s="11" t="s">
        <v>815</v>
      </c>
      <c r="FJ120" s="2">
        <v>1</v>
      </c>
      <c r="FK120" s="2">
        <v>1</v>
      </c>
      <c r="FL120" s="2">
        <v>1</v>
      </c>
      <c r="FM120" s="11" t="s">
        <v>815</v>
      </c>
      <c r="FN120" s="11" t="s">
        <v>815</v>
      </c>
      <c r="FO120" s="11" t="s">
        <v>815</v>
      </c>
      <c r="FP120" s="11" t="s">
        <v>815</v>
      </c>
      <c r="FQ120" s="2">
        <v>1</v>
      </c>
      <c r="FR120" s="2">
        <v>2</v>
      </c>
      <c r="FS120" s="2">
        <v>1</v>
      </c>
      <c r="FT120" s="11" t="s">
        <v>815</v>
      </c>
      <c r="FU120" s="2">
        <v>3</v>
      </c>
      <c r="FV120" s="11" t="s">
        <v>815</v>
      </c>
      <c r="FW120" s="11" t="s">
        <v>815</v>
      </c>
      <c r="FX120" s="11" t="s">
        <v>815</v>
      </c>
      <c r="FY120" s="2">
        <v>1</v>
      </c>
      <c r="FZ120" s="11" t="s">
        <v>815</v>
      </c>
      <c r="GA120" s="2">
        <v>1</v>
      </c>
      <c r="GB120" s="11" t="s">
        <v>815</v>
      </c>
      <c r="GC120" s="2" t="s">
        <v>274</v>
      </c>
      <c r="GD120" s="2" t="s">
        <v>274</v>
      </c>
      <c r="GE120" s="2" t="s">
        <v>274</v>
      </c>
      <c r="GF120" s="2" t="s">
        <v>274</v>
      </c>
      <c r="GG120" s="2" t="s">
        <v>274</v>
      </c>
      <c r="GH120" s="2" t="s">
        <v>274</v>
      </c>
      <c r="GI120" s="2" t="s">
        <v>274</v>
      </c>
      <c r="GJ120" s="2" t="s">
        <v>274</v>
      </c>
      <c r="GK120" s="2" t="s">
        <v>274</v>
      </c>
      <c r="GL120" s="2" t="s">
        <v>274</v>
      </c>
      <c r="GM120" s="2" t="s">
        <v>274</v>
      </c>
      <c r="GN120" s="3">
        <v>4</v>
      </c>
      <c r="GO120" s="3">
        <v>2</v>
      </c>
      <c r="GP120" s="3">
        <v>1</v>
      </c>
      <c r="GQ120" s="3">
        <v>2</v>
      </c>
      <c r="GR120" s="3">
        <v>2</v>
      </c>
      <c r="GS120" s="3">
        <v>2</v>
      </c>
      <c r="GT120" s="3">
        <v>2</v>
      </c>
      <c r="GU120" s="12" t="s">
        <v>815</v>
      </c>
      <c r="GV120" s="3">
        <v>2</v>
      </c>
      <c r="GW120" s="3">
        <v>1</v>
      </c>
      <c r="GX120" s="12" t="s">
        <v>815</v>
      </c>
      <c r="GY120" s="12" t="s">
        <v>815</v>
      </c>
      <c r="GZ120" s="3">
        <v>1</v>
      </c>
      <c r="HA120" s="3">
        <v>1</v>
      </c>
      <c r="HB120" s="3">
        <v>2</v>
      </c>
      <c r="HC120" s="12" t="s">
        <v>815</v>
      </c>
      <c r="HD120" s="12" t="s">
        <v>815</v>
      </c>
      <c r="HE120" s="12" t="s">
        <v>815</v>
      </c>
      <c r="HF120" s="3">
        <v>1</v>
      </c>
      <c r="HG120" s="12" t="s">
        <v>815</v>
      </c>
      <c r="HH120" s="3">
        <v>2</v>
      </c>
      <c r="HI120" s="12" t="s">
        <v>815</v>
      </c>
      <c r="HJ120" s="12" t="s">
        <v>815</v>
      </c>
      <c r="HK120" s="3">
        <v>2</v>
      </c>
      <c r="HL120" s="12" t="s">
        <v>815</v>
      </c>
      <c r="HM120" s="3">
        <v>1</v>
      </c>
      <c r="HN120" s="12" t="s">
        <v>815</v>
      </c>
      <c r="HO120" s="3">
        <v>2</v>
      </c>
      <c r="HP120" s="12" t="s">
        <v>815</v>
      </c>
      <c r="HQ120" s="3">
        <v>2</v>
      </c>
      <c r="HR120" s="12" t="s">
        <v>815</v>
      </c>
      <c r="HS120" s="12" t="s">
        <v>815</v>
      </c>
      <c r="HT120" s="12" t="s">
        <v>815</v>
      </c>
      <c r="HU120" s="12" t="s">
        <v>815</v>
      </c>
      <c r="HV120" s="3">
        <v>3</v>
      </c>
      <c r="HW120" s="12" t="s">
        <v>815</v>
      </c>
      <c r="HX120" s="3">
        <v>1</v>
      </c>
      <c r="HY120" s="12" t="s">
        <v>815</v>
      </c>
      <c r="HZ120" s="12" t="s">
        <v>815</v>
      </c>
      <c r="IA120" s="3">
        <v>1</v>
      </c>
      <c r="IB120" s="12" t="s">
        <v>815</v>
      </c>
      <c r="IC120" s="3">
        <v>1</v>
      </c>
      <c r="ID120" s="3">
        <v>2</v>
      </c>
      <c r="IE120" s="12" t="s">
        <v>815</v>
      </c>
      <c r="IF120" s="3">
        <v>1</v>
      </c>
      <c r="IG120" s="12" t="s">
        <v>815</v>
      </c>
      <c r="IH120" s="3">
        <v>1</v>
      </c>
      <c r="II120" s="12" t="s">
        <v>815</v>
      </c>
      <c r="IJ120" s="3">
        <v>1</v>
      </c>
      <c r="IK120" s="12" t="s">
        <v>815</v>
      </c>
      <c r="IL120" s="12" t="s">
        <v>815</v>
      </c>
      <c r="IM120" s="12" t="s">
        <v>815</v>
      </c>
      <c r="IN120" s="12" t="s">
        <v>815</v>
      </c>
      <c r="IO120" s="12" t="s">
        <v>815</v>
      </c>
      <c r="IP120" s="3">
        <v>1</v>
      </c>
      <c r="IQ120" s="3">
        <v>1</v>
      </c>
      <c r="IR120" s="3" t="s">
        <v>924</v>
      </c>
      <c r="IS120" s="3">
        <v>2</v>
      </c>
      <c r="IT120" s="3">
        <v>2</v>
      </c>
      <c r="IU120" s="12" t="s">
        <v>815</v>
      </c>
      <c r="IV120" s="3">
        <v>2</v>
      </c>
      <c r="IW120" s="3">
        <v>2</v>
      </c>
      <c r="IX120" s="12" t="s">
        <v>815</v>
      </c>
      <c r="IY120" s="12" t="s">
        <v>815</v>
      </c>
      <c r="IZ120" s="2" t="s">
        <v>816</v>
      </c>
    </row>
    <row r="121" spans="1:260" ht="13.2" x14ac:dyDescent="0.25">
      <c r="A121" s="10" t="s">
        <v>274</v>
      </c>
      <c r="B121" s="2" t="s">
        <v>925</v>
      </c>
      <c r="C121" s="2" t="s">
        <v>261</v>
      </c>
      <c r="D121" s="2" t="s">
        <v>270</v>
      </c>
      <c r="E121" s="2">
        <v>16</v>
      </c>
      <c r="F121" s="11" t="s">
        <v>926</v>
      </c>
      <c r="G121" s="11" t="s">
        <v>927</v>
      </c>
      <c r="H121" s="2" t="s">
        <v>928</v>
      </c>
      <c r="I121" s="3">
        <v>3</v>
      </c>
      <c r="J121" s="3">
        <v>2</v>
      </c>
      <c r="K121" s="3">
        <v>2</v>
      </c>
      <c r="L121" s="3">
        <v>2</v>
      </c>
      <c r="M121" s="3">
        <v>3</v>
      </c>
      <c r="N121" s="3">
        <v>3</v>
      </c>
      <c r="O121" s="3">
        <v>3</v>
      </c>
      <c r="P121" s="3">
        <v>3</v>
      </c>
      <c r="Q121" s="3">
        <v>3</v>
      </c>
      <c r="R121" s="3">
        <v>1</v>
      </c>
      <c r="S121" s="3">
        <v>1</v>
      </c>
      <c r="T121" s="3">
        <v>1</v>
      </c>
      <c r="U121" s="3">
        <v>1</v>
      </c>
      <c r="V121" s="12" t="s">
        <v>815</v>
      </c>
      <c r="W121" s="3">
        <v>3</v>
      </c>
      <c r="X121" s="3">
        <v>3</v>
      </c>
      <c r="Y121" s="3">
        <v>2</v>
      </c>
      <c r="Z121" s="3">
        <v>2</v>
      </c>
      <c r="AA121" s="3">
        <v>3</v>
      </c>
      <c r="AB121" s="3">
        <v>3</v>
      </c>
      <c r="AC121" s="3">
        <v>3</v>
      </c>
      <c r="AD121" s="3">
        <v>3</v>
      </c>
      <c r="AE121" s="3">
        <v>3</v>
      </c>
      <c r="AF121" s="3">
        <v>1</v>
      </c>
      <c r="AG121" s="3">
        <v>1</v>
      </c>
      <c r="AH121" s="3">
        <v>1</v>
      </c>
      <c r="AI121" s="3">
        <v>3</v>
      </c>
      <c r="AJ121" s="3">
        <v>3</v>
      </c>
      <c r="AK121" s="3">
        <v>3</v>
      </c>
      <c r="AL121" s="3">
        <v>3</v>
      </c>
      <c r="AM121" s="3">
        <v>1</v>
      </c>
      <c r="AN121" s="12" t="s">
        <v>815</v>
      </c>
      <c r="AO121" s="3">
        <v>4</v>
      </c>
      <c r="AP121" s="3">
        <v>2</v>
      </c>
      <c r="AQ121" s="3">
        <v>2</v>
      </c>
      <c r="AR121" s="3">
        <v>2</v>
      </c>
      <c r="AS121" s="3">
        <v>2</v>
      </c>
      <c r="AT121" s="3">
        <v>2</v>
      </c>
      <c r="AU121" s="3">
        <v>3</v>
      </c>
      <c r="AV121" s="3">
        <v>2</v>
      </c>
      <c r="AW121" s="3">
        <v>1</v>
      </c>
      <c r="AX121" s="3">
        <v>1</v>
      </c>
      <c r="AY121" s="3">
        <v>1</v>
      </c>
      <c r="AZ121" s="3">
        <v>1</v>
      </c>
      <c r="BA121" s="3">
        <v>1</v>
      </c>
      <c r="BB121" s="3">
        <v>1</v>
      </c>
      <c r="BC121" s="3">
        <v>1</v>
      </c>
      <c r="BD121" s="3">
        <v>1</v>
      </c>
      <c r="BE121" s="3">
        <v>3</v>
      </c>
      <c r="BF121" s="3">
        <v>3</v>
      </c>
      <c r="BG121" s="3">
        <v>4</v>
      </c>
      <c r="BH121" s="3">
        <v>3</v>
      </c>
      <c r="BI121" s="3">
        <v>3</v>
      </c>
      <c r="BJ121" s="3">
        <v>4</v>
      </c>
      <c r="BK121" s="3">
        <v>4</v>
      </c>
      <c r="BL121" s="3">
        <v>4</v>
      </c>
      <c r="BM121" s="3" t="s">
        <v>274</v>
      </c>
      <c r="BN121" s="3">
        <v>3</v>
      </c>
      <c r="BO121" s="3">
        <v>3</v>
      </c>
      <c r="BP121" s="3">
        <v>4</v>
      </c>
      <c r="BQ121" s="3">
        <v>3</v>
      </c>
      <c r="BR121" s="3">
        <v>3</v>
      </c>
      <c r="BS121" s="3">
        <v>4</v>
      </c>
      <c r="BT121" s="3">
        <v>3</v>
      </c>
      <c r="BU121" s="2">
        <v>4</v>
      </c>
      <c r="BV121" s="2">
        <v>3</v>
      </c>
      <c r="BW121" s="2">
        <v>2</v>
      </c>
      <c r="BX121" s="2">
        <v>1</v>
      </c>
      <c r="BY121" s="2">
        <v>1</v>
      </c>
      <c r="BZ121" s="2">
        <v>1</v>
      </c>
      <c r="CA121" s="2">
        <v>1</v>
      </c>
      <c r="CB121" s="2">
        <v>2</v>
      </c>
      <c r="CC121" s="2">
        <v>2</v>
      </c>
      <c r="CD121" s="2">
        <v>3</v>
      </c>
      <c r="CE121" s="2">
        <v>2</v>
      </c>
      <c r="CF121" s="2">
        <v>2</v>
      </c>
      <c r="CG121" s="2">
        <v>2</v>
      </c>
      <c r="CH121" s="11" t="s">
        <v>815</v>
      </c>
      <c r="CI121" s="2">
        <v>2</v>
      </c>
      <c r="CJ121" s="2">
        <v>1</v>
      </c>
      <c r="CK121" s="2">
        <v>3</v>
      </c>
      <c r="CL121" s="2">
        <v>3</v>
      </c>
      <c r="CM121" s="2">
        <v>3</v>
      </c>
      <c r="CN121" s="2">
        <v>2</v>
      </c>
      <c r="CO121" s="2">
        <v>2</v>
      </c>
      <c r="CP121" s="2">
        <v>1</v>
      </c>
      <c r="CQ121" s="2">
        <v>2</v>
      </c>
      <c r="CR121" s="2">
        <v>2</v>
      </c>
      <c r="CS121" s="2">
        <v>3</v>
      </c>
      <c r="CT121" s="2">
        <v>2</v>
      </c>
      <c r="CU121" s="11" t="s">
        <v>815</v>
      </c>
      <c r="CV121" s="11" t="s">
        <v>815</v>
      </c>
      <c r="CW121" s="11" t="s">
        <v>815</v>
      </c>
      <c r="CX121" s="11" t="s">
        <v>815</v>
      </c>
      <c r="CY121" s="11" t="s">
        <v>815</v>
      </c>
      <c r="CZ121" s="11" t="s">
        <v>815</v>
      </c>
      <c r="DA121" s="11" t="s">
        <v>815</v>
      </c>
      <c r="DB121" s="11" t="s">
        <v>815</v>
      </c>
      <c r="DC121" s="2">
        <v>2</v>
      </c>
      <c r="DD121" s="11" t="s">
        <v>815</v>
      </c>
      <c r="DE121" s="2">
        <v>3</v>
      </c>
      <c r="DF121" s="2">
        <v>3</v>
      </c>
      <c r="DG121" s="2">
        <v>3</v>
      </c>
      <c r="DH121" s="2">
        <v>3</v>
      </c>
      <c r="DI121" s="2">
        <v>3</v>
      </c>
      <c r="DJ121" s="2">
        <v>3</v>
      </c>
      <c r="DK121" s="2">
        <v>2</v>
      </c>
      <c r="DL121" s="2">
        <v>3</v>
      </c>
      <c r="DM121" s="2">
        <v>2</v>
      </c>
      <c r="DN121" s="2">
        <v>2</v>
      </c>
      <c r="DO121" s="2">
        <v>1</v>
      </c>
      <c r="DP121" s="2">
        <v>3</v>
      </c>
      <c r="DQ121" s="2">
        <v>4</v>
      </c>
      <c r="DR121" s="2">
        <v>3</v>
      </c>
      <c r="DS121" s="2">
        <v>2</v>
      </c>
      <c r="DT121" s="2">
        <v>2</v>
      </c>
      <c r="DU121" s="2">
        <v>2</v>
      </c>
      <c r="DV121" s="2">
        <v>1</v>
      </c>
      <c r="DW121" s="2">
        <v>1</v>
      </c>
      <c r="DX121" s="2">
        <v>4</v>
      </c>
      <c r="DY121" s="2">
        <v>3</v>
      </c>
      <c r="DZ121" s="2">
        <v>3</v>
      </c>
      <c r="EA121" s="2">
        <v>2</v>
      </c>
      <c r="EB121" s="11" t="s">
        <v>815</v>
      </c>
      <c r="EC121" s="11" t="s">
        <v>815</v>
      </c>
      <c r="ED121" s="11" t="s">
        <v>815</v>
      </c>
      <c r="EE121" s="2">
        <v>2</v>
      </c>
      <c r="EF121" s="11" t="s">
        <v>815</v>
      </c>
      <c r="EG121" s="11" t="s">
        <v>815</v>
      </c>
      <c r="EH121" s="11" t="s">
        <v>815</v>
      </c>
      <c r="EI121" s="2">
        <v>2</v>
      </c>
      <c r="EJ121" s="2">
        <v>4</v>
      </c>
      <c r="EK121" s="2">
        <v>4</v>
      </c>
      <c r="EL121" s="2">
        <v>4</v>
      </c>
      <c r="EM121" s="2">
        <v>2</v>
      </c>
      <c r="EN121" s="11" t="s">
        <v>815</v>
      </c>
      <c r="EO121" s="11" t="s">
        <v>815</v>
      </c>
      <c r="EP121" s="11" t="s">
        <v>815</v>
      </c>
      <c r="EQ121" s="2">
        <v>2</v>
      </c>
      <c r="ER121" s="2">
        <v>1</v>
      </c>
      <c r="ES121" s="2">
        <v>1</v>
      </c>
      <c r="ET121" s="11" t="s">
        <v>815</v>
      </c>
      <c r="EU121" s="2">
        <v>1</v>
      </c>
      <c r="EV121" s="2">
        <v>4</v>
      </c>
      <c r="EW121" s="2">
        <v>4</v>
      </c>
      <c r="EX121" s="2">
        <v>4</v>
      </c>
      <c r="EY121" s="2">
        <v>3</v>
      </c>
      <c r="EZ121" s="2">
        <v>1</v>
      </c>
      <c r="FA121" s="2">
        <v>2</v>
      </c>
      <c r="FB121" s="2">
        <v>1</v>
      </c>
      <c r="FC121" s="2">
        <v>3</v>
      </c>
      <c r="FD121" s="2">
        <v>3</v>
      </c>
      <c r="FE121" s="2">
        <v>2</v>
      </c>
      <c r="FF121" s="2">
        <v>2</v>
      </c>
      <c r="FG121" s="2">
        <v>3</v>
      </c>
      <c r="FH121" s="2">
        <v>2</v>
      </c>
      <c r="FI121" s="2">
        <v>2</v>
      </c>
      <c r="FJ121" s="2">
        <v>1</v>
      </c>
      <c r="FK121" s="11" t="s">
        <v>815</v>
      </c>
      <c r="FL121" s="11" t="s">
        <v>815</v>
      </c>
      <c r="FM121" s="11" t="s">
        <v>815</v>
      </c>
      <c r="FN121" s="11" t="s">
        <v>815</v>
      </c>
      <c r="FO121" s="2">
        <v>2</v>
      </c>
      <c r="FP121" s="11" t="s">
        <v>815</v>
      </c>
      <c r="FQ121" s="2">
        <v>1</v>
      </c>
      <c r="FR121" s="2">
        <v>1</v>
      </c>
      <c r="FS121" s="2">
        <v>1</v>
      </c>
      <c r="FT121" s="2">
        <v>1</v>
      </c>
      <c r="FU121" s="2">
        <v>3</v>
      </c>
      <c r="FV121" s="2">
        <v>3</v>
      </c>
      <c r="FW121" s="2">
        <v>3</v>
      </c>
      <c r="FX121" s="2">
        <v>2</v>
      </c>
      <c r="FY121" s="2">
        <v>3</v>
      </c>
      <c r="FZ121" s="2">
        <v>1</v>
      </c>
      <c r="GA121" s="2">
        <v>2</v>
      </c>
      <c r="GB121" s="2">
        <v>4</v>
      </c>
      <c r="GC121" s="2" t="s">
        <v>274</v>
      </c>
      <c r="GD121" s="2">
        <v>2</v>
      </c>
      <c r="GE121" s="2">
        <v>1</v>
      </c>
      <c r="GF121" s="2">
        <v>4</v>
      </c>
      <c r="GG121" s="2">
        <v>4</v>
      </c>
      <c r="GH121" s="2">
        <v>4</v>
      </c>
      <c r="GI121" s="2">
        <v>2</v>
      </c>
      <c r="GJ121" s="2">
        <v>4</v>
      </c>
      <c r="GK121" s="2">
        <v>2</v>
      </c>
      <c r="GL121" s="2">
        <v>1</v>
      </c>
      <c r="GM121" s="11" t="s">
        <v>815</v>
      </c>
      <c r="GN121" s="3">
        <v>4</v>
      </c>
      <c r="GO121" s="3">
        <v>4</v>
      </c>
      <c r="GP121" s="3">
        <v>4</v>
      </c>
      <c r="GQ121" s="3">
        <v>4</v>
      </c>
      <c r="GR121" s="3">
        <v>4</v>
      </c>
      <c r="GS121" s="3">
        <v>3</v>
      </c>
      <c r="GT121" s="3">
        <v>4</v>
      </c>
      <c r="GU121" s="3">
        <v>2</v>
      </c>
      <c r="GV121" s="3">
        <v>4</v>
      </c>
      <c r="GW121" s="3">
        <v>4</v>
      </c>
      <c r="GX121" s="3">
        <v>4</v>
      </c>
      <c r="GY121" s="3">
        <v>2</v>
      </c>
      <c r="GZ121" s="3">
        <v>4</v>
      </c>
      <c r="HA121" s="3">
        <v>4</v>
      </c>
      <c r="HB121" s="3">
        <v>2</v>
      </c>
      <c r="HC121" s="3">
        <v>2</v>
      </c>
      <c r="HD121" s="3">
        <v>4</v>
      </c>
      <c r="HE121" s="3">
        <v>2</v>
      </c>
      <c r="HF121" s="12" t="s">
        <v>815</v>
      </c>
      <c r="HG121" s="12" t="s">
        <v>815</v>
      </c>
      <c r="HH121" s="3">
        <v>4</v>
      </c>
      <c r="HI121" s="3">
        <v>1</v>
      </c>
      <c r="HJ121" s="3">
        <v>4</v>
      </c>
      <c r="HK121" s="3">
        <v>4</v>
      </c>
      <c r="HL121" s="3">
        <v>2</v>
      </c>
      <c r="HM121" s="3">
        <v>4</v>
      </c>
      <c r="HN121" s="3">
        <v>1</v>
      </c>
      <c r="HO121" s="3">
        <v>4</v>
      </c>
      <c r="HP121" s="3">
        <v>2</v>
      </c>
      <c r="HQ121" s="3">
        <v>4</v>
      </c>
      <c r="HR121" s="3">
        <v>3</v>
      </c>
      <c r="HS121" s="3">
        <v>1</v>
      </c>
      <c r="HT121" s="3">
        <v>2</v>
      </c>
      <c r="HU121" s="3">
        <v>2</v>
      </c>
      <c r="HV121" s="3">
        <v>3</v>
      </c>
      <c r="HW121" s="3">
        <v>2</v>
      </c>
      <c r="HX121" s="12" t="s">
        <v>815</v>
      </c>
      <c r="HY121" s="12" t="s">
        <v>815</v>
      </c>
      <c r="HZ121" s="3">
        <v>1</v>
      </c>
      <c r="IA121" s="3">
        <v>4</v>
      </c>
      <c r="IB121" s="3">
        <v>2</v>
      </c>
      <c r="IC121" s="12" t="s">
        <v>815</v>
      </c>
      <c r="ID121" s="3">
        <v>4</v>
      </c>
      <c r="IE121" s="12" t="s">
        <v>815</v>
      </c>
      <c r="IF121" s="3">
        <v>4</v>
      </c>
      <c r="IG121" s="3">
        <v>4</v>
      </c>
      <c r="IH121" s="12" t="s">
        <v>815</v>
      </c>
      <c r="II121" s="3">
        <v>1</v>
      </c>
      <c r="IJ121" s="3">
        <v>1</v>
      </c>
      <c r="IK121" s="3">
        <v>2</v>
      </c>
      <c r="IL121" s="3">
        <v>4</v>
      </c>
      <c r="IM121" s="12" t="s">
        <v>815</v>
      </c>
      <c r="IN121" s="3">
        <v>1</v>
      </c>
      <c r="IO121" s="3">
        <v>2</v>
      </c>
      <c r="IP121" s="3">
        <v>4</v>
      </c>
      <c r="IQ121" s="3">
        <v>4</v>
      </c>
      <c r="IR121" s="3" t="s">
        <v>929</v>
      </c>
      <c r="IS121" s="3">
        <v>3</v>
      </c>
      <c r="IT121" s="3">
        <v>4</v>
      </c>
      <c r="IU121" s="3">
        <v>2</v>
      </c>
      <c r="IV121" s="3">
        <v>2</v>
      </c>
      <c r="IW121" s="3">
        <v>4</v>
      </c>
      <c r="IX121" s="3">
        <v>4</v>
      </c>
      <c r="IY121" s="3">
        <v>4</v>
      </c>
      <c r="IZ121" s="2" t="s">
        <v>816</v>
      </c>
    </row>
    <row r="122" spans="1:260" ht="13.2" x14ac:dyDescent="0.25">
      <c r="A122" s="10" t="s">
        <v>274</v>
      </c>
      <c r="B122" s="2" t="s">
        <v>930</v>
      </c>
      <c r="C122" s="2" t="s">
        <v>261</v>
      </c>
      <c r="D122" s="2" t="s">
        <v>270</v>
      </c>
      <c r="E122" s="2">
        <v>21</v>
      </c>
      <c r="F122" s="11" t="s">
        <v>931</v>
      </c>
      <c r="G122" s="11" t="s">
        <v>932</v>
      </c>
      <c r="H122" s="2" t="s">
        <v>743</v>
      </c>
      <c r="I122" s="3">
        <v>2</v>
      </c>
      <c r="J122" s="3">
        <v>2</v>
      </c>
      <c r="K122" s="3">
        <v>3</v>
      </c>
      <c r="L122" s="3">
        <v>4</v>
      </c>
      <c r="M122" s="3">
        <v>4</v>
      </c>
      <c r="N122" s="3">
        <v>3</v>
      </c>
      <c r="O122" s="3">
        <v>3</v>
      </c>
      <c r="P122" s="3">
        <v>2</v>
      </c>
      <c r="Q122" s="3">
        <v>4</v>
      </c>
      <c r="R122" s="3">
        <v>2</v>
      </c>
      <c r="S122" s="3">
        <v>1</v>
      </c>
      <c r="T122" s="3">
        <v>1</v>
      </c>
      <c r="U122" s="3">
        <v>1</v>
      </c>
      <c r="V122" s="12" t="s">
        <v>815</v>
      </c>
      <c r="W122" s="3">
        <v>2</v>
      </c>
      <c r="X122" s="3">
        <v>1</v>
      </c>
      <c r="Y122" s="3">
        <v>2</v>
      </c>
      <c r="Z122" s="3">
        <v>2</v>
      </c>
      <c r="AA122" s="3">
        <v>3</v>
      </c>
      <c r="AB122" s="3">
        <v>3</v>
      </c>
      <c r="AC122" s="3">
        <v>2</v>
      </c>
      <c r="AD122" s="3">
        <v>2</v>
      </c>
      <c r="AE122" s="12" t="s">
        <v>815</v>
      </c>
      <c r="AF122" s="12" t="s">
        <v>815</v>
      </c>
      <c r="AG122" s="3">
        <v>2</v>
      </c>
      <c r="AH122" s="3">
        <v>2</v>
      </c>
      <c r="AI122" s="3">
        <v>4</v>
      </c>
      <c r="AJ122" s="3">
        <v>4</v>
      </c>
      <c r="AK122" s="3">
        <v>4</v>
      </c>
      <c r="AL122" s="3">
        <v>4</v>
      </c>
      <c r="AM122" s="12" t="s">
        <v>815</v>
      </c>
      <c r="AN122" s="3">
        <v>1</v>
      </c>
      <c r="AO122" s="3">
        <v>4</v>
      </c>
      <c r="AP122" s="3">
        <v>1</v>
      </c>
      <c r="AQ122" s="12" t="s">
        <v>815</v>
      </c>
      <c r="AR122" s="3">
        <v>2</v>
      </c>
      <c r="AS122" s="3">
        <v>2</v>
      </c>
      <c r="AT122" s="3">
        <v>1</v>
      </c>
      <c r="AU122" s="3">
        <v>2</v>
      </c>
      <c r="AV122" s="3">
        <v>3</v>
      </c>
      <c r="AW122" s="3">
        <v>3</v>
      </c>
      <c r="AX122" s="12" t="s">
        <v>815</v>
      </c>
      <c r="AY122" s="3">
        <v>1</v>
      </c>
      <c r="AZ122" s="3">
        <v>4</v>
      </c>
      <c r="BA122" s="3">
        <v>2</v>
      </c>
      <c r="BB122" s="3">
        <v>3</v>
      </c>
      <c r="BC122" s="3">
        <v>1</v>
      </c>
      <c r="BD122" s="3">
        <v>2</v>
      </c>
      <c r="BE122" s="3">
        <v>4</v>
      </c>
      <c r="BF122" s="3">
        <v>4</v>
      </c>
      <c r="BG122" s="3">
        <v>3</v>
      </c>
      <c r="BH122" s="3">
        <v>4</v>
      </c>
      <c r="BI122" s="3">
        <v>4</v>
      </c>
      <c r="BJ122" s="3">
        <v>4</v>
      </c>
      <c r="BK122" s="3">
        <v>4</v>
      </c>
      <c r="BL122" s="3">
        <v>4</v>
      </c>
      <c r="BM122" s="3" t="s">
        <v>933</v>
      </c>
      <c r="BN122" s="3">
        <v>4</v>
      </c>
      <c r="BO122" s="3">
        <v>2</v>
      </c>
      <c r="BP122" s="3">
        <v>2</v>
      </c>
      <c r="BQ122" s="3">
        <v>4</v>
      </c>
      <c r="BR122" s="3">
        <v>4</v>
      </c>
      <c r="BS122" s="3">
        <v>4</v>
      </c>
      <c r="BT122" s="3">
        <v>3</v>
      </c>
      <c r="BU122" s="2">
        <v>2</v>
      </c>
      <c r="BV122" s="11" t="s">
        <v>815</v>
      </c>
      <c r="BW122" s="2">
        <v>4</v>
      </c>
      <c r="BX122" s="2">
        <v>1</v>
      </c>
      <c r="BY122" s="2">
        <v>2</v>
      </c>
      <c r="BZ122" s="11" t="s">
        <v>815</v>
      </c>
      <c r="CA122" s="2">
        <v>3</v>
      </c>
      <c r="CB122" s="2">
        <v>4</v>
      </c>
      <c r="CC122" s="2">
        <v>3</v>
      </c>
      <c r="CD122" s="2">
        <v>1</v>
      </c>
      <c r="CE122" s="2">
        <v>2</v>
      </c>
      <c r="CF122" s="2">
        <v>3</v>
      </c>
      <c r="CG122" s="2">
        <v>1</v>
      </c>
      <c r="CH122" s="11" t="s">
        <v>815</v>
      </c>
      <c r="CI122" s="2">
        <v>4</v>
      </c>
      <c r="CJ122" s="2">
        <v>4</v>
      </c>
      <c r="CK122" s="2">
        <v>2</v>
      </c>
      <c r="CL122" s="2">
        <v>4</v>
      </c>
      <c r="CM122" s="2">
        <v>4</v>
      </c>
      <c r="CN122" s="11" t="s">
        <v>815</v>
      </c>
      <c r="CO122" s="2">
        <v>2</v>
      </c>
      <c r="CP122" s="11" t="s">
        <v>815</v>
      </c>
      <c r="CQ122" s="2">
        <v>4</v>
      </c>
      <c r="CR122" s="2">
        <v>4</v>
      </c>
      <c r="CS122" s="2">
        <v>4</v>
      </c>
      <c r="CT122" s="2">
        <v>2</v>
      </c>
      <c r="CU122" s="11" t="s">
        <v>815</v>
      </c>
      <c r="CV122" s="2">
        <v>3</v>
      </c>
      <c r="CW122" s="2">
        <v>3</v>
      </c>
      <c r="CX122" s="11" t="s">
        <v>815</v>
      </c>
      <c r="CY122" s="11" t="s">
        <v>815</v>
      </c>
      <c r="CZ122" s="11" t="s">
        <v>815</v>
      </c>
      <c r="DA122" s="2">
        <v>2</v>
      </c>
      <c r="DB122" s="2">
        <v>1</v>
      </c>
      <c r="DC122" s="11" t="s">
        <v>815</v>
      </c>
      <c r="DD122" s="11" t="s">
        <v>815</v>
      </c>
      <c r="DE122" s="2">
        <v>4</v>
      </c>
      <c r="DF122" s="2">
        <v>4</v>
      </c>
      <c r="DG122" s="2">
        <v>4</v>
      </c>
      <c r="DH122" s="2">
        <v>4</v>
      </c>
      <c r="DI122" s="2">
        <v>3</v>
      </c>
      <c r="DJ122" s="11" t="s">
        <v>815</v>
      </c>
      <c r="DK122" s="2">
        <v>1</v>
      </c>
      <c r="DL122" s="2">
        <v>2</v>
      </c>
      <c r="DM122" s="11" t="s">
        <v>815</v>
      </c>
      <c r="DN122" s="11" t="s">
        <v>815</v>
      </c>
      <c r="DO122" s="11" t="s">
        <v>815</v>
      </c>
      <c r="DP122" s="2">
        <v>2</v>
      </c>
      <c r="DQ122" s="2">
        <v>2</v>
      </c>
      <c r="DR122" s="2">
        <v>2</v>
      </c>
      <c r="DS122" s="2">
        <v>2</v>
      </c>
      <c r="DT122" s="2">
        <v>1</v>
      </c>
      <c r="DU122" s="11" t="s">
        <v>815</v>
      </c>
      <c r="DV122" s="11" t="s">
        <v>815</v>
      </c>
      <c r="DW122" s="2">
        <v>1</v>
      </c>
      <c r="DX122" s="2">
        <v>2</v>
      </c>
      <c r="DY122" s="2">
        <v>4</v>
      </c>
      <c r="DZ122" s="2">
        <v>4</v>
      </c>
      <c r="EA122" s="11" t="s">
        <v>815</v>
      </c>
      <c r="EB122" s="11" t="s">
        <v>815</v>
      </c>
      <c r="EC122" s="11" t="s">
        <v>815</v>
      </c>
      <c r="ED122" s="11" t="s">
        <v>815</v>
      </c>
      <c r="EE122" s="11" t="s">
        <v>815</v>
      </c>
      <c r="EF122" s="11" t="s">
        <v>815</v>
      </c>
      <c r="EG122" s="11" t="s">
        <v>815</v>
      </c>
      <c r="EH122" s="11" t="s">
        <v>815</v>
      </c>
      <c r="EI122" s="2">
        <v>4</v>
      </c>
      <c r="EJ122" s="11" t="s">
        <v>815</v>
      </c>
      <c r="EK122" s="2">
        <v>4</v>
      </c>
      <c r="EL122" s="2">
        <v>3</v>
      </c>
      <c r="EM122" s="2">
        <v>2</v>
      </c>
      <c r="EN122" s="11" t="s">
        <v>815</v>
      </c>
      <c r="EO122" s="11" t="s">
        <v>815</v>
      </c>
      <c r="EP122" s="11" t="s">
        <v>815</v>
      </c>
      <c r="EQ122" s="2">
        <v>2</v>
      </c>
      <c r="ER122" s="2">
        <v>2</v>
      </c>
      <c r="ES122" s="2">
        <v>2</v>
      </c>
      <c r="ET122" s="11" t="s">
        <v>815</v>
      </c>
      <c r="EU122" s="2">
        <v>4</v>
      </c>
      <c r="EV122" s="2">
        <v>4</v>
      </c>
      <c r="EW122" s="2">
        <v>3</v>
      </c>
      <c r="EX122" s="2">
        <v>2</v>
      </c>
      <c r="EY122" s="2">
        <v>3</v>
      </c>
      <c r="EZ122" s="11" t="s">
        <v>815</v>
      </c>
      <c r="FA122" s="2">
        <v>4</v>
      </c>
      <c r="FB122" s="2">
        <v>3</v>
      </c>
      <c r="FC122" s="2">
        <v>2</v>
      </c>
      <c r="FD122" s="2">
        <v>2</v>
      </c>
      <c r="FE122" s="2">
        <v>1</v>
      </c>
      <c r="FF122" s="2">
        <v>4</v>
      </c>
      <c r="FG122" s="2">
        <v>2</v>
      </c>
      <c r="FH122" s="2">
        <v>3</v>
      </c>
      <c r="FI122" s="2">
        <v>2</v>
      </c>
      <c r="FJ122" s="11" t="s">
        <v>815</v>
      </c>
      <c r="FK122" s="2">
        <v>2</v>
      </c>
      <c r="FL122" s="2">
        <v>3</v>
      </c>
      <c r="FM122" s="2">
        <v>2</v>
      </c>
      <c r="FN122" s="2">
        <v>2</v>
      </c>
      <c r="FO122" s="11" t="s">
        <v>815</v>
      </c>
      <c r="FP122" s="2">
        <v>2</v>
      </c>
      <c r="FQ122" s="2">
        <v>3</v>
      </c>
      <c r="FR122" s="2">
        <v>3</v>
      </c>
      <c r="FS122" s="2">
        <v>2</v>
      </c>
      <c r="FT122" s="11" t="s">
        <v>815</v>
      </c>
      <c r="FU122" s="2">
        <v>2</v>
      </c>
      <c r="FV122" s="11" t="s">
        <v>815</v>
      </c>
      <c r="FW122" s="2">
        <v>3</v>
      </c>
      <c r="FX122" s="2">
        <v>3</v>
      </c>
      <c r="FY122" s="2">
        <v>3</v>
      </c>
      <c r="FZ122" s="11" t="s">
        <v>815</v>
      </c>
      <c r="GA122" s="11" t="s">
        <v>815</v>
      </c>
      <c r="GB122" s="2">
        <v>3</v>
      </c>
      <c r="GC122" s="2" t="s">
        <v>934</v>
      </c>
      <c r="GD122" s="2">
        <v>3</v>
      </c>
      <c r="GE122" s="2">
        <v>3</v>
      </c>
      <c r="GF122" s="2">
        <v>2</v>
      </c>
      <c r="GG122" s="2">
        <v>3</v>
      </c>
      <c r="GH122" s="2" t="s">
        <v>274</v>
      </c>
      <c r="GI122" s="2">
        <v>2</v>
      </c>
      <c r="GJ122" s="2">
        <v>2</v>
      </c>
      <c r="GK122" s="11" t="s">
        <v>815</v>
      </c>
      <c r="GL122" s="11" t="s">
        <v>815</v>
      </c>
      <c r="GM122" s="2">
        <v>1</v>
      </c>
      <c r="GN122" s="3">
        <v>4</v>
      </c>
      <c r="GO122" s="3">
        <v>4</v>
      </c>
      <c r="GP122" s="3">
        <v>3</v>
      </c>
      <c r="GQ122" s="3">
        <v>4</v>
      </c>
      <c r="GR122" s="3">
        <v>4</v>
      </c>
      <c r="GS122" s="3">
        <v>1</v>
      </c>
      <c r="GT122" s="3">
        <v>4</v>
      </c>
      <c r="GU122" s="3">
        <v>3</v>
      </c>
      <c r="GV122" s="3">
        <v>4</v>
      </c>
      <c r="GW122" s="3">
        <v>4</v>
      </c>
      <c r="GX122" s="3">
        <v>4</v>
      </c>
      <c r="GY122" s="3">
        <v>2</v>
      </c>
      <c r="GZ122" s="3">
        <v>2</v>
      </c>
      <c r="HA122" s="3">
        <v>4</v>
      </c>
      <c r="HB122" s="3">
        <v>1</v>
      </c>
      <c r="HC122" s="3">
        <v>2</v>
      </c>
      <c r="HD122" s="3">
        <v>2</v>
      </c>
      <c r="HE122" s="12" t="s">
        <v>815</v>
      </c>
      <c r="HF122" s="3">
        <v>4</v>
      </c>
      <c r="HG122" s="12" t="s">
        <v>815</v>
      </c>
      <c r="HH122" s="3">
        <v>4</v>
      </c>
      <c r="HI122" s="3">
        <v>3</v>
      </c>
      <c r="HJ122" s="3">
        <v>4</v>
      </c>
      <c r="HK122" s="3">
        <v>3</v>
      </c>
      <c r="HL122" s="3">
        <v>1</v>
      </c>
      <c r="HM122" s="3">
        <v>2</v>
      </c>
      <c r="HN122" s="12" t="s">
        <v>815</v>
      </c>
      <c r="HO122" s="3">
        <v>4</v>
      </c>
      <c r="HP122" s="3">
        <v>2</v>
      </c>
      <c r="HQ122" s="3">
        <v>4</v>
      </c>
      <c r="HR122" s="12" t="s">
        <v>815</v>
      </c>
      <c r="HS122" s="12" t="s">
        <v>815</v>
      </c>
      <c r="HT122" s="12" t="s">
        <v>815</v>
      </c>
      <c r="HU122" s="12" t="s">
        <v>815</v>
      </c>
      <c r="HV122" s="3">
        <v>2</v>
      </c>
      <c r="HW122" s="3">
        <v>2</v>
      </c>
      <c r="HX122" s="12" t="s">
        <v>815</v>
      </c>
      <c r="HY122" s="12" t="s">
        <v>815</v>
      </c>
      <c r="HZ122" s="3">
        <v>2</v>
      </c>
      <c r="IA122" s="3">
        <v>4</v>
      </c>
      <c r="IB122" s="3">
        <v>4</v>
      </c>
      <c r="IC122" s="3">
        <v>1</v>
      </c>
      <c r="ID122" s="3">
        <v>4</v>
      </c>
      <c r="IE122" s="3">
        <v>4</v>
      </c>
      <c r="IF122" s="3">
        <v>4</v>
      </c>
      <c r="IG122" s="3">
        <v>4</v>
      </c>
      <c r="IH122" s="12" t="s">
        <v>815</v>
      </c>
      <c r="II122" s="3">
        <v>1</v>
      </c>
      <c r="IJ122" s="3">
        <v>4</v>
      </c>
      <c r="IK122" s="12" t="s">
        <v>815</v>
      </c>
      <c r="IL122" s="3">
        <v>4</v>
      </c>
      <c r="IM122" s="3">
        <v>2</v>
      </c>
      <c r="IN122" s="12" t="s">
        <v>815</v>
      </c>
      <c r="IO122" s="3">
        <v>4</v>
      </c>
      <c r="IP122" s="3">
        <v>4</v>
      </c>
      <c r="IQ122" s="3">
        <v>4</v>
      </c>
      <c r="IR122" s="3" t="s">
        <v>935</v>
      </c>
      <c r="IS122" s="3">
        <v>2</v>
      </c>
      <c r="IT122" s="3">
        <v>4</v>
      </c>
      <c r="IU122" s="3">
        <v>3</v>
      </c>
      <c r="IV122" s="3">
        <v>4</v>
      </c>
      <c r="IW122" s="3">
        <v>4</v>
      </c>
      <c r="IX122" s="3">
        <v>2</v>
      </c>
      <c r="IY122" s="3">
        <v>4</v>
      </c>
      <c r="IZ122" s="2" t="s">
        <v>816</v>
      </c>
    </row>
    <row r="123" spans="1:260" ht="13.2" x14ac:dyDescent="0.25">
      <c r="A123" s="10" t="s">
        <v>274</v>
      </c>
      <c r="B123" s="2" t="s">
        <v>936</v>
      </c>
      <c r="C123" s="2" t="s">
        <v>261</v>
      </c>
      <c r="D123" s="2" t="s">
        <v>262</v>
      </c>
      <c r="E123" s="2">
        <v>30</v>
      </c>
      <c r="F123" s="11" t="s">
        <v>937</v>
      </c>
      <c r="G123" s="11" t="s">
        <v>938</v>
      </c>
      <c r="H123" s="2" t="s">
        <v>939</v>
      </c>
      <c r="I123" s="3">
        <v>2</v>
      </c>
      <c r="J123" s="3">
        <v>1</v>
      </c>
      <c r="K123" s="3">
        <v>2</v>
      </c>
      <c r="L123" s="3">
        <v>3</v>
      </c>
      <c r="M123" s="3">
        <v>3</v>
      </c>
      <c r="N123" s="3">
        <v>1</v>
      </c>
      <c r="O123" s="3">
        <v>1</v>
      </c>
      <c r="P123" s="12" t="s">
        <v>815</v>
      </c>
      <c r="Q123" s="3">
        <v>1</v>
      </c>
      <c r="R123" s="12" t="s">
        <v>815</v>
      </c>
      <c r="S123" s="12" t="s">
        <v>815</v>
      </c>
      <c r="T123" s="12" t="s">
        <v>815</v>
      </c>
      <c r="U123" s="12" t="s">
        <v>815</v>
      </c>
      <c r="V123" s="3">
        <v>1</v>
      </c>
      <c r="W123" s="12" t="s">
        <v>815</v>
      </c>
      <c r="X123" s="3">
        <v>1</v>
      </c>
      <c r="Y123" s="3">
        <v>1</v>
      </c>
      <c r="Z123" s="12" t="s">
        <v>815</v>
      </c>
      <c r="AA123" s="12" t="s">
        <v>815</v>
      </c>
      <c r="AB123" s="3">
        <v>1</v>
      </c>
      <c r="AC123" s="12" t="s">
        <v>815</v>
      </c>
      <c r="AD123" s="12" t="s">
        <v>815</v>
      </c>
      <c r="AE123" s="12" t="s">
        <v>815</v>
      </c>
      <c r="AF123" s="12" t="s">
        <v>815</v>
      </c>
      <c r="AG123" s="3">
        <v>1</v>
      </c>
      <c r="AH123" s="3">
        <v>1</v>
      </c>
      <c r="AI123" s="3">
        <v>1</v>
      </c>
      <c r="AJ123" s="3">
        <v>1</v>
      </c>
      <c r="AK123" s="3">
        <v>2</v>
      </c>
      <c r="AL123" s="3">
        <v>1</v>
      </c>
      <c r="AM123" s="3">
        <v>1</v>
      </c>
      <c r="AN123" s="12" t="s">
        <v>815</v>
      </c>
      <c r="AO123" s="12" t="s">
        <v>815</v>
      </c>
      <c r="AP123" s="3">
        <v>1</v>
      </c>
      <c r="AQ123" s="3">
        <v>1</v>
      </c>
      <c r="AR123" s="12" t="s">
        <v>815</v>
      </c>
      <c r="AS123" s="12" t="s">
        <v>815</v>
      </c>
      <c r="AT123" s="12" t="s">
        <v>815</v>
      </c>
      <c r="AU123" s="3">
        <v>1</v>
      </c>
      <c r="AV123" s="3">
        <v>1</v>
      </c>
      <c r="AW123" s="3">
        <v>1</v>
      </c>
      <c r="AX123" s="12" t="s">
        <v>815</v>
      </c>
      <c r="AY123" s="12" t="s">
        <v>815</v>
      </c>
      <c r="AZ123" s="3">
        <v>2</v>
      </c>
      <c r="BA123" s="3">
        <v>1</v>
      </c>
      <c r="BB123" s="3">
        <v>1</v>
      </c>
      <c r="BC123" s="12" t="s">
        <v>815</v>
      </c>
      <c r="BD123" s="12" t="s">
        <v>815</v>
      </c>
      <c r="BE123" s="3">
        <v>1</v>
      </c>
      <c r="BF123" s="12" t="s">
        <v>815</v>
      </c>
      <c r="BG123" s="12" t="s">
        <v>815</v>
      </c>
      <c r="BH123" s="12" t="s">
        <v>815</v>
      </c>
      <c r="BI123" s="12" t="s">
        <v>815</v>
      </c>
      <c r="BJ123" s="12" t="s">
        <v>815</v>
      </c>
      <c r="BK123" s="12" t="s">
        <v>815</v>
      </c>
      <c r="BL123" s="12" t="s">
        <v>815</v>
      </c>
      <c r="BM123" s="3" t="s">
        <v>940</v>
      </c>
      <c r="BN123" s="3">
        <v>2</v>
      </c>
      <c r="BO123" s="3">
        <v>2</v>
      </c>
      <c r="BP123" s="3">
        <v>2</v>
      </c>
      <c r="BQ123" s="3">
        <v>2</v>
      </c>
      <c r="BR123" s="3">
        <v>1</v>
      </c>
      <c r="BS123" s="3">
        <v>3</v>
      </c>
      <c r="BT123" s="3">
        <v>2</v>
      </c>
      <c r="BU123" s="11" t="s">
        <v>815</v>
      </c>
      <c r="BV123" s="11" t="s">
        <v>815</v>
      </c>
      <c r="BW123" s="2">
        <v>2</v>
      </c>
      <c r="BX123" s="11" t="s">
        <v>815</v>
      </c>
      <c r="BY123" s="11" t="s">
        <v>815</v>
      </c>
      <c r="BZ123" s="2">
        <v>1</v>
      </c>
      <c r="CA123" s="11" t="s">
        <v>815</v>
      </c>
      <c r="CB123" s="2">
        <v>2</v>
      </c>
      <c r="CC123" s="11" t="s">
        <v>815</v>
      </c>
      <c r="CD123" s="11" t="s">
        <v>815</v>
      </c>
      <c r="CE123" s="11" t="s">
        <v>815</v>
      </c>
      <c r="CF123" s="11" t="s">
        <v>815</v>
      </c>
      <c r="CG123" s="11" t="s">
        <v>815</v>
      </c>
      <c r="CH123" s="11" t="s">
        <v>815</v>
      </c>
      <c r="CI123" s="2">
        <v>2</v>
      </c>
      <c r="CJ123" s="11" t="s">
        <v>815</v>
      </c>
      <c r="CK123" s="11" t="s">
        <v>815</v>
      </c>
      <c r="CL123" s="11" t="s">
        <v>815</v>
      </c>
      <c r="CM123" s="11" t="s">
        <v>815</v>
      </c>
      <c r="CN123" s="2">
        <v>3</v>
      </c>
      <c r="CO123" s="11" t="s">
        <v>815</v>
      </c>
      <c r="CP123" s="11" t="s">
        <v>815</v>
      </c>
      <c r="CQ123" s="11" t="s">
        <v>815</v>
      </c>
      <c r="CR123" s="11" t="s">
        <v>815</v>
      </c>
      <c r="CS123" s="2">
        <v>1</v>
      </c>
      <c r="CT123" s="11" t="s">
        <v>815</v>
      </c>
      <c r="CU123" s="11" t="s">
        <v>815</v>
      </c>
      <c r="CV123" s="11" t="s">
        <v>815</v>
      </c>
      <c r="CW123" s="11" t="s">
        <v>815</v>
      </c>
      <c r="CX123" s="11" t="s">
        <v>815</v>
      </c>
      <c r="CY123" s="2">
        <v>1</v>
      </c>
      <c r="CZ123" s="2">
        <v>1</v>
      </c>
      <c r="DA123" s="2">
        <v>2</v>
      </c>
      <c r="DB123" s="2">
        <v>1</v>
      </c>
      <c r="DC123" s="2">
        <v>1</v>
      </c>
      <c r="DD123" s="2">
        <v>1</v>
      </c>
      <c r="DE123" s="2">
        <v>1</v>
      </c>
      <c r="DF123" s="2">
        <v>1</v>
      </c>
      <c r="DG123" s="2">
        <v>2</v>
      </c>
      <c r="DH123" s="11" t="s">
        <v>815</v>
      </c>
      <c r="DI123" s="2">
        <v>1</v>
      </c>
      <c r="DJ123" s="11" t="s">
        <v>815</v>
      </c>
      <c r="DK123" s="11" t="s">
        <v>815</v>
      </c>
      <c r="DL123" s="11" t="s">
        <v>815</v>
      </c>
      <c r="DM123" s="11" t="s">
        <v>815</v>
      </c>
      <c r="DN123" s="11" t="s">
        <v>815</v>
      </c>
      <c r="DO123" s="11" t="s">
        <v>815</v>
      </c>
      <c r="DP123" s="11" t="s">
        <v>815</v>
      </c>
      <c r="DQ123" s="11" t="s">
        <v>815</v>
      </c>
      <c r="DR123" s="11" t="s">
        <v>815</v>
      </c>
      <c r="DS123" s="11" t="s">
        <v>815</v>
      </c>
      <c r="DT123" s="11" t="s">
        <v>815</v>
      </c>
      <c r="DU123" s="11" t="s">
        <v>815</v>
      </c>
      <c r="DV123" s="11" t="s">
        <v>815</v>
      </c>
      <c r="DW123" s="2">
        <v>2</v>
      </c>
      <c r="DX123" s="11" t="s">
        <v>815</v>
      </c>
      <c r="DY123" s="2">
        <v>2</v>
      </c>
      <c r="DZ123" s="11" t="s">
        <v>815</v>
      </c>
      <c r="EA123" s="2">
        <v>2</v>
      </c>
      <c r="EB123" s="11" t="s">
        <v>815</v>
      </c>
      <c r="EC123" s="11" t="s">
        <v>815</v>
      </c>
      <c r="ED123" s="11" t="s">
        <v>815</v>
      </c>
      <c r="EE123" s="11" t="s">
        <v>815</v>
      </c>
      <c r="EF123" s="11" t="s">
        <v>815</v>
      </c>
      <c r="EG123" s="11" t="s">
        <v>815</v>
      </c>
      <c r="EH123" s="11" t="s">
        <v>815</v>
      </c>
      <c r="EI123" s="2">
        <v>1</v>
      </c>
      <c r="EJ123" s="11" t="s">
        <v>815</v>
      </c>
      <c r="EK123" s="11" t="s">
        <v>815</v>
      </c>
      <c r="EL123" s="11" t="s">
        <v>815</v>
      </c>
      <c r="EM123" s="11" t="s">
        <v>815</v>
      </c>
      <c r="EN123" s="11" t="s">
        <v>815</v>
      </c>
      <c r="EO123" s="11" t="s">
        <v>815</v>
      </c>
      <c r="EP123" s="11" t="s">
        <v>815</v>
      </c>
      <c r="EQ123" s="11" t="s">
        <v>815</v>
      </c>
      <c r="ER123" s="11" t="s">
        <v>815</v>
      </c>
      <c r="ES123" s="11" t="s">
        <v>815</v>
      </c>
      <c r="ET123" s="11" t="s">
        <v>815</v>
      </c>
      <c r="EU123" s="11" t="s">
        <v>815</v>
      </c>
      <c r="EV123" s="11" t="s">
        <v>815</v>
      </c>
      <c r="EW123" s="11" t="s">
        <v>815</v>
      </c>
      <c r="EX123" s="2">
        <v>1</v>
      </c>
      <c r="EY123" s="11" t="s">
        <v>815</v>
      </c>
      <c r="EZ123" s="11" t="s">
        <v>815</v>
      </c>
      <c r="FA123" s="11" t="s">
        <v>815</v>
      </c>
      <c r="FB123" s="11" t="s">
        <v>815</v>
      </c>
      <c r="FC123" s="11" t="s">
        <v>815</v>
      </c>
      <c r="FD123" s="11" t="s">
        <v>815</v>
      </c>
      <c r="FE123" s="11" t="s">
        <v>815</v>
      </c>
      <c r="FF123" s="11" t="s">
        <v>815</v>
      </c>
      <c r="FG123" s="11" t="s">
        <v>815</v>
      </c>
      <c r="FH123" s="11" t="s">
        <v>815</v>
      </c>
      <c r="FI123" s="11" t="s">
        <v>815</v>
      </c>
      <c r="FJ123" s="2">
        <v>1</v>
      </c>
      <c r="FK123" s="11" t="s">
        <v>815</v>
      </c>
      <c r="FL123" s="11" t="s">
        <v>815</v>
      </c>
      <c r="FM123" s="11" t="s">
        <v>815</v>
      </c>
      <c r="FN123" s="11" t="s">
        <v>815</v>
      </c>
      <c r="FO123" s="11" t="s">
        <v>815</v>
      </c>
      <c r="FP123" s="11" t="s">
        <v>815</v>
      </c>
      <c r="FQ123" s="11" t="s">
        <v>815</v>
      </c>
      <c r="FR123" s="2">
        <v>4</v>
      </c>
      <c r="FS123" s="11" t="s">
        <v>815</v>
      </c>
      <c r="FT123" s="11" t="s">
        <v>815</v>
      </c>
      <c r="FU123" s="11" t="s">
        <v>815</v>
      </c>
      <c r="FV123" s="11" t="s">
        <v>815</v>
      </c>
      <c r="FW123" s="11" t="s">
        <v>815</v>
      </c>
      <c r="FX123" s="11" t="s">
        <v>815</v>
      </c>
      <c r="FY123" s="11" t="s">
        <v>815</v>
      </c>
      <c r="FZ123" s="11" t="s">
        <v>815</v>
      </c>
      <c r="GA123" s="11" t="s">
        <v>815</v>
      </c>
      <c r="GB123" s="2">
        <v>1</v>
      </c>
      <c r="GC123" s="2" t="s">
        <v>941</v>
      </c>
      <c r="GD123" s="2">
        <v>1</v>
      </c>
      <c r="GE123" s="11" t="s">
        <v>815</v>
      </c>
      <c r="GF123" s="11" t="s">
        <v>815</v>
      </c>
      <c r="GG123" s="2">
        <v>1</v>
      </c>
      <c r="GH123" s="2">
        <v>2</v>
      </c>
      <c r="GI123" s="2">
        <v>2</v>
      </c>
      <c r="GJ123" s="2">
        <v>1</v>
      </c>
      <c r="GK123" s="11" t="s">
        <v>815</v>
      </c>
      <c r="GL123" s="11" t="s">
        <v>815</v>
      </c>
      <c r="GM123" s="11" t="s">
        <v>815</v>
      </c>
      <c r="GN123" s="3">
        <v>3</v>
      </c>
      <c r="GO123" s="3">
        <v>1</v>
      </c>
      <c r="GP123" s="3">
        <v>1</v>
      </c>
      <c r="GQ123" s="3">
        <v>2</v>
      </c>
      <c r="GR123" s="3">
        <v>1</v>
      </c>
      <c r="GS123" s="12" t="s">
        <v>815</v>
      </c>
      <c r="GT123" s="3">
        <v>1</v>
      </c>
      <c r="GU123" s="12" t="s">
        <v>815</v>
      </c>
      <c r="GV123" s="12" t="s">
        <v>815</v>
      </c>
      <c r="GW123" s="12" t="s">
        <v>815</v>
      </c>
      <c r="GX123" s="12" t="s">
        <v>815</v>
      </c>
      <c r="GY123" s="12" t="s">
        <v>815</v>
      </c>
      <c r="GZ123" s="12" t="s">
        <v>815</v>
      </c>
      <c r="HA123" s="12" t="s">
        <v>815</v>
      </c>
      <c r="HB123" s="12" t="s">
        <v>815</v>
      </c>
      <c r="HC123" s="12" t="s">
        <v>815</v>
      </c>
      <c r="HD123" s="12" t="s">
        <v>815</v>
      </c>
      <c r="HE123" s="12" t="s">
        <v>815</v>
      </c>
      <c r="HF123" s="3">
        <v>1</v>
      </c>
      <c r="HG123" s="12" t="s">
        <v>815</v>
      </c>
      <c r="HH123" s="3">
        <v>1</v>
      </c>
      <c r="HI123" s="12" t="s">
        <v>815</v>
      </c>
      <c r="HJ123" s="12" t="s">
        <v>815</v>
      </c>
      <c r="HK123" s="12" t="s">
        <v>815</v>
      </c>
      <c r="HL123" s="12" t="s">
        <v>815</v>
      </c>
      <c r="HM123" s="12" t="s">
        <v>815</v>
      </c>
      <c r="HN123" s="12" t="s">
        <v>815</v>
      </c>
      <c r="HO123" s="12" t="s">
        <v>815</v>
      </c>
      <c r="HP123" s="12" t="s">
        <v>815</v>
      </c>
      <c r="HQ123" s="12" t="s">
        <v>815</v>
      </c>
      <c r="HR123" s="12" t="s">
        <v>815</v>
      </c>
      <c r="HS123" s="12" t="s">
        <v>815</v>
      </c>
      <c r="HT123" s="12" t="s">
        <v>815</v>
      </c>
      <c r="HU123" s="12" t="s">
        <v>815</v>
      </c>
      <c r="HV123" s="3">
        <v>1</v>
      </c>
      <c r="HW123" s="12" t="s">
        <v>815</v>
      </c>
      <c r="HX123" s="3">
        <v>1</v>
      </c>
      <c r="HY123" s="3">
        <v>2</v>
      </c>
      <c r="HZ123" s="3">
        <v>1</v>
      </c>
      <c r="IA123" s="3">
        <v>1</v>
      </c>
      <c r="IB123" s="3">
        <v>1</v>
      </c>
      <c r="IC123" s="12" t="s">
        <v>815</v>
      </c>
      <c r="ID123" s="12" t="s">
        <v>815</v>
      </c>
      <c r="IE123" s="12" t="s">
        <v>815</v>
      </c>
      <c r="IF123" s="12" t="s">
        <v>815</v>
      </c>
      <c r="IG123" s="12" t="s">
        <v>815</v>
      </c>
      <c r="IH123" s="3">
        <v>1</v>
      </c>
      <c r="II123" s="12" t="s">
        <v>815</v>
      </c>
      <c r="IJ123" s="12" t="s">
        <v>815</v>
      </c>
      <c r="IK123" s="12" t="s">
        <v>815</v>
      </c>
      <c r="IL123" s="12" t="s">
        <v>815</v>
      </c>
      <c r="IM123" s="12" t="s">
        <v>815</v>
      </c>
      <c r="IN123" s="12" t="s">
        <v>815</v>
      </c>
      <c r="IO123" s="12" t="s">
        <v>815</v>
      </c>
      <c r="IP123" s="12" t="s">
        <v>815</v>
      </c>
      <c r="IQ123" s="12" t="s">
        <v>815</v>
      </c>
      <c r="IR123" s="3" t="s">
        <v>942</v>
      </c>
      <c r="IS123" s="12" t="s">
        <v>815</v>
      </c>
      <c r="IT123" s="3">
        <v>3</v>
      </c>
      <c r="IU123" s="3">
        <v>1</v>
      </c>
      <c r="IV123" s="3">
        <v>1</v>
      </c>
      <c r="IW123" s="3">
        <v>1</v>
      </c>
      <c r="IX123" s="12" t="s">
        <v>815</v>
      </c>
      <c r="IY123" s="12" t="s">
        <v>815</v>
      </c>
      <c r="IZ123" s="2" t="s">
        <v>816</v>
      </c>
    </row>
    <row r="124" spans="1:260" ht="13.2" x14ac:dyDescent="0.25">
      <c r="A124" s="10" t="s">
        <v>274</v>
      </c>
      <c r="B124" s="2" t="s">
        <v>943</v>
      </c>
      <c r="C124" s="2" t="s">
        <v>261</v>
      </c>
      <c r="D124" s="2" t="s">
        <v>270</v>
      </c>
      <c r="E124" s="2">
        <v>24</v>
      </c>
      <c r="F124" s="11" t="s">
        <v>944</v>
      </c>
      <c r="G124" s="11" t="s">
        <v>945</v>
      </c>
      <c r="H124" s="2" t="s">
        <v>946</v>
      </c>
      <c r="I124" s="12" t="s">
        <v>815</v>
      </c>
      <c r="J124" s="12" t="s">
        <v>815</v>
      </c>
      <c r="K124" s="3">
        <v>1</v>
      </c>
      <c r="L124" s="3">
        <v>1</v>
      </c>
      <c r="M124" s="3">
        <v>1</v>
      </c>
      <c r="N124" s="3">
        <v>1</v>
      </c>
      <c r="O124" s="3">
        <v>1</v>
      </c>
      <c r="P124" s="12" t="s">
        <v>815</v>
      </c>
      <c r="Q124" s="12" t="s">
        <v>815</v>
      </c>
      <c r="R124" s="12" t="s">
        <v>815</v>
      </c>
      <c r="S124" s="12" t="s">
        <v>815</v>
      </c>
      <c r="T124" s="12" t="s">
        <v>815</v>
      </c>
      <c r="U124" s="12" t="s">
        <v>815</v>
      </c>
      <c r="V124" s="12" t="s">
        <v>815</v>
      </c>
      <c r="W124" s="12" t="s">
        <v>815</v>
      </c>
      <c r="X124" s="12" t="s">
        <v>815</v>
      </c>
      <c r="Y124" s="12" t="s">
        <v>815</v>
      </c>
      <c r="Z124" s="12" t="s">
        <v>815</v>
      </c>
      <c r="AA124" s="12" t="s">
        <v>815</v>
      </c>
      <c r="AB124" s="12" t="s">
        <v>815</v>
      </c>
      <c r="AC124" s="12" t="s">
        <v>815</v>
      </c>
      <c r="AD124" s="12" t="s">
        <v>815</v>
      </c>
      <c r="AE124" s="12" t="s">
        <v>815</v>
      </c>
      <c r="AF124" s="12" t="s">
        <v>815</v>
      </c>
      <c r="AG124" s="3">
        <v>1</v>
      </c>
      <c r="AH124" s="12" t="s">
        <v>815</v>
      </c>
      <c r="AI124" s="12" t="s">
        <v>815</v>
      </c>
      <c r="AJ124" s="12" t="s">
        <v>815</v>
      </c>
      <c r="AK124" s="12" t="s">
        <v>815</v>
      </c>
      <c r="AL124" s="12" t="s">
        <v>815</v>
      </c>
      <c r="AM124" s="12" t="s">
        <v>815</v>
      </c>
      <c r="AN124" s="3">
        <v>1</v>
      </c>
      <c r="AO124" s="12" t="s">
        <v>815</v>
      </c>
      <c r="AP124" s="12" t="s">
        <v>815</v>
      </c>
      <c r="AQ124" s="12" t="s">
        <v>815</v>
      </c>
      <c r="AR124" s="12" t="s">
        <v>815</v>
      </c>
      <c r="AS124" s="12" t="s">
        <v>815</v>
      </c>
      <c r="AT124" s="12" t="s">
        <v>815</v>
      </c>
      <c r="AU124" s="3">
        <v>1</v>
      </c>
      <c r="AV124" s="3">
        <v>1</v>
      </c>
      <c r="AW124" s="12" t="s">
        <v>815</v>
      </c>
      <c r="AX124" s="12" t="s">
        <v>815</v>
      </c>
      <c r="AY124" s="12" t="s">
        <v>815</v>
      </c>
      <c r="AZ124" s="12" t="s">
        <v>815</v>
      </c>
      <c r="BA124" s="12" t="s">
        <v>815</v>
      </c>
      <c r="BB124" s="12" t="s">
        <v>815</v>
      </c>
      <c r="BC124" s="12" t="s">
        <v>815</v>
      </c>
      <c r="BD124" s="12" t="s">
        <v>815</v>
      </c>
      <c r="BE124" s="3">
        <v>2</v>
      </c>
      <c r="BF124" s="3">
        <v>2</v>
      </c>
      <c r="BG124" s="3">
        <v>2</v>
      </c>
      <c r="BH124" s="3">
        <v>1</v>
      </c>
      <c r="BI124" s="3">
        <v>1</v>
      </c>
      <c r="BJ124" s="3">
        <v>1</v>
      </c>
      <c r="BK124" s="12" t="s">
        <v>815</v>
      </c>
      <c r="BL124" s="12" t="s">
        <v>815</v>
      </c>
      <c r="BM124" s="3" t="s">
        <v>947</v>
      </c>
      <c r="BN124" s="12" t="s">
        <v>815</v>
      </c>
      <c r="BO124" s="12" t="s">
        <v>815</v>
      </c>
      <c r="BP124" s="3">
        <v>2</v>
      </c>
      <c r="BQ124" s="12" t="s">
        <v>815</v>
      </c>
      <c r="BR124" s="3">
        <v>1</v>
      </c>
      <c r="BS124" s="3">
        <v>1</v>
      </c>
      <c r="BT124" s="12" t="s">
        <v>815</v>
      </c>
      <c r="BU124" s="11" t="s">
        <v>815</v>
      </c>
      <c r="BV124" s="11" t="s">
        <v>815</v>
      </c>
      <c r="BW124" s="11" t="s">
        <v>815</v>
      </c>
      <c r="BX124" s="11" t="s">
        <v>815</v>
      </c>
      <c r="BY124" s="11" t="s">
        <v>815</v>
      </c>
      <c r="BZ124" s="11" t="s">
        <v>815</v>
      </c>
      <c r="CA124" s="11" t="s">
        <v>815</v>
      </c>
      <c r="CB124" s="2">
        <v>1</v>
      </c>
      <c r="CC124" s="11" t="s">
        <v>815</v>
      </c>
      <c r="CD124" s="11" t="s">
        <v>815</v>
      </c>
      <c r="CE124" s="11" t="s">
        <v>815</v>
      </c>
      <c r="CF124" s="11" t="s">
        <v>815</v>
      </c>
      <c r="CG124" s="11" t="s">
        <v>815</v>
      </c>
      <c r="CH124" s="11" t="s">
        <v>815</v>
      </c>
      <c r="CI124" s="2">
        <v>3</v>
      </c>
      <c r="CJ124" s="11" t="s">
        <v>815</v>
      </c>
      <c r="CK124" s="11" t="s">
        <v>815</v>
      </c>
      <c r="CL124" s="11" t="s">
        <v>815</v>
      </c>
      <c r="CM124" s="11" t="s">
        <v>815</v>
      </c>
      <c r="CN124" s="11" t="s">
        <v>815</v>
      </c>
      <c r="CO124" s="2">
        <v>1</v>
      </c>
      <c r="CP124" s="11" t="s">
        <v>815</v>
      </c>
      <c r="CQ124" s="11" t="s">
        <v>815</v>
      </c>
      <c r="CR124" s="11" t="s">
        <v>815</v>
      </c>
      <c r="CS124" s="11" t="s">
        <v>815</v>
      </c>
      <c r="CT124" s="11" t="s">
        <v>815</v>
      </c>
      <c r="CU124" s="11" t="s">
        <v>815</v>
      </c>
      <c r="CV124" s="11" t="s">
        <v>815</v>
      </c>
      <c r="CW124" s="11" t="s">
        <v>815</v>
      </c>
      <c r="CX124" s="11" t="s">
        <v>815</v>
      </c>
      <c r="CY124" s="11" t="s">
        <v>815</v>
      </c>
      <c r="CZ124" s="11" t="s">
        <v>815</v>
      </c>
      <c r="DA124" s="2">
        <v>1</v>
      </c>
      <c r="DB124" s="11" t="s">
        <v>815</v>
      </c>
      <c r="DC124" s="11" t="s">
        <v>815</v>
      </c>
      <c r="DD124" s="11" t="s">
        <v>815</v>
      </c>
      <c r="DE124" s="11" t="s">
        <v>815</v>
      </c>
      <c r="DF124" s="11" t="s">
        <v>815</v>
      </c>
      <c r="DG124" s="11" t="s">
        <v>815</v>
      </c>
      <c r="DH124" s="2">
        <v>1</v>
      </c>
      <c r="DI124" s="11" t="s">
        <v>815</v>
      </c>
      <c r="DJ124" s="11" t="s">
        <v>815</v>
      </c>
      <c r="DK124" s="11" t="s">
        <v>815</v>
      </c>
      <c r="DL124" s="11" t="s">
        <v>815</v>
      </c>
      <c r="DM124" s="11" t="s">
        <v>815</v>
      </c>
      <c r="DN124" s="11" t="s">
        <v>815</v>
      </c>
      <c r="DO124" s="11" t="s">
        <v>815</v>
      </c>
      <c r="DP124" s="11" t="s">
        <v>815</v>
      </c>
      <c r="DQ124" s="11" t="s">
        <v>815</v>
      </c>
      <c r="DR124" s="11" t="s">
        <v>815</v>
      </c>
      <c r="DS124" s="11" t="s">
        <v>815</v>
      </c>
      <c r="DT124" s="11" t="s">
        <v>815</v>
      </c>
      <c r="DU124" s="11" t="s">
        <v>815</v>
      </c>
      <c r="DV124" s="11" t="s">
        <v>815</v>
      </c>
      <c r="DW124" s="11" t="s">
        <v>815</v>
      </c>
      <c r="DX124" s="11" t="s">
        <v>815</v>
      </c>
      <c r="DY124" s="11" t="s">
        <v>815</v>
      </c>
      <c r="DZ124" s="2">
        <v>1</v>
      </c>
      <c r="EA124" s="11" t="s">
        <v>815</v>
      </c>
      <c r="EB124" s="11" t="s">
        <v>815</v>
      </c>
      <c r="EC124" s="11" t="s">
        <v>815</v>
      </c>
      <c r="ED124" s="11" t="s">
        <v>815</v>
      </c>
      <c r="EE124" s="11" t="s">
        <v>815</v>
      </c>
      <c r="EF124" s="11" t="s">
        <v>815</v>
      </c>
      <c r="EG124" s="11" t="s">
        <v>815</v>
      </c>
      <c r="EH124" s="11" t="s">
        <v>815</v>
      </c>
      <c r="EI124" s="11" t="s">
        <v>815</v>
      </c>
      <c r="EJ124" s="11" t="s">
        <v>815</v>
      </c>
      <c r="EK124" s="11" t="s">
        <v>815</v>
      </c>
      <c r="EL124" s="2">
        <v>2</v>
      </c>
      <c r="EM124" s="11" t="s">
        <v>815</v>
      </c>
      <c r="EN124" s="11" t="s">
        <v>815</v>
      </c>
      <c r="EO124" s="11" t="s">
        <v>815</v>
      </c>
      <c r="EP124" s="11" t="s">
        <v>815</v>
      </c>
      <c r="EQ124" s="11" t="s">
        <v>815</v>
      </c>
      <c r="ER124" s="11" t="s">
        <v>815</v>
      </c>
      <c r="ES124" s="11" t="s">
        <v>815</v>
      </c>
      <c r="ET124" s="11" t="s">
        <v>815</v>
      </c>
      <c r="EU124" s="11" t="s">
        <v>815</v>
      </c>
      <c r="EV124" s="11" t="s">
        <v>815</v>
      </c>
      <c r="EW124" s="11" t="s">
        <v>815</v>
      </c>
      <c r="EX124" s="11" t="s">
        <v>815</v>
      </c>
      <c r="EY124" s="11" t="s">
        <v>815</v>
      </c>
      <c r="EZ124" s="11" t="s">
        <v>815</v>
      </c>
      <c r="FA124" s="11" t="s">
        <v>815</v>
      </c>
      <c r="FB124" s="11" t="s">
        <v>815</v>
      </c>
      <c r="FC124" s="11" t="s">
        <v>815</v>
      </c>
      <c r="FD124" s="11" t="s">
        <v>815</v>
      </c>
      <c r="FE124" s="11" t="s">
        <v>815</v>
      </c>
      <c r="FF124" s="11" t="s">
        <v>815</v>
      </c>
      <c r="FG124" s="11" t="s">
        <v>815</v>
      </c>
      <c r="FH124" s="11" t="s">
        <v>815</v>
      </c>
      <c r="FI124" s="2">
        <v>1</v>
      </c>
      <c r="FJ124" s="11" t="s">
        <v>815</v>
      </c>
      <c r="FK124" s="11" t="s">
        <v>815</v>
      </c>
      <c r="FL124" s="11" t="s">
        <v>815</v>
      </c>
      <c r="FM124" s="11" t="s">
        <v>815</v>
      </c>
      <c r="FN124" s="11" t="s">
        <v>815</v>
      </c>
      <c r="FO124" s="11" t="s">
        <v>815</v>
      </c>
      <c r="FP124" s="11" t="s">
        <v>815</v>
      </c>
      <c r="FQ124" s="11" t="s">
        <v>815</v>
      </c>
      <c r="FR124" s="11" t="s">
        <v>815</v>
      </c>
      <c r="FS124" s="11" t="s">
        <v>815</v>
      </c>
      <c r="FT124" s="11" t="s">
        <v>815</v>
      </c>
      <c r="FU124" s="11" t="s">
        <v>815</v>
      </c>
      <c r="FV124" s="11" t="s">
        <v>815</v>
      </c>
      <c r="FW124" s="11" t="s">
        <v>815</v>
      </c>
      <c r="FX124" s="11" t="s">
        <v>815</v>
      </c>
      <c r="FY124" s="2">
        <v>1</v>
      </c>
      <c r="FZ124" s="2">
        <v>2</v>
      </c>
      <c r="GA124" s="11" t="s">
        <v>815</v>
      </c>
      <c r="GB124" s="11" t="s">
        <v>815</v>
      </c>
      <c r="GC124" s="2" t="s">
        <v>948</v>
      </c>
      <c r="GD124" s="2">
        <v>2</v>
      </c>
      <c r="GE124" s="11" t="s">
        <v>815</v>
      </c>
      <c r="GF124" s="11" t="s">
        <v>815</v>
      </c>
      <c r="GG124" s="11" t="s">
        <v>815</v>
      </c>
      <c r="GH124" s="2">
        <v>2</v>
      </c>
      <c r="GI124" s="11" t="s">
        <v>815</v>
      </c>
      <c r="GJ124" s="11" t="s">
        <v>815</v>
      </c>
      <c r="GK124" s="2">
        <v>2</v>
      </c>
      <c r="GL124" s="11" t="s">
        <v>815</v>
      </c>
      <c r="GM124" s="11" t="s">
        <v>815</v>
      </c>
      <c r="GN124" s="3">
        <v>2</v>
      </c>
      <c r="GO124" s="3">
        <v>2</v>
      </c>
      <c r="GP124" s="3">
        <v>2</v>
      </c>
      <c r="GQ124" s="3">
        <v>1</v>
      </c>
      <c r="GR124" s="3">
        <v>1</v>
      </c>
      <c r="GS124" s="3">
        <v>1</v>
      </c>
      <c r="GT124" s="3">
        <v>1</v>
      </c>
      <c r="GU124" s="12" t="s">
        <v>815</v>
      </c>
      <c r="GV124" s="12" t="s">
        <v>815</v>
      </c>
      <c r="GW124" s="12" t="s">
        <v>815</v>
      </c>
      <c r="GX124" s="12" t="s">
        <v>815</v>
      </c>
      <c r="GY124" s="3">
        <v>2</v>
      </c>
      <c r="GZ124" s="3">
        <v>1</v>
      </c>
      <c r="HA124" s="12" t="s">
        <v>815</v>
      </c>
      <c r="HB124" s="12" t="s">
        <v>815</v>
      </c>
      <c r="HC124" s="3">
        <v>3</v>
      </c>
      <c r="HD124" s="12" t="s">
        <v>815</v>
      </c>
      <c r="HE124" s="3">
        <v>3</v>
      </c>
      <c r="HF124" s="12" t="s">
        <v>815</v>
      </c>
      <c r="HG124" s="3">
        <v>2</v>
      </c>
      <c r="HH124" s="3">
        <v>1</v>
      </c>
      <c r="HI124" s="3">
        <v>2</v>
      </c>
      <c r="HJ124" s="12" t="s">
        <v>815</v>
      </c>
      <c r="HK124" s="3">
        <v>1</v>
      </c>
      <c r="HL124" s="3">
        <v>1</v>
      </c>
      <c r="HM124" s="12" t="s">
        <v>815</v>
      </c>
      <c r="HN124" s="12" t="s">
        <v>815</v>
      </c>
      <c r="HO124" s="3">
        <v>4</v>
      </c>
      <c r="HP124" s="3">
        <v>4</v>
      </c>
      <c r="HQ124" s="3">
        <v>4</v>
      </c>
      <c r="HR124" s="12" t="s">
        <v>815</v>
      </c>
      <c r="HS124" s="12" t="s">
        <v>815</v>
      </c>
      <c r="HT124" s="12" t="s">
        <v>815</v>
      </c>
      <c r="HU124" s="12" t="s">
        <v>815</v>
      </c>
      <c r="HV124" s="12" t="s">
        <v>815</v>
      </c>
      <c r="HW124" s="3">
        <v>3</v>
      </c>
      <c r="HX124" s="12" t="s">
        <v>815</v>
      </c>
      <c r="HY124" s="12" t="s">
        <v>815</v>
      </c>
      <c r="HZ124" s="12" t="s">
        <v>815</v>
      </c>
      <c r="IA124" s="12" t="s">
        <v>815</v>
      </c>
      <c r="IB124" s="3">
        <v>2</v>
      </c>
      <c r="IC124" s="12" t="s">
        <v>815</v>
      </c>
      <c r="ID124" s="12" t="s">
        <v>815</v>
      </c>
      <c r="IE124" s="3">
        <v>3</v>
      </c>
      <c r="IF124" s="3">
        <v>2</v>
      </c>
      <c r="IG124" s="3">
        <v>1</v>
      </c>
      <c r="IH124" s="12" t="s">
        <v>815</v>
      </c>
      <c r="II124" s="3">
        <v>2</v>
      </c>
      <c r="IJ124" s="12" t="s">
        <v>815</v>
      </c>
      <c r="IK124" s="3">
        <v>1</v>
      </c>
      <c r="IL124" s="3">
        <v>1</v>
      </c>
      <c r="IM124" s="12" t="s">
        <v>815</v>
      </c>
      <c r="IN124" s="12" t="s">
        <v>815</v>
      </c>
      <c r="IO124" s="12" t="s">
        <v>815</v>
      </c>
      <c r="IP124" s="12" t="s">
        <v>815</v>
      </c>
      <c r="IQ124" s="12" t="s">
        <v>815</v>
      </c>
      <c r="IR124" s="3" t="s">
        <v>949</v>
      </c>
      <c r="IS124" s="12" t="s">
        <v>815</v>
      </c>
      <c r="IT124" s="3">
        <v>4</v>
      </c>
      <c r="IU124" s="3">
        <v>4</v>
      </c>
      <c r="IV124" s="12" t="s">
        <v>815</v>
      </c>
      <c r="IW124" s="12" t="s">
        <v>815</v>
      </c>
      <c r="IX124" s="3">
        <v>2</v>
      </c>
      <c r="IY124" s="12" t="s">
        <v>815</v>
      </c>
      <c r="IZ124" s="2" t="s">
        <v>816</v>
      </c>
    </row>
    <row r="125" spans="1:260" ht="13.2" x14ac:dyDescent="0.25">
      <c r="A125" s="10" t="s">
        <v>274</v>
      </c>
      <c r="B125" s="2" t="s">
        <v>727</v>
      </c>
      <c r="C125" s="2" t="s">
        <v>261</v>
      </c>
      <c r="D125" s="2" t="s">
        <v>270</v>
      </c>
      <c r="E125" s="2">
        <v>31</v>
      </c>
      <c r="F125" s="11" t="s">
        <v>728</v>
      </c>
      <c r="G125" s="11" t="s">
        <v>950</v>
      </c>
      <c r="H125" s="2" t="s">
        <v>596</v>
      </c>
      <c r="I125" s="3">
        <v>1</v>
      </c>
      <c r="J125" s="3">
        <v>1</v>
      </c>
      <c r="K125" s="3">
        <v>2</v>
      </c>
      <c r="L125" s="3">
        <v>1</v>
      </c>
      <c r="M125" s="3">
        <v>2</v>
      </c>
      <c r="N125" s="3">
        <v>3</v>
      </c>
      <c r="O125" s="3">
        <v>3</v>
      </c>
      <c r="P125" s="12" t="s">
        <v>815</v>
      </c>
      <c r="Q125" s="12" t="s">
        <v>815</v>
      </c>
      <c r="R125" s="12" t="s">
        <v>815</v>
      </c>
      <c r="S125" s="3">
        <v>1</v>
      </c>
      <c r="T125" s="12" t="s">
        <v>815</v>
      </c>
      <c r="U125" s="12" t="s">
        <v>815</v>
      </c>
      <c r="V125" s="3">
        <v>2</v>
      </c>
      <c r="W125" s="3">
        <v>2</v>
      </c>
      <c r="X125" s="3">
        <v>2</v>
      </c>
      <c r="Y125" s="12" t="s">
        <v>815</v>
      </c>
      <c r="Z125" s="12" t="s">
        <v>815</v>
      </c>
      <c r="AA125" s="3">
        <v>2</v>
      </c>
      <c r="AB125" s="3">
        <v>2</v>
      </c>
      <c r="AC125" s="3">
        <v>2</v>
      </c>
      <c r="AD125" s="3">
        <v>2</v>
      </c>
      <c r="AE125" s="3">
        <v>3</v>
      </c>
      <c r="AF125" s="12" t="s">
        <v>815</v>
      </c>
      <c r="AG125" s="3">
        <v>2</v>
      </c>
      <c r="AH125" s="3">
        <v>2</v>
      </c>
      <c r="AI125" s="3">
        <v>3</v>
      </c>
      <c r="AJ125" s="3">
        <v>4</v>
      </c>
      <c r="AK125" s="3">
        <v>3</v>
      </c>
      <c r="AL125" s="3">
        <v>3</v>
      </c>
      <c r="AM125" s="3">
        <v>2</v>
      </c>
      <c r="AN125" s="3">
        <v>1</v>
      </c>
      <c r="AO125" s="3">
        <v>3</v>
      </c>
      <c r="AP125" s="12" t="s">
        <v>815</v>
      </c>
      <c r="AQ125" s="12" t="s">
        <v>815</v>
      </c>
      <c r="AR125" s="12" t="s">
        <v>815</v>
      </c>
      <c r="AS125" s="3">
        <v>1</v>
      </c>
      <c r="AT125" s="12" t="s">
        <v>815</v>
      </c>
      <c r="AU125" s="12" t="s">
        <v>815</v>
      </c>
      <c r="AV125" s="12" t="s">
        <v>815</v>
      </c>
      <c r="AW125" s="12" t="s">
        <v>815</v>
      </c>
      <c r="AX125" s="12" t="s">
        <v>815</v>
      </c>
      <c r="AY125" s="12" t="s">
        <v>815</v>
      </c>
      <c r="AZ125" s="12" t="s">
        <v>815</v>
      </c>
      <c r="BA125" s="12" t="s">
        <v>815</v>
      </c>
      <c r="BB125" s="3">
        <v>1</v>
      </c>
      <c r="BC125" s="12" t="s">
        <v>815</v>
      </c>
      <c r="BD125" s="3">
        <v>1</v>
      </c>
      <c r="BE125" s="12" t="s">
        <v>815</v>
      </c>
      <c r="BF125" s="12" t="s">
        <v>815</v>
      </c>
      <c r="BG125" s="12" t="s">
        <v>815</v>
      </c>
      <c r="BH125" s="12" t="s">
        <v>815</v>
      </c>
      <c r="BI125" s="3">
        <v>2</v>
      </c>
      <c r="BJ125" s="3">
        <v>3</v>
      </c>
      <c r="BK125" s="3">
        <v>3</v>
      </c>
      <c r="BL125" s="3">
        <v>3</v>
      </c>
      <c r="BM125" s="3" t="s">
        <v>951</v>
      </c>
      <c r="BN125" s="3">
        <v>3</v>
      </c>
      <c r="BO125" s="12" t="s">
        <v>815</v>
      </c>
      <c r="BP125" s="3">
        <v>3</v>
      </c>
      <c r="BQ125" s="3">
        <v>3</v>
      </c>
      <c r="BR125" s="3">
        <v>3</v>
      </c>
      <c r="BS125" s="3">
        <v>3</v>
      </c>
      <c r="BT125" s="3">
        <v>3</v>
      </c>
      <c r="BU125" s="2">
        <v>2</v>
      </c>
      <c r="BV125" s="2">
        <v>2</v>
      </c>
      <c r="BW125" s="2">
        <v>2</v>
      </c>
      <c r="BX125" s="11" t="s">
        <v>815</v>
      </c>
      <c r="BY125" s="11" t="s">
        <v>815</v>
      </c>
      <c r="BZ125" s="11" t="s">
        <v>815</v>
      </c>
      <c r="CA125" s="11" t="s">
        <v>815</v>
      </c>
      <c r="CB125" s="11" t="s">
        <v>815</v>
      </c>
      <c r="CC125" s="11" t="s">
        <v>815</v>
      </c>
      <c r="CD125" s="11" t="s">
        <v>815</v>
      </c>
      <c r="CE125" s="11" t="s">
        <v>815</v>
      </c>
      <c r="CF125" s="11" t="s">
        <v>815</v>
      </c>
      <c r="CG125" s="11" t="s">
        <v>815</v>
      </c>
      <c r="CH125" s="11" t="s">
        <v>815</v>
      </c>
      <c r="CI125" s="2">
        <v>2</v>
      </c>
      <c r="CJ125" s="11" t="s">
        <v>815</v>
      </c>
      <c r="CK125" s="11" t="s">
        <v>815</v>
      </c>
      <c r="CL125" s="11" t="s">
        <v>815</v>
      </c>
      <c r="CM125" s="11" t="s">
        <v>815</v>
      </c>
      <c r="CN125" s="11" t="s">
        <v>815</v>
      </c>
      <c r="CO125" s="11" t="s">
        <v>815</v>
      </c>
      <c r="CP125" s="11" t="s">
        <v>815</v>
      </c>
      <c r="CQ125" s="2">
        <v>3</v>
      </c>
      <c r="CR125" s="11" t="s">
        <v>815</v>
      </c>
      <c r="CS125" s="2">
        <v>2</v>
      </c>
      <c r="CT125" s="11" t="s">
        <v>815</v>
      </c>
      <c r="CU125" s="11" t="s">
        <v>815</v>
      </c>
      <c r="CV125" s="11" t="s">
        <v>815</v>
      </c>
      <c r="CW125" s="11" t="s">
        <v>815</v>
      </c>
      <c r="CX125" s="11" t="s">
        <v>815</v>
      </c>
      <c r="CY125" s="11" t="s">
        <v>815</v>
      </c>
      <c r="CZ125" s="11" t="s">
        <v>815</v>
      </c>
      <c r="DA125" s="11" t="s">
        <v>815</v>
      </c>
      <c r="DB125" s="11" t="s">
        <v>815</v>
      </c>
      <c r="DC125" s="11" t="s">
        <v>815</v>
      </c>
      <c r="DD125" s="11" t="s">
        <v>815</v>
      </c>
      <c r="DE125" s="2">
        <v>3</v>
      </c>
      <c r="DF125" s="2">
        <v>3</v>
      </c>
      <c r="DG125" s="2">
        <v>3</v>
      </c>
      <c r="DH125" s="11" t="s">
        <v>815</v>
      </c>
      <c r="DI125" s="2">
        <v>3</v>
      </c>
      <c r="DJ125" s="2">
        <v>3</v>
      </c>
      <c r="DK125" s="2">
        <v>2</v>
      </c>
      <c r="DL125" s="11" t="s">
        <v>815</v>
      </c>
      <c r="DM125" s="11" t="s">
        <v>815</v>
      </c>
      <c r="DN125" s="11" t="s">
        <v>815</v>
      </c>
      <c r="DO125" s="11" t="s">
        <v>815</v>
      </c>
      <c r="DP125" s="11" t="s">
        <v>815</v>
      </c>
      <c r="DQ125" s="11" t="s">
        <v>815</v>
      </c>
      <c r="DR125" s="11" t="s">
        <v>815</v>
      </c>
      <c r="DS125" s="11" t="s">
        <v>815</v>
      </c>
      <c r="DT125" s="11" t="s">
        <v>815</v>
      </c>
      <c r="DU125" s="11" t="s">
        <v>815</v>
      </c>
      <c r="DV125" s="11" t="s">
        <v>815</v>
      </c>
      <c r="DW125" s="11" t="s">
        <v>815</v>
      </c>
      <c r="DX125" s="2">
        <v>3</v>
      </c>
      <c r="DY125" s="11" t="s">
        <v>815</v>
      </c>
      <c r="DZ125" s="2">
        <v>2</v>
      </c>
      <c r="EA125" s="2">
        <v>3</v>
      </c>
      <c r="EB125" s="11" t="s">
        <v>815</v>
      </c>
      <c r="EC125" s="11" t="s">
        <v>815</v>
      </c>
      <c r="ED125" s="11" t="s">
        <v>815</v>
      </c>
      <c r="EE125" s="11" t="s">
        <v>815</v>
      </c>
      <c r="EF125" s="11" t="s">
        <v>815</v>
      </c>
      <c r="EG125" s="11" t="s">
        <v>815</v>
      </c>
      <c r="EH125" s="11" t="s">
        <v>815</v>
      </c>
      <c r="EI125" s="11" t="s">
        <v>815</v>
      </c>
      <c r="EJ125" s="11" t="s">
        <v>815</v>
      </c>
      <c r="EK125" s="2">
        <v>3</v>
      </c>
      <c r="EL125" s="11" t="s">
        <v>815</v>
      </c>
      <c r="EM125" s="11" t="s">
        <v>815</v>
      </c>
      <c r="EN125" s="11" t="s">
        <v>815</v>
      </c>
      <c r="EO125" s="11" t="s">
        <v>815</v>
      </c>
      <c r="EP125" s="11" t="s">
        <v>815</v>
      </c>
      <c r="EQ125" s="11" t="s">
        <v>815</v>
      </c>
      <c r="ER125" s="11" t="s">
        <v>815</v>
      </c>
      <c r="ES125" s="11" t="s">
        <v>815</v>
      </c>
      <c r="ET125" s="11" t="s">
        <v>815</v>
      </c>
      <c r="EU125" s="11" t="s">
        <v>815</v>
      </c>
      <c r="EV125" s="11" t="s">
        <v>815</v>
      </c>
      <c r="EW125" s="11" t="s">
        <v>815</v>
      </c>
      <c r="EX125" s="11" t="s">
        <v>815</v>
      </c>
      <c r="EY125" s="11" t="s">
        <v>815</v>
      </c>
      <c r="EZ125" s="11" t="s">
        <v>815</v>
      </c>
      <c r="FA125" s="11" t="s">
        <v>815</v>
      </c>
      <c r="FB125" s="11" t="s">
        <v>815</v>
      </c>
      <c r="FC125" s="11" t="s">
        <v>815</v>
      </c>
      <c r="FD125" s="11" t="s">
        <v>815</v>
      </c>
      <c r="FE125" s="11" t="s">
        <v>815</v>
      </c>
      <c r="FF125" s="11" t="s">
        <v>815</v>
      </c>
      <c r="FG125" s="11" t="s">
        <v>815</v>
      </c>
      <c r="FH125" s="11" t="s">
        <v>815</v>
      </c>
      <c r="FI125" s="11" t="s">
        <v>815</v>
      </c>
      <c r="FJ125" s="11" t="s">
        <v>815</v>
      </c>
      <c r="FK125" s="11" t="s">
        <v>815</v>
      </c>
      <c r="FL125" s="11" t="s">
        <v>815</v>
      </c>
      <c r="FM125" s="11" t="s">
        <v>815</v>
      </c>
      <c r="FN125" s="11" t="s">
        <v>815</v>
      </c>
      <c r="FO125" s="11" t="s">
        <v>815</v>
      </c>
      <c r="FP125" s="11" t="s">
        <v>815</v>
      </c>
      <c r="FQ125" s="2">
        <v>1</v>
      </c>
      <c r="FR125" s="2">
        <v>1</v>
      </c>
      <c r="FS125" s="11" t="s">
        <v>815</v>
      </c>
      <c r="FT125" s="11" t="s">
        <v>815</v>
      </c>
      <c r="FU125" s="2">
        <v>2</v>
      </c>
      <c r="FV125" s="2">
        <v>2</v>
      </c>
      <c r="FW125" s="2">
        <v>2</v>
      </c>
      <c r="FX125" s="11" t="s">
        <v>815</v>
      </c>
      <c r="FY125" s="2">
        <v>1</v>
      </c>
      <c r="FZ125" s="2">
        <v>2</v>
      </c>
      <c r="GA125" s="2">
        <v>1</v>
      </c>
      <c r="GB125" s="2">
        <v>2</v>
      </c>
      <c r="GC125" s="2" t="s">
        <v>952</v>
      </c>
      <c r="GD125" s="2">
        <v>2</v>
      </c>
      <c r="GE125" s="11" t="s">
        <v>815</v>
      </c>
      <c r="GF125" s="11" t="s">
        <v>815</v>
      </c>
      <c r="GG125" s="2">
        <v>2</v>
      </c>
      <c r="GH125" s="2">
        <v>2</v>
      </c>
      <c r="GI125" s="11" t="s">
        <v>815</v>
      </c>
      <c r="GJ125" s="11" t="s">
        <v>815</v>
      </c>
      <c r="GK125" s="2">
        <v>2</v>
      </c>
      <c r="GL125" s="11" t="s">
        <v>815</v>
      </c>
      <c r="GM125" s="2">
        <v>1</v>
      </c>
      <c r="GN125" s="3">
        <v>2</v>
      </c>
      <c r="GO125" s="3">
        <v>1</v>
      </c>
      <c r="GP125" s="12" t="s">
        <v>815</v>
      </c>
      <c r="GQ125" s="12" t="s">
        <v>815</v>
      </c>
      <c r="GR125" s="12" t="s">
        <v>815</v>
      </c>
      <c r="GS125" s="3">
        <v>2</v>
      </c>
      <c r="GT125" s="12" t="s">
        <v>815</v>
      </c>
      <c r="GU125" s="3">
        <v>2</v>
      </c>
      <c r="GV125" s="12" t="s">
        <v>815</v>
      </c>
      <c r="GW125" s="3">
        <v>2</v>
      </c>
      <c r="GX125" s="12" t="s">
        <v>815</v>
      </c>
      <c r="GY125" s="12" t="s">
        <v>815</v>
      </c>
      <c r="GZ125" s="12" t="s">
        <v>815</v>
      </c>
      <c r="HA125" s="12" t="s">
        <v>815</v>
      </c>
      <c r="HB125" s="12" t="s">
        <v>815</v>
      </c>
      <c r="HC125" s="12" t="s">
        <v>815</v>
      </c>
      <c r="HD125" s="12" t="s">
        <v>815</v>
      </c>
      <c r="HE125" s="12" t="s">
        <v>815</v>
      </c>
      <c r="HF125" s="12" t="s">
        <v>815</v>
      </c>
      <c r="HG125" s="12" t="s">
        <v>815</v>
      </c>
      <c r="HH125" s="3">
        <v>3</v>
      </c>
      <c r="HI125" s="3">
        <v>4</v>
      </c>
      <c r="HJ125" s="3">
        <v>4</v>
      </c>
      <c r="HK125" s="12" t="s">
        <v>815</v>
      </c>
      <c r="HL125" s="3">
        <v>1</v>
      </c>
      <c r="HM125" s="12" t="s">
        <v>815</v>
      </c>
      <c r="HN125" s="12" t="s">
        <v>815</v>
      </c>
      <c r="HO125" s="3">
        <v>3</v>
      </c>
      <c r="HP125" s="3">
        <v>4</v>
      </c>
      <c r="HQ125" s="3">
        <v>2</v>
      </c>
      <c r="HR125" s="12" t="s">
        <v>815</v>
      </c>
      <c r="HS125" s="12" t="s">
        <v>815</v>
      </c>
      <c r="HT125" s="12" t="s">
        <v>815</v>
      </c>
      <c r="HU125" s="12" t="s">
        <v>815</v>
      </c>
      <c r="HV125" s="3">
        <v>4</v>
      </c>
      <c r="HW125" s="3">
        <v>4</v>
      </c>
      <c r="HX125" s="12" t="s">
        <v>815</v>
      </c>
      <c r="HY125" s="12" t="s">
        <v>815</v>
      </c>
      <c r="HZ125" s="12" t="s">
        <v>815</v>
      </c>
      <c r="IA125" s="3">
        <v>2</v>
      </c>
      <c r="IB125" s="12" t="s">
        <v>815</v>
      </c>
      <c r="IC125" s="12" t="s">
        <v>815</v>
      </c>
      <c r="ID125" s="12" t="s">
        <v>815</v>
      </c>
      <c r="IE125" s="12" t="s">
        <v>815</v>
      </c>
      <c r="IF125" s="12" t="s">
        <v>815</v>
      </c>
      <c r="IG125" s="12" t="s">
        <v>815</v>
      </c>
      <c r="IH125" s="12" t="s">
        <v>815</v>
      </c>
      <c r="II125" s="3">
        <v>1</v>
      </c>
      <c r="IJ125" s="12" t="s">
        <v>815</v>
      </c>
      <c r="IK125" s="12" t="s">
        <v>815</v>
      </c>
      <c r="IL125" s="12" t="s">
        <v>815</v>
      </c>
      <c r="IM125" s="12" t="s">
        <v>815</v>
      </c>
      <c r="IN125" s="12" t="s">
        <v>815</v>
      </c>
      <c r="IO125" s="12" t="s">
        <v>815</v>
      </c>
      <c r="IP125" s="12" t="s">
        <v>815</v>
      </c>
      <c r="IQ125" s="3">
        <v>4</v>
      </c>
      <c r="IR125" s="3" t="s">
        <v>953</v>
      </c>
      <c r="IS125" s="3">
        <v>2</v>
      </c>
      <c r="IT125" s="3">
        <v>2</v>
      </c>
      <c r="IU125" s="3">
        <v>4</v>
      </c>
      <c r="IV125" s="3">
        <v>3</v>
      </c>
      <c r="IW125" s="3">
        <v>2</v>
      </c>
      <c r="IX125" s="12" t="s">
        <v>815</v>
      </c>
      <c r="IY125" s="12" t="s">
        <v>815</v>
      </c>
      <c r="IZ125" s="2" t="s">
        <v>816</v>
      </c>
    </row>
    <row r="126" spans="1:260" ht="13.2" x14ac:dyDescent="0.25">
      <c r="A126" s="10" t="s">
        <v>274</v>
      </c>
      <c r="B126" s="2" t="s">
        <v>954</v>
      </c>
      <c r="C126" s="2" t="s">
        <v>261</v>
      </c>
      <c r="D126" s="2" t="s">
        <v>270</v>
      </c>
      <c r="E126" s="2">
        <v>22</v>
      </c>
      <c r="F126" s="11" t="s">
        <v>955</v>
      </c>
      <c r="G126" s="11" t="s">
        <v>956</v>
      </c>
      <c r="H126" s="2" t="s">
        <v>957</v>
      </c>
      <c r="I126" s="12" t="s">
        <v>815</v>
      </c>
      <c r="J126" s="12" t="s">
        <v>815</v>
      </c>
      <c r="K126" s="3">
        <v>1</v>
      </c>
      <c r="L126" s="12" t="s">
        <v>815</v>
      </c>
      <c r="M126" s="3">
        <v>1</v>
      </c>
      <c r="N126" s="12" t="s">
        <v>815</v>
      </c>
      <c r="O126" s="12" t="s">
        <v>815</v>
      </c>
      <c r="P126" s="12" t="s">
        <v>815</v>
      </c>
      <c r="Q126" s="3">
        <v>1</v>
      </c>
      <c r="R126" s="12" t="s">
        <v>815</v>
      </c>
      <c r="S126" s="12" t="s">
        <v>815</v>
      </c>
      <c r="T126" s="12" t="s">
        <v>815</v>
      </c>
      <c r="U126" s="12" t="s">
        <v>815</v>
      </c>
      <c r="V126" s="12" t="s">
        <v>815</v>
      </c>
      <c r="W126" s="12" t="s">
        <v>815</v>
      </c>
      <c r="X126" s="12" t="s">
        <v>815</v>
      </c>
      <c r="Y126" s="3">
        <v>1</v>
      </c>
      <c r="Z126" s="12" t="s">
        <v>815</v>
      </c>
      <c r="AA126" s="12" t="s">
        <v>815</v>
      </c>
      <c r="AB126" s="12" t="s">
        <v>815</v>
      </c>
      <c r="AC126" s="12" t="s">
        <v>815</v>
      </c>
      <c r="AD126" s="12" t="s">
        <v>815</v>
      </c>
      <c r="AE126" s="12" t="s">
        <v>815</v>
      </c>
      <c r="AF126" s="3">
        <v>1</v>
      </c>
      <c r="AG126" s="3">
        <v>2</v>
      </c>
      <c r="AH126" s="12" t="s">
        <v>815</v>
      </c>
      <c r="AI126" s="3">
        <v>1</v>
      </c>
      <c r="AJ126" s="3">
        <v>1</v>
      </c>
      <c r="AK126" s="12" t="s">
        <v>815</v>
      </c>
      <c r="AL126" s="3">
        <v>1</v>
      </c>
      <c r="AM126" s="12" t="s">
        <v>815</v>
      </c>
      <c r="AN126" s="12" t="s">
        <v>815</v>
      </c>
      <c r="AO126" s="12" t="s">
        <v>815</v>
      </c>
      <c r="AP126" s="12" t="s">
        <v>815</v>
      </c>
      <c r="AQ126" s="12" t="s">
        <v>815</v>
      </c>
      <c r="AR126" s="12" t="s">
        <v>815</v>
      </c>
      <c r="AS126" s="12" t="s">
        <v>815</v>
      </c>
      <c r="AT126" s="12" t="s">
        <v>815</v>
      </c>
      <c r="AU126" s="12" t="s">
        <v>815</v>
      </c>
      <c r="AV126" s="12" t="s">
        <v>815</v>
      </c>
      <c r="AW126" s="3">
        <v>2</v>
      </c>
      <c r="AX126" s="3">
        <v>2</v>
      </c>
      <c r="AY126" s="3">
        <v>3</v>
      </c>
      <c r="AZ126" s="3">
        <v>3</v>
      </c>
      <c r="BA126" s="3">
        <v>2</v>
      </c>
      <c r="BB126" s="3">
        <v>1</v>
      </c>
      <c r="BC126" s="12" t="s">
        <v>815</v>
      </c>
      <c r="BD126" s="3">
        <v>1</v>
      </c>
      <c r="BE126" s="3">
        <v>2</v>
      </c>
      <c r="BF126" s="12" t="s">
        <v>815</v>
      </c>
      <c r="BG126" s="3">
        <v>1</v>
      </c>
      <c r="BH126" s="3">
        <v>1</v>
      </c>
      <c r="BI126" s="3">
        <v>1</v>
      </c>
      <c r="BJ126" s="12" t="s">
        <v>815</v>
      </c>
      <c r="BK126" s="12" t="s">
        <v>815</v>
      </c>
      <c r="BL126" s="12" t="s">
        <v>815</v>
      </c>
      <c r="BM126" s="3" t="s">
        <v>274</v>
      </c>
      <c r="BN126" s="3">
        <v>1</v>
      </c>
      <c r="BO126" s="12" t="s">
        <v>815</v>
      </c>
      <c r="BP126" s="12" t="s">
        <v>815</v>
      </c>
      <c r="BQ126" s="3">
        <v>1</v>
      </c>
      <c r="BR126" s="12" t="s">
        <v>815</v>
      </c>
      <c r="BS126" s="3">
        <v>1</v>
      </c>
      <c r="BT126" s="12" t="s">
        <v>815</v>
      </c>
      <c r="BU126" s="2">
        <v>1</v>
      </c>
      <c r="BV126" s="2">
        <v>1</v>
      </c>
      <c r="BW126" s="11" t="s">
        <v>815</v>
      </c>
      <c r="BX126" s="11" t="s">
        <v>815</v>
      </c>
      <c r="BY126" s="11" t="s">
        <v>815</v>
      </c>
      <c r="BZ126" s="11" t="s">
        <v>815</v>
      </c>
      <c r="CA126" s="11" t="s">
        <v>815</v>
      </c>
      <c r="CB126" s="2">
        <v>1</v>
      </c>
      <c r="CC126" s="2">
        <v>1</v>
      </c>
      <c r="CD126" s="11" t="s">
        <v>815</v>
      </c>
      <c r="CE126" s="11" t="s">
        <v>815</v>
      </c>
      <c r="CF126" s="11" t="s">
        <v>815</v>
      </c>
      <c r="CG126" s="11" t="s">
        <v>815</v>
      </c>
      <c r="CH126" s="11" t="s">
        <v>815</v>
      </c>
      <c r="CI126" s="11" t="s">
        <v>815</v>
      </c>
      <c r="CJ126" s="11" t="s">
        <v>815</v>
      </c>
      <c r="CK126" s="11" t="s">
        <v>815</v>
      </c>
      <c r="CL126" s="2">
        <v>1</v>
      </c>
      <c r="CM126" s="11" t="s">
        <v>815</v>
      </c>
      <c r="CN126" s="11" t="s">
        <v>815</v>
      </c>
      <c r="CO126" s="11" t="s">
        <v>815</v>
      </c>
      <c r="CP126" s="11" t="s">
        <v>815</v>
      </c>
      <c r="CQ126" s="2">
        <v>1</v>
      </c>
      <c r="CR126" s="11" t="s">
        <v>815</v>
      </c>
      <c r="CS126" s="2">
        <v>1</v>
      </c>
      <c r="CT126" s="11" t="s">
        <v>815</v>
      </c>
      <c r="CU126" s="11" t="s">
        <v>815</v>
      </c>
      <c r="CV126" s="11" t="s">
        <v>815</v>
      </c>
      <c r="CW126" s="11" t="s">
        <v>815</v>
      </c>
      <c r="CX126" s="11" t="s">
        <v>815</v>
      </c>
      <c r="CY126" s="11" t="s">
        <v>815</v>
      </c>
      <c r="CZ126" s="11" t="s">
        <v>815</v>
      </c>
      <c r="DA126" s="2">
        <v>1</v>
      </c>
      <c r="DB126" s="11" t="s">
        <v>815</v>
      </c>
      <c r="DC126" s="11" t="s">
        <v>815</v>
      </c>
      <c r="DD126" s="11" t="s">
        <v>815</v>
      </c>
      <c r="DE126" s="2">
        <v>1</v>
      </c>
      <c r="DF126" s="11" t="s">
        <v>815</v>
      </c>
      <c r="DG126" s="2">
        <v>1</v>
      </c>
      <c r="DH126" s="11" t="s">
        <v>815</v>
      </c>
      <c r="DI126" s="11" t="s">
        <v>815</v>
      </c>
      <c r="DJ126" s="11" t="s">
        <v>815</v>
      </c>
      <c r="DK126" s="11" t="s">
        <v>815</v>
      </c>
      <c r="DL126" s="11" t="s">
        <v>815</v>
      </c>
      <c r="DM126" s="11" t="s">
        <v>815</v>
      </c>
      <c r="DN126" s="11" t="s">
        <v>815</v>
      </c>
      <c r="DO126" s="2">
        <v>1</v>
      </c>
      <c r="DP126" s="2">
        <v>1</v>
      </c>
      <c r="DQ126" s="11" t="s">
        <v>815</v>
      </c>
      <c r="DR126" s="11" t="s">
        <v>815</v>
      </c>
      <c r="DS126" s="11" t="s">
        <v>815</v>
      </c>
      <c r="DT126" s="11" t="s">
        <v>815</v>
      </c>
      <c r="DU126" s="11" t="s">
        <v>815</v>
      </c>
      <c r="DV126" s="11" t="s">
        <v>815</v>
      </c>
      <c r="DW126" s="11" t="s">
        <v>815</v>
      </c>
      <c r="DX126" s="11" t="s">
        <v>815</v>
      </c>
      <c r="DY126" s="11" t="s">
        <v>815</v>
      </c>
      <c r="DZ126" s="11" t="s">
        <v>815</v>
      </c>
      <c r="EA126" s="11" t="s">
        <v>815</v>
      </c>
      <c r="EB126" s="11" t="s">
        <v>815</v>
      </c>
      <c r="EC126" s="11" t="s">
        <v>815</v>
      </c>
      <c r="ED126" s="2">
        <v>2</v>
      </c>
      <c r="EE126" s="2">
        <v>2</v>
      </c>
      <c r="EF126" s="11" t="s">
        <v>815</v>
      </c>
      <c r="EG126" s="2">
        <v>2</v>
      </c>
      <c r="EH126" s="2">
        <v>1</v>
      </c>
      <c r="EI126" s="2">
        <v>2</v>
      </c>
      <c r="EJ126" s="11" t="s">
        <v>815</v>
      </c>
      <c r="EK126" s="2">
        <v>2</v>
      </c>
      <c r="EL126" s="11" t="s">
        <v>815</v>
      </c>
      <c r="EM126" s="11" t="s">
        <v>815</v>
      </c>
      <c r="EN126" s="11" t="s">
        <v>815</v>
      </c>
      <c r="EO126" s="11" t="s">
        <v>815</v>
      </c>
      <c r="EP126" s="11" t="s">
        <v>815</v>
      </c>
      <c r="EQ126" s="11" t="s">
        <v>815</v>
      </c>
      <c r="ER126" s="11" t="s">
        <v>815</v>
      </c>
      <c r="ES126" s="11" t="s">
        <v>815</v>
      </c>
      <c r="ET126" s="11" t="s">
        <v>815</v>
      </c>
      <c r="EU126" s="11" t="s">
        <v>815</v>
      </c>
      <c r="EV126" s="11" t="s">
        <v>815</v>
      </c>
      <c r="EW126" s="2">
        <v>1</v>
      </c>
      <c r="EX126" s="11" t="s">
        <v>815</v>
      </c>
      <c r="EY126" s="11" t="s">
        <v>815</v>
      </c>
      <c r="EZ126" s="11" t="s">
        <v>815</v>
      </c>
      <c r="FA126" s="11" t="s">
        <v>815</v>
      </c>
      <c r="FB126" s="11" t="s">
        <v>815</v>
      </c>
      <c r="FC126" s="11" t="s">
        <v>815</v>
      </c>
      <c r="FD126" s="2">
        <v>1</v>
      </c>
      <c r="FE126" s="11" t="s">
        <v>815</v>
      </c>
      <c r="FF126" s="11" t="s">
        <v>815</v>
      </c>
      <c r="FG126" s="11" t="s">
        <v>815</v>
      </c>
      <c r="FH126" s="11" t="s">
        <v>815</v>
      </c>
      <c r="FI126" s="11" t="s">
        <v>815</v>
      </c>
      <c r="FJ126" s="11" t="s">
        <v>815</v>
      </c>
      <c r="FK126" s="2">
        <v>2</v>
      </c>
      <c r="FL126" s="2">
        <v>2</v>
      </c>
      <c r="FM126" s="11" t="s">
        <v>815</v>
      </c>
      <c r="FN126" s="11" t="s">
        <v>815</v>
      </c>
      <c r="FO126" s="11" t="s">
        <v>815</v>
      </c>
      <c r="FP126" s="2">
        <v>1</v>
      </c>
      <c r="FQ126" s="2">
        <v>2</v>
      </c>
      <c r="FR126" s="2">
        <v>2</v>
      </c>
      <c r="FS126" s="11" t="s">
        <v>815</v>
      </c>
      <c r="FT126" s="11" t="s">
        <v>815</v>
      </c>
      <c r="FU126" s="11" t="s">
        <v>815</v>
      </c>
      <c r="FV126" s="11" t="s">
        <v>815</v>
      </c>
      <c r="FW126" s="11" t="s">
        <v>815</v>
      </c>
      <c r="FX126" s="11" t="s">
        <v>815</v>
      </c>
      <c r="FY126" s="11" t="s">
        <v>815</v>
      </c>
      <c r="FZ126" s="11" t="s">
        <v>815</v>
      </c>
      <c r="GA126" s="11" t="s">
        <v>815</v>
      </c>
      <c r="GB126" s="11" t="s">
        <v>815</v>
      </c>
      <c r="GC126" s="2" t="s">
        <v>274</v>
      </c>
      <c r="GD126" s="11" t="s">
        <v>815</v>
      </c>
      <c r="GE126" s="11" t="s">
        <v>815</v>
      </c>
      <c r="GF126" s="11" t="s">
        <v>815</v>
      </c>
      <c r="GG126" s="11" t="s">
        <v>815</v>
      </c>
      <c r="GH126" s="11" t="s">
        <v>815</v>
      </c>
      <c r="GI126" s="11" t="s">
        <v>815</v>
      </c>
      <c r="GJ126" s="11" t="s">
        <v>815</v>
      </c>
      <c r="GK126" s="11" t="s">
        <v>815</v>
      </c>
      <c r="GL126" s="11" t="s">
        <v>815</v>
      </c>
      <c r="GM126" s="11" t="s">
        <v>815</v>
      </c>
      <c r="GN126" s="3">
        <v>3</v>
      </c>
      <c r="GO126" s="3">
        <v>2</v>
      </c>
      <c r="GP126" s="12" t="s">
        <v>815</v>
      </c>
      <c r="GQ126" s="3">
        <v>1</v>
      </c>
      <c r="GR126" s="3">
        <v>1</v>
      </c>
      <c r="GS126" s="12" t="s">
        <v>815</v>
      </c>
      <c r="GT126" s="3">
        <v>1</v>
      </c>
      <c r="GU126" s="12" t="s">
        <v>815</v>
      </c>
      <c r="GV126" s="3">
        <v>1</v>
      </c>
      <c r="GW126" s="12" t="s">
        <v>815</v>
      </c>
      <c r="GX126" s="12" t="s">
        <v>815</v>
      </c>
      <c r="GY126" s="12" t="s">
        <v>815</v>
      </c>
      <c r="GZ126" s="3">
        <v>2</v>
      </c>
      <c r="HA126" s="12" t="s">
        <v>815</v>
      </c>
      <c r="HB126" s="12" t="s">
        <v>815</v>
      </c>
      <c r="HC126" s="12" t="s">
        <v>815</v>
      </c>
      <c r="HD126" s="12" t="s">
        <v>815</v>
      </c>
      <c r="HE126" s="12" t="s">
        <v>815</v>
      </c>
      <c r="HF126" s="12" t="s">
        <v>815</v>
      </c>
      <c r="HG126" s="12" t="s">
        <v>815</v>
      </c>
      <c r="HH126" s="3">
        <v>1</v>
      </c>
      <c r="HI126" s="12" t="s">
        <v>815</v>
      </c>
      <c r="HJ126" s="12" t="s">
        <v>815</v>
      </c>
      <c r="HK126" s="3">
        <v>2</v>
      </c>
      <c r="HL126" s="12" t="s">
        <v>815</v>
      </c>
      <c r="HM126" s="12" t="s">
        <v>815</v>
      </c>
      <c r="HN126" s="12" t="s">
        <v>815</v>
      </c>
      <c r="HO126" s="3">
        <v>1</v>
      </c>
      <c r="HP126" s="12" t="s">
        <v>815</v>
      </c>
      <c r="HQ126" s="3">
        <v>1</v>
      </c>
      <c r="HR126" s="3">
        <v>1</v>
      </c>
      <c r="HS126" s="12" t="s">
        <v>815</v>
      </c>
      <c r="HT126" s="12" t="s">
        <v>815</v>
      </c>
      <c r="HU126" s="12" t="s">
        <v>815</v>
      </c>
      <c r="HV126" s="12" t="s">
        <v>815</v>
      </c>
      <c r="HW126" s="12" t="s">
        <v>815</v>
      </c>
      <c r="HX126" s="12" t="s">
        <v>815</v>
      </c>
      <c r="HY126" s="12" t="s">
        <v>815</v>
      </c>
      <c r="HZ126" s="12" t="s">
        <v>815</v>
      </c>
      <c r="IA126" s="3">
        <v>1</v>
      </c>
      <c r="IB126" s="12" t="s">
        <v>815</v>
      </c>
      <c r="IC126" s="12" t="s">
        <v>815</v>
      </c>
      <c r="ID126" s="3">
        <v>2</v>
      </c>
      <c r="IE126" s="12" t="s">
        <v>815</v>
      </c>
      <c r="IF126" s="3">
        <v>1</v>
      </c>
      <c r="IG126" s="12" t="s">
        <v>815</v>
      </c>
      <c r="IH126" s="12" t="s">
        <v>815</v>
      </c>
      <c r="II126" s="12" t="s">
        <v>815</v>
      </c>
      <c r="IJ126" s="12" t="s">
        <v>815</v>
      </c>
      <c r="IK126" s="12" t="s">
        <v>815</v>
      </c>
      <c r="IL126" s="3">
        <v>1</v>
      </c>
      <c r="IM126" s="3">
        <v>2</v>
      </c>
      <c r="IN126" s="12" t="s">
        <v>815</v>
      </c>
      <c r="IO126" s="3">
        <v>1</v>
      </c>
      <c r="IP126" s="3">
        <v>1</v>
      </c>
      <c r="IQ126" s="12" t="s">
        <v>815</v>
      </c>
      <c r="IR126" s="3" t="s">
        <v>274</v>
      </c>
      <c r="IS126" s="12" t="s">
        <v>815</v>
      </c>
      <c r="IT126" s="3">
        <v>2</v>
      </c>
      <c r="IU126" s="12" t="s">
        <v>815</v>
      </c>
      <c r="IV126" s="12" t="s">
        <v>815</v>
      </c>
      <c r="IW126" s="3">
        <v>2</v>
      </c>
      <c r="IX126" s="12" t="s">
        <v>815</v>
      </c>
      <c r="IY126" s="12" t="s">
        <v>815</v>
      </c>
      <c r="IZ126" s="2" t="s">
        <v>816</v>
      </c>
    </row>
    <row r="127" spans="1:260" ht="13.2" x14ac:dyDescent="0.25">
      <c r="A127" s="10" t="s">
        <v>274</v>
      </c>
      <c r="B127" s="2" t="s">
        <v>958</v>
      </c>
      <c r="C127" s="2" t="s">
        <v>276</v>
      </c>
      <c r="D127" s="2" t="s">
        <v>373</v>
      </c>
      <c r="E127" s="2">
        <v>57</v>
      </c>
      <c r="F127" s="11" t="s">
        <v>959</v>
      </c>
      <c r="G127" s="11" t="s">
        <v>960</v>
      </c>
      <c r="H127" s="2" t="s">
        <v>961</v>
      </c>
      <c r="I127" s="3">
        <v>4</v>
      </c>
      <c r="J127" s="3">
        <v>4</v>
      </c>
      <c r="K127" s="3">
        <v>4</v>
      </c>
      <c r="L127" s="3">
        <v>4</v>
      </c>
      <c r="M127" s="3">
        <v>3</v>
      </c>
      <c r="N127" s="3">
        <v>4</v>
      </c>
      <c r="O127" s="3">
        <v>4</v>
      </c>
      <c r="P127" s="3">
        <v>3</v>
      </c>
      <c r="Q127" s="3">
        <v>1</v>
      </c>
      <c r="R127" s="3">
        <v>3</v>
      </c>
      <c r="S127" s="3">
        <v>3</v>
      </c>
      <c r="T127" s="3">
        <v>4</v>
      </c>
      <c r="U127" s="3">
        <v>2</v>
      </c>
      <c r="V127" s="3">
        <v>1</v>
      </c>
      <c r="W127" s="3">
        <v>2</v>
      </c>
      <c r="X127" s="3">
        <v>3</v>
      </c>
      <c r="Y127" s="3">
        <v>1</v>
      </c>
      <c r="Z127" s="3">
        <v>2</v>
      </c>
      <c r="AA127" s="3">
        <v>3</v>
      </c>
      <c r="AB127" s="3">
        <v>3</v>
      </c>
      <c r="AC127" s="3">
        <v>2</v>
      </c>
      <c r="AD127" s="3">
        <v>3</v>
      </c>
      <c r="AE127" s="3">
        <v>4</v>
      </c>
      <c r="AF127" s="12" t="s">
        <v>815</v>
      </c>
      <c r="AG127" s="12" t="s">
        <v>815</v>
      </c>
      <c r="AH127" s="12" t="s">
        <v>815</v>
      </c>
      <c r="AI127" s="3">
        <v>1</v>
      </c>
      <c r="AJ127" s="3">
        <v>3</v>
      </c>
      <c r="AK127" s="3">
        <v>2</v>
      </c>
      <c r="AL127" s="3">
        <v>4</v>
      </c>
      <c r="AM127" s="12" t="s">
        <v>815</v>
      </c>
      <c r="AN127" s="3">
        <v>1</v>
      </c>
      <c r="AO127" s="3">
        <v>3</v>
      </c>
      <c r="AP127" s="3">
        <v>2</v>
      </c>
      <c r="AQ127" s="3">
        <v>1</v>
      </c>
      <c r="AR127" s="12" t="s">
        <v>815</v>
      </c>
      <c r="AS127" s="3">
        <v>1</v>
      </c>
      <c r="AT127" s="3">
        <v>2</v>
      </c>
      <c r="AU127" s="3">
        <v>3</v>
      </c>
      <c r="AV127" s="3">
        <v>3</v>
      </c>
      <c r="AW127" s="3">
        <v>2</v>
      </c>
      <c r="AX127" s="3">
        <v>1</v>
      </c>
      <c r="AY127" s="3">
        <v>1</v>
      </c>
      <c r="AZ127" s="3">
        <v>2</v>
      </c>
      <c r="BA127" s="3">
        <v>2</v>
      </c>
      <c r="BB127" s="3">
        <v>2</v>
      </c>
      <c r="BC127" s="3">
        <v>1</v>
      </c>
      <c r="BD127" s="3">
        <v>3</v>
      </c>
      <c r="BE127" s="3">
        <v>3</v>
      </c>
      <c r="BF127" s="3">
        <v>3</v>
      </c>
      <c r="BG127" s="3">
        <v>3</v>
      </c>
      <c r="BH127" s="3">
        <v>4</v>
      </c>
      <c r="BI127" s="3">
        <v>3</v>
      </c>
      <c r="BJ127" s="3">
        <v>3</v>
      </c>
      <c r="BK127" s="3">
        <v>4</v>
      </c>
      <c r="BL127" s="12" t="s">
        <v>815</v>
      </c>
      <c r="BM127" s="3" t="s">
        <v>962</v>
      </c>
      <c r="BN127" s="3">
        <v>4</v>
      </c>
      <c r="BO127" s="3">
        <v>3</v>
      </c>
      <c r="BP127" s="3">
        <v>4</v>
      </c>
      <c r="BQ127" s="3">
        <v>4</v>
      </c>
      <c r="BR127" s="3">
        <v>4</v>
      </c>
      <c r="BS127" s="3">
        <v>3</v>
      </c>
      <c r="BT127" s="3">
        <v>3</v>
      </c>
      <c r="BU127" s="11" t="s">
        <v>815</v>
      </c>
      <c r="BV127" s="2">
        <v>1</v>
      </c>
      <c r="BW127" s="2">
        <v>3</v>
      </c>
      <c r="BX127" s="11" t="s">
        <v>815</v>
      </c>
      <c r="BY127" s="11" t="s">
        <v>815</v>
      </c>
      <c r="BZ127" s="2">
        <v>2</v>
      </c>
      <c r="CA127" s="2">
        <v>1</v>
      </c>
      <c r="CB127" s="2">
        <v>4</v>
      </c>
      <c r="CC127" s="11" t="s">
        <v>815</v>
      </c>
      <c r="CD127" s="11" t="s">
        <v>815</v>
      </c>
      <c r="CE127" s="11" t="s">
        <v>815</v>
      </c>
      <c r="CF127" s="2">
        <v>2</v>
      </c>
      <c r="CG127" s="2">
        <v>3</v>
      </c>
      <c r="CH127" s="2">
        <v>2</v>
      </c>
      <c r="CI127" s="2">
        <v>4</v>
      </c>
      <c r="CJ127" s="11" t="s">
        <v>815</v>
      </c>
      <c r="CK127" s="11" t="s">
        <v>815</v>
      </c>
      <c r="CL127" s="2">
        <v>2</v>
      </c>
      <c r="CM127" s="2">
        <v>1</v>
      </c>
      <c r="CN127" s="11" t="s">
        <v>815</v>
      </c>
      <c r="CO127" s="11" t="s">
        <v>815</v>
      </c>
      <c r="CP127" s="2">
        <v>1</v>
      </c>
      <c r="CQ127" s="11" t="s">
        <v>815</v>
      </c>
      <c r="CR127" s="2">
        <v>4</v>
      </c>
      <c r="CS127" s="2">
        <v>1</v>
      </c>
      <c r="CT127" s="2">
        <v>2</v>
      </c>
      <c r="CU127" s="11" t="s">
        <v>815</v>
      </c>
      <c r="CV127" s="11" t="s">
        <v>815</v>
      </c>
      <c r="CW127" s="11" t="s">
        <v>815</v>
      </c>
      <c r="CX127" s="2">
        <v>1</v>
      </c>
      <c r="CY127" s="11" t="s">
        <v>815</v>
      </c>
      <c r="CZ127" s="11" t="s">
        <v>815</v>
      </c>
      <c r="DA127" s="2">
        <v>2</v>
      </c>
      <c r="DB127" s="2">
        <v>1</v>
      </c>
      <c r="DC127" s="11" t="s">
        <v>815</v>
      </c>
      <c r="DD127" s="11" t="s">
        <v>815</v>
      </c>
      <c r="DE127" s="2">
        <v>3</v>
      </c>
      <c r="DF127" s="11" t="s">
        <v>815</v>
      </c>
      <c r="DG127" s="2">
        <v>1</v>
      </c>
      <c r="DH127" s="2">
        <v>1</v>
      </c>
      <c r="DI127" s="11" t="s">
        <v>815</v>
      </c>
      <c r="DJ127" s="11" t="s">
        <v>815</v>
      </c>
      <c r="DK127" s="2">
        <v>1</v>
      </c>
      <c r="DL127" s="11" t="s">
        <v>815</v>
      </c>
      <c r="DM127" s="2">
        <v>1</v>
      </c>
      <c r="DN127" s="11" t="s">
        <v>815</v>
      </c>
      <c r="DO127" s="2">
        <v>1</v>
      </c>
      <c r="DP127" s="2">
        <v>3</v>
      </c>
      <c r="DQ127" s="11" t="s">
        <v>815</v>
      </c>
      <c r="DR127" s="11" t="s">
        <v>815</v>
      </c>
      <c r="DS127" s="2">
        <v>2</v>
      </c>
      <c r="DT127" s="11" t="s">
        <v>815</v>
      </c>
      <c r="DU127" s="11" t="s">
        <v>815</v>
      </c>
      <c r="DV127" s="2">
        <v>1</v>
      </c>
      <c r="DW127" s="2">
        <v>1</v>
      </c>
      <c r="DX127" s="2">
        <v>4</v>
      </c>
      <c r="DY127" s="2">
        <v>2</v>
      </c>
      <c r="DZ127" s="2">
        <v>2</v>
      </c>
      <c r="EA127" s="11" t="s">
        <v>815</v>
      </c>
      <c r="EB127" s="11" t="s">
        <v>815</v>
      </c>
      <c r="EC127" s="11" t="s">
        <v>815</v>
      </c>
      <c r="ED127" s="11" t="s">
        <v>815</v>
      </c>
      <c r="EE127" s="11" t="s">
        <v>815</v>
      </c>
      <c r="EF127" s="11" t="s">
        <v>815</v>
      </c>
      <c r="EG127" s="11" t="s">
        <v>815</v>
      </c>
      <c r="EH127" s="11" t="s">
        <v>815</v>
      </c>
      <c r="EI127" s="11" t="s">
        <v>815</v>
      </c>
      <c r="EJ127" s="2">
        <v>1</v>
      </c>
      <c r="EK127" s="2">
        <v>2</v>
      </c>
      <c r="EL127" s="2">
        <v>1</v>
      </c>
      <c r="EM127" s="11" t="s">
        <v>815</v>
      </c>
      <c r="EN127" s="11" t="s">
        <v>815</v>
      </c>
      <c r="EO127" s="11" t="s">
        <v>815</v>
      </c>
      <c r="EP127" s="11" t="s">
        <v>815</v>
      </c>
      <c r="EQ127" s="11" t="s">
        <v>815</v>
      </c>
      <c r="ER127" s="11" t="s">
        <v>815</v>
      </c>
      <c r="ES127" s="11" t="s">
        <v>815</v>
      </c>
      <c r="ET127" s="11" t="s">
        <v>815</v>
      </c>
      <c r="EU127" s="2">
        <v>1</v>
      </c>
      <c r="EV127" s="11" t="s">
        <v>815</v>
      </c>
      <c r="EW127" s="2">
        <v>1</v>
      </c>
      <c r="EX127" s="2">
        <v>3</v>
      </c>
      <c r="EY127" s="2">
        <v>1</v>
      </c>
      <c r="EZ127" s="2">
        <v>2</v>
      </c>
      <c r="FA127" s="2">
        <v>2</v>
      </c>
      <c r="FB127" s="11" t="s">
        <v>815</v>
      </c>
      <c r="FC127" s="11" t="s">
        <v>815</v>
      </c>
      <c r="FD127" s="2">
        <v>1</v>
      </c>
      <c r="FE127" s="11" t="s">
        <v>815</v>
      </c>
      <c r="FF127" s="2">
        <v>1</v>
      </c>
      <c r="FG127" s="11" t="s">
        <v>815</v>
      </c>
      <c r="FH127" s="11" t="s">
        <v>815</v>
      </c>
      <c r="FI127" s="2">
        <v>2</v>
      </c>
      <c r="FJ127" s="2">
        <v>1</v>
      </c>
      <c r="FK127" s="2">
        <v>1</v>
      </c>
      <c r="FL127" s="2">
        <v>1</v>
      </c>
      <c r="FM127" s="2">
        <v>1</v>
      </c>
      <c r="FN127" s="11" t="s">
        <v>815</v>
      </c>
      <c r="FO127" s="11" t="s">
        <v>815</v>
      </c>
      <c r="FP127" s="2">
        <v>1</v>
      </c>
      <c r="FQ127" s="2">
        <v>3</v>
      </c>
      <c r="FR127" s="2">
        <v>3</v>
      </c>
      <c r="FS127" s="2">
        <v>2</v>
      </c>
      <c r="FT127" s="11" t="s">
        <v>815</v>
      </c>
      <c r="FU127" s="2">
        <v>3</v>
      </c>
      <c r="FV127" s="11" t="s">
        <v>815</v>
      </c>
      <c r="FW127" s="11" t="s">
        <v>815</v>
      </c>
      <c r="FX127" s="11" t="s">
        <v>815</v>
      </c>
      <c r="FY127" s="2">
        <v>1</v>
      </c>
      <c r="FZ127" s="11" t="s">
        <v>815</v>
      </c>
      <c r="GA127" s="2">
        <v>1</v>
      </c>
      <c r="GB127" s="2">
        <v>1</v>
      </c>
      <c r="GC127" s="2" t="s">
        <v>963</v>
      </c>
      <c r="GD127" s="2">
        <v>3</v>
      </c>
      <c r="GE127" s="2">
        <v>1</v>
      </c>
      <c r="GF127" s="11" t="s">
        <v>815</v>
      </c>
      <c r="GG127" s="11" t="s">
        <v>815</v>
      </c>
      <c r="GH127" s="2">
        <v>3</v>
      </c>
      <c r="GI127" s="2">
        <v>1</v>
      </c>
      <c r="GJ127" s="2">
        <v>1</v>
      </c>
      <c r="GK127" s="11" t="s">
        <v>815</v>
      </c>
      <c r="GL127" s="11" t="s">
        <v>815</v>
      </c>
      <c r="GM127" s="11" t="s">
        <v>815</v>
      </c>
      <c r="GN127" s="3">
        <v>3</v>
      </c>
      <c r="GO127" s="3">
        <v>2</v>
      </c>
      <c r="GP127" s="3">
        <v>2</v>
      </c>
      <c r="GQ127" s="3">
        <v>3</v>
      </c>
      <c r="GR127" s="3">
        <v>3</v>
      </c>
      <c r="GS127" s="3">
        <v>3</v>
      </c>
      <c r="GT127" s="3">
        <v>3</v>
      </c>
      <c r="GU127" s="12" t="s">
        <v>815</v>
      </c>
      <c r="GV127" s="3">
        <v>3</v>
      </c>
      <c r="GW127" s="3">
        <v>1</v>
      </c>
      <c r="GX127" s="3">
        <v>1</v>
      </c>
      <c r="GY127" s="12" t="s">
        <v>815</v>
      </c>
      <c r="GZ127" s="3">
        <v>3</v>
      </c>
      <c r="HA127" s="3">
        <v>1</v>
      </c>
      <c r="HB127" s="3">
        <v>1</v>
      </c>
      <c r="HC127" s="12" t="s">
        <v>815</v>
      </c>
      <c r="HD127" s="12" t="s">
        <v>815</v>
      </c>
      <c r="HE127" s="12" t="s">
        <v>815</v>
      </c>
      <c r="HF127" s="3">
        <v>1</v>
      </c>
      <c r="HG127" s="12" t="s">
        <v>815</v>
      </c>
      <c r="HH127" s="3">
        <v>2</v>
      </c>
      <c r="HI127" s="3">
        <v>2</v>
      </c>
      <c r="HJ127" s="3">
        <v>1</v>
      </c>
      <c r="HK127" s="3">
        <v>2</v>
      </c>
      <c r="HL127" s="12" t="s">
        <v>815</v>
      </c>
      <c r="HM127" s="3">
        <v>1</v>
      </c>
      <c r="HN127" s="12" t="s">
        <v>815</v>
      </c>
      <c r="HO127" s="3">
        <v>3</v>
      </c>
      <c r="HP127" s="3">
        <v>2</v>
      </c>
      <c r="HQ127" s="3">
        <v>3</v>
      </c>
      <c r="HR127" s="12" t="s">
        <v>815</v>
      </c>
      <c r="HS127" s="12" t="s">
        <v>815</v>
      </c>
      <c r="HT127" s="12" t="s">
        <v>815</v>
      </c>
      <c r="HU127" s="12" t="s">
        <v>815</v>
      </c>
      <c r="HV127" s="3">
        <v>4</v>
      </c>
      <c r="HW127" s="3">
        <v>2</v>
      </c>
      <c r="HX127" s="12" t="s">
        <v>815</v>
      </c>
      <c r="HY127" s="12" t="s">
        <v>815</v>
      </c>
      <c r="HZ127" s="12" t="s">
        <v>815</v>
      </c>
      <c r="IA127" s="3">
        <v>3</v>
      </c>
      <c r="IB127" s="3">
        <v>3</v>
      </c>
      <c r="IC127" s="3">
        <v>1</v>
      </c>
      <c r="ID127" s="3">
        <v>2</v>
      </c>
      <c r="IE127" s="3">
        <v>2</v>
      </c>
      <c r="IF127" s="12" t="s">
        <v>815</v>
      </c>
      <c r="IG127" s="12" t="s">
        <v>815</v>
      </c>
      <c r="IH127" s="12" t="s">
        <v>815</v>
      </c>
      <c r="II127" s="12" t="s">
        <v>815</v>
      </c>
      <c r="IJ127" s="3">
        <v>1</v>
      </c>
      <c r="IK127" s="3">
        <v>2</v>
      </c>
      <c r="IL127" s="3">
        <v>1</v>
      </c>
      <c r="IM127" s="12" t="s">
        <v>815</v>
      </c>
      <c r="IN127" s="3">
        <v>2</v>
      </c>
      <c r="IO127" s="3">
        <v>2</v>
      </c>
      <c r="IP127" s="12" t="s">
        <v>815</v>
      </c>
      <c r="IQ127" s="12" t="s">
        <v>815</v>
      </c>
      <c r="IR127" s="3" t="s">
        <v>964</v>
      </c>
      <c r="IS127" s="3">
        <v>4</v>
      </c>
      <c r="IT127" s="3">
        <v>3</v>
      </c>
      <c r="IU127" s="3">
        <v>3</v>
      </c>
      <c r="IV127" s="3">
        <v>4</v>
      </c>
      <c r="IW127" s="3">
        <v>3</v>
      </c>
      <c r="IX127" s="3">
        <v>2</v>
      </c>
      <c r="IY127" s="3">
        <v>1</v>
      </c>
      <c r="IZ127" s="2" t="s">
        <v>816</v>
      </c>
    </row>
    <row r="128" spans="1:260" ht="13.2" x14ac:dyDescent="0.25">
      <c r="A128" s="10" t="s">
        <v>274</v>
      </c>
      <c r="B128" s="2" t="s">
        <v>965</v>
      </c>
      <c r="C128" s="2" t="s">
        <v>261</v>
      </c>
      <c r="D128" s="2" t="s">
        <v>270</v>
      </c>
      <c r="E128" s="2">
        <v>31</v>
      </c>
      <c r="F128" s="11" t="s">
        <v>728</v>
      </c>
      <c r="G128" s="11" t="s">
        <v>966</v>
      </c>
      <c r="H128" s="2" t="s">
        <v>967</v>
      </c>
      <c r="I128" s="3">
        <v>1</v>
      </c>
      <c r="J128" s="3">
        <v>1</v>
      </c>
      <c r="K128" s="3">
        <v>2</v>
      </c>
      <c r="L128" s="3">
        <v>1</v>
      </c>
      <c r="M128" s="3">
        <v>1</v>
      </c>
      <c r="N128" s="3">
        <v>2</v>
      </c>
      <c r="O128" s="3">
        <v>2</v>
      </c>
      <c r="P128" s="3">
        <v>2</v>
      </c>
      <c r="Q128" s="3">
        <v>1</v>
      </c>
      <c r="R128" s="3">
        <v>1</v>
      </c>
      <c r="S128" s="12" t="s">
        <v>815</v>
      </c>
      <c r="T128" s="12" t="s">
        <v>815</v>
      </c>
      <c r="U128" s="12" t="s">
        <v>815</v>
      </c>
      <c r="V128" s="3">
        <v>1</v>
      </c>
      <c r="W128" s="12" t="s">
        <v>815</v>
      </c>
      <c r="X128" s="12" t="s">
        <v>815</v>
      </c>
      <c r="Y128" s="3">
        <v>1</v>
      </c>
      <c r="Z128" s="12" t="s">
        <v>815</v>
      </c>
      <c r="AA128" s="3">
        <v>1</v>
      </c>
      <c r="AB128" s="12" t="s">
        <v>815</v>
      </c>
      <c r="AC128" s="3">
        <v>1</v>
      </c>
      <c r="AD128" s="12" t="s">
        <v>815</v>
      </c>
      <c r="AE128" s="3">
        <v>3</v>
      </c>
      <c r="AF128" s="12" t="s">
        <v>815</v>
      </c>
      <c r="AG128" s="3">
        <v>1</v>
      </c>
      <c r="AH128" s="3">
        <v>1</v>
      </c>
      <c r="AI128" s="3">
        <v>2</v>
      </c>
      <c r="AJ128" s="3">
        <v>2</v>
      </c>
      <c r="AK128" s="3">
        <v>2</v>
      </c>
      <c r="AL128" s="3">
        <v>2</v>
      </c>
      <c r="AM128" s="12" t="s">
        <v>815</v>
      </c>
      <c r="AN128" s="3">
        <v>1</v>
      </c>
      <c r="AO128" s="3">
        <v>1</v>
      </c>
      <c r="AP128" s="3">
        <v>1</v>
      </c>
      <c r="AQ128" s="12" t="s">
        <v>815</v>
      </c>
      <c r="AR128" s="12" t="s">
        <v>815</v>
      </c>
      <c r="AS128" s="3">
        <v>1</v>
      </c>
      <c r="AT128" s="12" t="s">
        <v>815</v>
      </c>
      <c r="AU128" s="12" t="s">
        <v>815</v>
      </c>
      <c r="AV128" s="12" t="s">
        <v>815</v>
      </c>
      <c r="AW128" s="12" t="s">
        <v>815</v>
      </c>
      <c r="AX128" s="12" t="s">
        <v>815</v>
      </c>
      <c r="AY128" s="3">
        <v>1</v>
      </c>
      <c r="AZ128" s="3">
        <v>1</v>
      </c>
      <c r="BA128" s="12" t="s">
        <v>815</v>
      </c>
      <c r="BB128" s="12" t="s">
        <v>815</v>
      </c>
      <c r="BC128" s="12" t="s">
        <v>815</v>
      </c>
      <c r="BD128" s="3">
        <v>1</v>
      </c>
      <c r="BE128" s="3">
        <v>1</v>
      </c>
      <c r="BF128" s="12" t="s">
        <v>815</v>
      </c>
      <c r="BG128" s="3">
        <v>3</v>
      </c>
      <c r="BH128" s="3">
        <v>3</v>
      </c>
      <c r="BI128" s="3">
        <v>3</v>
      </c>
      <c r="BJ128" s="3">
        <v>3</v>
      </c>
      <c r="BK128" s="3">
        <v>2</v>
      </c>
      <c r="BL128" s="3">
        <v>2</v>
      </c>
      <c r="BM128" s="3" t="s">
        <v>968</v>
      </c>
      <c r="BN128" s="3">
        <v>3</v>
      </c>
      <c r="BO128" s="3">
        <v>2</v>
      </c>
      <c r="BP128" s="3">
        <v>4</v>
      </c>
      <c r="BQ128" s="3">
        <v>2</v>
      </c>
      <c r="BR128" s="3">
        <v>3</v>
      </c>
      <c r="BS128" s="3">
        <v>2</v>
      </c>
      <c r="BT128" s="12" t="s">
        <v>815</v>
      </c>
      <c r="BU128" s="2">
        <v>2</v>
      </c>
      <c r="BV128" s="11" t="s">
        <v>815</v>
      </c>
      <c r="BW128" s="2">
        <v>1</v>
      </c>
      <c r="BX128" s="11" t="s">
        <v>815</v>
      </c>
      <c r="BY128" s="11" t="s">
        <v>815</v>
      </c>
      <c r="BZ128" s="11" t="s">
        <v>815</v>
      </c>
      <c r="CA128" s="11" t="s">
        <v>815</v>
      </c>
      <c r="CB128" s="11" t="s">
        <v>815</v>
      </c>
      <c r="CC128" s="11" t="s">
        <v>815</v>
      </c>
      <c r="CD128" s="11" t="s">
        <v>815</v>
      </c>
      <c r="CE128" s="11" t="s">
        <v>815</v>
      </c>
      <c r="CF128" s="11" t="s">
        <v>815</v>
      </c>
      <c r="CG128" s="2">
        <v>1</v>
      </c>
      <c r="CH128" s="11" t="s">
        <v>815</v>
      </c>
      <c r="CI128" s="2">
        <v>1</v>
      </c>
      <c r="CJ128" s="11" t="s">
        <v>815</v>
      </c>
      <c r="CK128" s="11" t="s">
        <v>815</v>
      </c>
      <c r="CL128" s="2">
        <v>1</v>
      </c>
      <c r="CM128" s="11" t="s">
        <v>815</v>
      </c>
      <c r="CN128" s="11" t="s">
        <v>815</v>
      </c>
      <c r="CO128" s="11" t="s">
        <v>815</v>
      </c>
      <c r="CP128" s="11" t="s">
        <v>815</v>
      </c>
      <c r="CQ128" s="11" t="s">
        <v>815</v>
      </c>
      <c r="CR128" s="11" t="s">
        <v>815</v>
      </c>
      <c r="CS128" s="2">
        <v>1</v>
      </c>
      <c r="CT128" s="11" t="s">
        <v>815</v>
      </c>
      <c r="CU128" s="11" t="s">
        <v>815</v>
      </c>
      <c r="CV128" s="11" t="s">
        <v>815</v>
      </c>
      <c r="CW128" s="11" t="s">
        <v>815</v>
      </c>
      <c r="CX128" s="11" t="s">
        <v>815</v>
      </c>
      <c r="CY128" s="11" t="s">
        <v>815</v>
      </c>
      <c r="CZ128" s="11" t="s">
        <v>815</v>
      </c>
      <c r="DA128" s="11" t="s">
        <v>815</v>
      </c>
      <c r="DB128" s="11" t="s">
        <v>815</v>
      </c>
      <c r="DC128" s="11" t="s">
        <v>815</v>
      </c>
      <c r="DD128" s="11" t="s">
        <v>815</v>
      </c>
      <c r="DE128" s="11" t="s">
        <v>815</v>
      </c>
      <c r="DF128" s="2">
        <v>1</v>
      </c>
      <c r="DG128" s="2">
        <v>1</v>
      </c>
      <c r="DH128" s="2">
        <v>1</v>
      </c>
      <c r="DI128" s="11" t="s">
        <v>815</v>
      </c>
      <c r="DJ128" s="11" t="s">
        <v>815</v>
      </c>
      <c r="DK128" s="11" t="s">
        <v>815</v>
      </c>
      <c r="DL128" s="11" t="s">
        <v>815</v>
      </c>
      <c r="DM128" s="11" t="s">
        <v>815</v>
      </c>
      <c r="DN128" s="11" t="s">
        <v>815</v>
      </c>
      <c r="DO128" s="11" t="s">
        <v>815</v>
      </c>
      <c r="DP128" s="11" t="s">
        <v>815</v>
      </c>
      <c r="DQ128" s="11" t="s">
        <v>815</v>
      </c>
      <c r="DR128" s="11" t="s">
        <v>815</v>
      </c>
      <c r="DS128" s="11" t="s">
        <v>815</v>
      </c>
      <c r="DT128" s="11" t="s">
        <v>815</v>
      </c>
      <c r="DU128" s="11" t="s">
        <v>815</v>
      </c>
      <c r="DV128" s="11" t="s">
        <v>815</v>
      </c>
      <c r="DW128" s="11" t="s">
        <v>815</v>
      </c>
      <c r="DX128" s="11" t="s">
        <v>815</v>
      </c>
      <c r="DY128" s="11" t="s">
        <v>815</v>
      </c>
      <c r="DZ128" s="2">
        <v>1</v>
      </c>
      <c r="EA128" s="2">
        <v>1</v>
      </c>
      <c r="EB128" s="11" t="s">
        <v>815</v>
      </c>
      <c r="EC128" s="11" t="s">
        <v>815</v>
      </c>
      <c r="ED128" s="11" t="s">
        <v>815</v>
      </c>
      <c r="EE128" s="11" t="s">
        <v>815</v>
      </c>
      <c r="EF128" s="11" t="s">
        <v>815</v>
      </c>
      <c r="EG128" s="11" t="s">
        <v>815</v>
      </c>
      <c r="EH128" s="11" t="s">
        <v>815</v>
      </c>
      <c r="EI128" s="11" t="s">
        <v>815</v>
      </c>
      <c r="EJ128" s="11" t="s">
        <v>815</v>
      </c>
      <c r="EK128" s="11" t="s">
        <v>815</v>
      </c>
      <c r="EL128" s="11" t="s">
        <v>815</v>
      </c>
      <c r="EM128" s="11" t="s">
        <v>815</v>
      </c>
      <c r="EN128" s="11" t="s">
        <v>815</v>
      </c>
      <c r="EO128" s="11" t="s">
        <v>815</v>
      </c>
      <c r="EP128" s="11" t="s">
        <v>815</v>
      </c>
      <c r="EQ128" s="11" t="s">
        <v>815</v>
      </c>
      <c r="ER128" s="11" t="s">
        <v>815</v>
      </c>
      <c r="ES128" s="11" t="s">
        <v>815</v>
      </c>
      <c r="ET128" s="11" t="s">
        <v>815</v>
      </c>
      <c r="EU128" s="11" t="s">
        <v>815</v>
      </c>
      <c r="EV128" s="11" t="s">
        <v>815</v>
      </c>
      <c r="EW128" s="11" t="s">
        <v>815</v>
      </c>
      <c r="EX128" s="11" t="s">
        <v>815</v>
      </c>
      <c r="EY128" s="11" t="s">
        <v>815</v>
      </c>
      <c r="EZ128" s="11" t="s">
        <v>815</v>
      </c>
      <c r="FA128" s="11" t="s">
        <v>815</v>
      </c>
      <c r="FB128" s="11" t="s">
        <v>815</v>
      </c>
      <c r="FC128" s="11" t="s">
        <v>815</v>
      </c>
      <c r="FD128" s="11" t="s">
        <v>815</v>
      </c>
      <c r="FE128" s="11" t="s">
        <v>815</v>
      </c>
      <c r="FF128" s="11" t="s">
        <v>815</v>
      </c>
      <c r="FG128" s="11" t="s">
        <v>815</v>
      </c>
      <c r="FH128" s="11" t="s">
        <v>815</v>
      </c>
      <c r="FI128" s="11" t="s">
        <v>815</v>
      </c>
      <c r="FJ128" s="11" t="s">
        <v>815</v>
      </c>
      <c r="FK128" s="11" t="s">
        <v>815</v>
      </c>
      <c r="FL128" s="2">
        <v>1</v>
      </c>
      <c r="FM128" s="2">
        <v>1</v>
      </c>
      <c r="FN128" s="2">
        <v>1</v>
      </c>
      <c r="FO128" s="2">
        <v>1</v>
      </c>
      <c r="FP128" s="2">
        <v>1</v>
      </c>
      <c r="FQ128" s="2">
        <v>1</v>
      </c>
      <c r="FR128" s="2">
        <v>2</v>
      </c>
      <c r="FS128" s="11" t="s">
        <v>815</v>
      </c>
      <c r="FT128" s="11" t="s">
        <v>815</v>
      </c>
      <c r="FU128" s="11" t="s">
        <v>815</v>
      </c>
      <c r="FV128" s="11" t="s">
        <v>815</v>
      </c>
      <c r="FW128" s="11" t="s">
        <v>815</v>
      </c>
      <c r="FX128" s="11" t="s">
        <v>815</v>
      </c>
      <c r="FY128" s="11" t="s">
        <v>815</v>
      </c>
      <c r="FZ128" s="2">
        <v>1</v>
      </c>
      <c r="GA128" s="2">
        <v>1</v>
      </c>
      <c r="GB128" s="2">
        <v>1</v>
      </c>
      <c r="GC128" s="2" t="s">
        <v>969</v>
      </c>
      <c r="GD128" s="2">
        <v>3</v>
      </c>
      <c r="GE128" s="2">
        <v>2</v>
      </c>
      <c r="GF128" s="2">
        <v>2</v>
      </c>
      <c r="GG128" s="2">
        <v>2</v>
      </c>
      <c r="GH128" s="2">
        <v>2</v>
      </c>
      <c r="GI128" s="2">
        <v>2</v>
      </c>
      <c r="GJ128" s="11" t="s">
        <v>815</v>
      </c>
      <c r="GK128" s="2">
        <v>2</v>
      </c>
      <c r="GL128" s="2">
        <v>1</v>
      </c>
      <c r="GM128" s="2">
        <v>2</v>
      </c>
      <c r="GN128" s="12" t="s">
        <v>815</v>
      </c>
      <c r="GO128" s="12" t="s">
        <v>815</v>
      </c>
      <c r="GP128" s="12" t="s">
        <v>815</v>
      </c>
      <c r="GQ128" s="12" t="s">
        <v>815</v>
      </c>
      <c r="GR128" s="12" t="s">
        <v>815</v>
      </c>
      <c r="GS128" s="12" t="s">
        <v>815</v>
      </c>
      <c r="GT128" s="3">
        <v>2</v>
      </c>
      <c r="GU128" s="3">
        <v>3</v>
      </c>
      <c r="GV128" s="3">
        <v>2</v>
      </c>
      <c r="GW128" s="3">
        <v>2</v>
      </c>
      <c r="GX128" s="3">
        <v>1</v>
      </c>
      <c r="GY128" s="3">
        <v>3</v>
      </c>
      <c r="GZ128" s="12" t="s">
        <v>815</v>
      </c>
      <c r="HA128" s="12" t="s">
        <v>815</v>
      </c>
      <c r="HB128" s="3">
        <v>1</v>
      </c>
      <c r="HC128" s="3">
        <v>2</v>
      </c>
      <c r="HD128" s="12" t="s">
        <v>815</v>
      </c>
      <c r="HE128" s="3">
        <v>1</v>
      </c>
      <c r="HF128" s="12" t="s">
        <v>815</v>
      </c>
      <c r="HG128" s="12" t="s">
        <v>815</v>
      </c>
      <c r="HH128" s="12" t="s">
        <v>815</v>
      </c>
      <c r="HI128" s="12" t="s">
        <v>815</v>
      </c>
      <c r="HJ128" s="12" t="s">
        <v>815</v>
      </c>
      <c r="HK128" s="12" t="s">
        <v>815</v>
      </c>
      <c r="HL128" s="3">
        <v>1</v>
      </c>
      <c r="HM128" s="12" t="s">
        <v>815</v>
      </c>
      <c r="HN128" s="12" t="s">
        <v>815</v>
      </c>
      <c r="HO128" s="3">
        <v>2</v>
      </c>
      <c r="HP128" s="3">
        <v>3</v>
      </c>
      <c r="HQ128" s="3">
        <v>2</v>
      </c>
      <c r="HR128" s="12" t="s">
        <v>815</v>
      </c>
      <c r="HS128" s="12" t="s">
        <v>815</v>
      </c>
      <c r="HT128" s="12" t="s">
        <v>815</v>
      </c>
      <c r="HU128" s="12" t="s">
        <v>815</v>
      </c>
      <c r="HV128" s="3">
        <v>3</v>
      </c>
      <c r="HW128" s="3">
        <v>3</v>
      </c>
      <c r="HX128" s="12" t="s">
        <v>815</v>
      </c>
      <c r="HY128" s="12" t="s">
        <v>815</v>
      </c>
      <c r="HZ128" s="12" t="s">
        <v>815</v>
      </c>
      <c r="IA128" s="12" t="s">
        <v>815</v>
      </c>
      <c r="IB128" s="3">
        <v>2</v>
      </c>
      <c r="IC128" s="12" t="s">
        <v>815</v>
      </c>
      <c r="ID128" s="12" t="s">
        <v>815</v>
      </c>
      <c r="IE128" s="12" t="s">
        <v>815</v>
      </c>
      <c r="IF128" s="12" t="s">
        <v>815</v>
      </c>
      <c r="IG128" s="12" t="s">
        <v>815</v>
      </c>
      <c r="IH128" s="12" t="s">
        <v>815</v>
      </c>
      <c r="II128" s="12" t="s">
        <v>815</v>
      </c>
      <c r="IJ128" s="12" t="s">
        <v>815</v>
      </c>
      <c r="IK128" s="12" t="s">
        <v>815</v>
      </c>
      <c r="IL128" s="12" t="s">
        <v>815</v>
      </c>
      <c r="IM128" s="12" t="s">
        <v>815</v>
      </c>
      <c r="IN128" s="12" t="s">
        <v>815</v>
      </c>
      <c r="IO128" s="12" t="s">
        <v>815</v>
      </c>
      <c r="IP128" s="12" t="s">
        <v>815</v>
      </c>
      <c r="IQ128" s="12" t="s">
        <v>815</v>
      </c>
      <c r="IR128" s="3" t="s">
        <v>970</v>
      </c>
      <c r="IS128" s="3">
        <v>2</v>
      </c>
      <c r="IT128" s="12" t="s">
        <v>815</v>
      </c>
      <c r="IU128" s="3">
        <v>3</v>
      </c>
      <c r="IV128" s="3">
        <v>2</v>
      </c>
      <c r="IW128" s="3">
        <v>2</v>
      </c>
      <c r="IX128" s="12" t="s">
        <v>815</v>
      </c>
      <c r="IY128" s="12" t="s">
        <v>815</v>
      </c>
      <c r="IZ128" s="2" t="s">
        <v>816</v>
      </c>
    </row>
    <row r="129" spans="1:260" ht="13.2" x14ac:dyDescent="0.25">
      <c r="A129" s="10" t="s">
        <v>274</v>
      </c>
      <c r="B129" s="2" t="s">
        <v>971</v>
      </c>
      <c r="C129" s="2" t="s">
        <v>261</v>
      </c>
      <c r="D129" s="2" t="s">
        <v>262</v>
      </c>
      <c r="E129" s="2">
        <v>34</v>
      </c>
      <c r="F129" s="11" t="s">
        <v>972</v>
      </c>
      <c r="G129" s="11" t="s">
        <v>973</v>
      </c>
      <c r="H129" s="2" t="s">
        <v>974</v>
      </c>
      <c r="I129" s="3">
        <v>2</v>
      </c>
      <c r="J129" s="3">
        <v>2</v>
      </c>
      <c r="K129" s="3">
        <v>2</v>
      </c>
      <c r="L129" s="3">
        <v>3</v>
      </c>
      <c r="M129" s="3">
        <v>3</v>
      </c>
      <c r="N129" s="3">
        <v>3</v>
      </c>
      <c r="O129" s="3">
        <v>2</v>
      </c>
      <c r="P129" s="3">
        <v>3</v>
      </c>
      <c r="Q129" s="3">
        <v>2</v>
      </c>
      <c r="R129" s="3">
        <v>2</v>
      </c>
      <c r="S129" s="3">
        <v>2</v>
      </c>
      <c r="T129" s="3">
        <v>2</v>
      </c>
      <c r="U129" s="3">
        <v>2</v>
      </c>
      <c r="V129" s="3">
        <v>2</v>
      </c>
      <c r="W129" s="3">
        <v>3</v>
      </c>
      <c r="X129" s="3">
        <v>2</v>
      </c>
      <c r="Y129" s="3">
        <v>2</v>
      </c>
      <c r="Z129" s="3">
        <v>2</v>
      </c>
      <c r="AA129" s="3">
        <v>3</v>
      </c>
      <c r="AB129" s="3">
        <v>2</v>
      </c>
      <c r="AC129" s="3">
        <v>3</v>
      </c>
      <c r="AD129" s="3">
        <v>3</v>
      </c>
      <c r="AE129" s="3">
        <v>3</v>
      </c>
      <c r="AF129" s="3">
        <v>3</v>
      </c>
      <c r="AG129" s="3">
        <v>3</v>
      </c>
      <c r="AH129" s="3">
        <v>3</v>
      </c>
      <c r="AI129" s="3">
        <v>2</v>
      </c>
      <c r="AJ129" s="3">
        <v>3</v>
      </c>
      <c r="AK129" s="3">
        <v>2</v>
      </c>
      <c r="AL129" s="3">
        <v>3</v>
      </c>
      <c r="AM129" s="3">
        <v>2</v>
      </c>
      <c r="AN129" s="3">
        <v>3</v>
      </c>
      <c r="AO129" s="3">
        <v>2</v>
      </c>
      <c r="AP129" s="3">
        <v>2</v>
      </c>
      <c r="AQ129" s="3">
        <v>2</v>
      </c>
      <c r="AR129" s="3">
        <v>2</v>
      </c>
      <c r="AS129" s="3">
        <v>2</v>
      </c>
      <c r="AT129" s="3">
        <v>2</v>
      </c>
      <c r="AU129" s="3">
        <v>3</v>
      </c>
      <c r="AV129" s="3">
        <v>2</v>
      </c>
      <c r="AW129" s="3">
        <v>3</v>
      </c>
      <c r="AX129" s="3">
        <v>3</v>
      </c>
      <c r="AY129" s="3">
        <v>3</v>
      </c>
      <c r="AZ129" s="3">
        <v>3</v>
      </c>
      <c r="BA129" s="3">
        <v>2</v>
      </c>
      <c r="BB129" s="3">
        <v>3</v>
      </c>
      <c r="BC129" s="3">
        <v>2</v>
      </c>
      <c r="BD129" s="3">
        <v>3</v>
      </c>
      <c r="BE129" s="3">
        <v>2</v>
      </c>
      <c r="BF129" s="3">
        <v>2</v>
      </c>
      <c r="BG129" s="3">
        <v>3</v>
      </c>
      <c r="BH129" s="3">
        <v>2</v>
      </c>
      <c r="BI129" s="3">
        <v>2</v>
      </c>
      <c r="BJ129" s="3">
        <v>2</v>
      </c>
      <c r="BK129" s="3">
        <v>2</v>
      </c>
      <c r="BL129" s="3">
        <v>2</v>
      </c>
      <c r="BM129" s="3" t="s">
        <v>975</v>
      </c>
      <c r="BN129" s="3">
        <v>3</v>
      </c>
      <c r="BO129" s="3">
        <v>2</v>
      </c>
      <c r="BP129" s="3">
        <v>3</v>
      </c>
      <c r="BQ129" s="3">
        <v>2</v>
      </c>
      <c r="BR129" s="3">
        <v>2</v>
      </c>
      <c r="BS129" s="3">
        <v>3</v>
      </c>
      <c r="BT129" s="3">
        <v>2</v>
      </c>
      <c r="BU129" s="2">
        <v>2</v>
      </c>
      <c r="BV129" s="2">
        <v>1</v>
      </c>
      <c r="BW129" s="2">
        <v>2</v>
      </c>
      <c r="BX129" s="2">
        <v>2</v>
      </c>
      <c r="BY129" s="2">
        <v>1</v>
      </c>
      <c r="BZ129" s="2">
        <v>1</v>
      </c>
      <c r="CA129" s="2">
        <v>2</v>
      </c>
      <c r="CB129" s="2">
        <v>2</v>
      </c>
      <c r="CC129" s="2">
        <v>2</v>
      </c>
      <c r="CD129" s="2">
        <v>1</v>
      </c>
      <c r="CE129" s="2">
        <v>1</v>
      </c>
      <c r="CF129" s="2">
        <v>2</v>
      </c>
      <c r="CG129" s="2">
        <v>2</v>
      </c>
      <c r="CH129" s="2">
        <v>1</v>
      </c>
      <c r="CI129" s="2">
        <v>1</v>
      </c>
      <c r="CJ129" s="2">
        <v>1</v>
      </c>
      <c r="CK129" s="2">
        <v>1</v>
      </c>
      <c r="CL129" s="2">
        <v>2</v>
      </c>
      <c r="CM129" s="2">
        <v>2</v>
      </c>
      <c r="CN129" s="2">
        <v>1</v>
      </c>
      <c r="CO129" s="2">
        <v>1</v>
      </c>
      <c r="CP129" s="2">
        <v>1</v>
      </c>
      <c r="CQ129" s="2">
        <v>1</v>
      </c>
      <c r="CR129" s="2">
        <v>1</v>
      </c>
      <c r="CS129" s="2">
        <v>1</v>
      </c>
      <c r="CT129" s="2">
        <v>1</v>
      </c>
      <c r="CU129" s="2">
        <v>1</v>
      </c>
      <c r="CV129" s="2">
        <v>1</v>
      </c>
      <c r="CW129" s="2">
        <v>1</v>
      </c>
      <c r="CX129" s="2">
        <v>1</v>
      </c>
      <c r="CY129" s="2">
        <v>1</v>
      </c>
      <c r="CZ129" s="2">
        <v>2</v>
      </c>
      <c r="DA129" s="2">
        <v>3</v>
      </c>
      <c r="DB129" s="2">
        <v>3</v>
      </c>
      <c r="DC129" s="2">
        <v>2</v>
      </c>
      <c r="DD129" s="2">
        <v>3</v>
      </c>
      <c r="DE129" s="2">
        <v>2</v>
      </c>
      <c r="DF129" s="2">
        <v>2</v>
      </c>
      <c r="DG129" s="2">
        <v>1</v>
      </c>
      <c r="DH129" s="2">
        <v>2</v>
      </c>
      <c r="DI129" s="2">
        <v>2</v>
      </c>
      <c r="DJ129" s="2">
        <v>1</v>
      </c>
      <c r="DK129" s="2">
        <v>2</v>
      </c>
      <c r="DL129" s="2">
        <v>1</v>
      </c>
      <c r="DM129" s="2">
        <v>2</v>
      </c>
      <c r="DN129" s="2">
        <v>1</v>
      </c>
      <c r="DO129" s="2">
        <v>2</v>
      </c>
      <c r="DP129" s="2">
        <v>1</v>
      </c>
      <c r="DQ129" s="2">
        <v>1</v>
      </c>
      <c r="DR129" s="2">
        <v>1</v>
      </c>
      <c r="DS129" s="2">
        <v>2</v>
      </c>
      <c r="DT129" s="2">
        <v>2</v>
      </c>
      <c r="DU129" s="2">
        <v>1</v>
      </c>
      <c r="DV129" s="2">
        <v>1</v>
      </c>
      <c r="DW129" s="2">
        <v>1</v>
      </c>
      <c r="DX129" s="2">
        <v>2</v>
      </c>
      <c r="DY129" s="2">
        <v>3</v>
      </c>
      <c r="DZ129" s="2">
        <v>3</v>
      </c>
      <c r="EA129" s="2">
        <v>2</v>
      </c>
      <c r="EB129" s="2">
        <v>2</v>
      </c>
      <c r="EC129" s="2">
        <v>2</v>
      </c>
      <c r="ED129" s="2">
        <v>1</v>
      </c>
      <c r="EE129" s="2">
        <v>3</v>
      </c>
      <c r="EF129" s="2">
        <v>2</v>
      </c>
      <c r="EG129" s="2">
        <v>2</v>
      </c>
      <c r="EH129" s="2">
        <v>2</v>
      </c>
      <c r="EI129" s="2">
        <v>2</v>
      </c>
      <c r="EJ129" s="2">
        <v>2</v>
      </c>
      <c r="EK129" s="2">
        <v>1</v>
      </c>
      <c r="EL129" s="2">
        <v>2</v>
      </c>
      <c r="EM129" s="2">
        <v>2</v>
      </c>
      <c r="EN129" s="2">
        <v>1</v>
      </c>
      <c r="EO129" s="2">
        <v>2</v>
      </c>
      <c r="EP129" s="2">
        <v>2</v>
      </c>
      <c r="EQ129" s="2">
        <v>2</v>
      </c>
      <c r="ER129" s="2">
        <v>1</v>
      </c>
      <c r="ES129" s="2">
        <v>2</v>
      </c>
      <c r="ET129" s="2">
        <v>2</v>
      </c>
      <c r="EU129" s="2">
        <v>2</v>
      </c>
      <c r="EV129" s="2">
        <v>1</v>
      </c>
      <c r="EW129" s="2">
        <v>1</v>
      </c>
      <c r="EX129" s="2">
        <v>1</v>
      </c>
      <c r="EY129" s="2">
        <v>2</v>
      </c>
      <c r="EZ129" s="2">
        <v>2</v>
      </c>
      <c r="FA129" s="2">
        <v>1</v>
      </c>
      <c r="FB129" s="2">
        <v>1</v>
      </c>
      <c r="FC129" s="2">
        <v>2</v>
      </c>
      <c r="FD129" s="2">
        <v>1</v>
      </c>
      <c r="FE129" s="2">
        <v>1</v>
      </c>
      <c r="FF129" s="2">
        <v>1</v>
      </c>
      <c r="FG129" s="2">
        <v>2</v>
      </c>
      <c r="FH129" s="2">
        <v>1</v>
      </c>
      <c r="FI129" s="2">
        <v>2</v>
      </c>
      <c r="FJ129" s="2">
        <v>1</v>
      </c>
      <c r="FK129" s="2">
        <v>2</v>
      </c>
      <c r="FL129" s="2">
        <v>3</v>
      </c>
      <c r="FM129" s="2">
        <v>3</v>
      </c>
      <c r="FN129" s="2">
        <v>2</v>
      </c>
      <c r="FO129" s="2">
        <v>2</v>
      </c>
      <c r="FP129" s="2">
        <v>2</v>
      </c>
      <c r="FQ129" s="2">
        <v>3</v>
      </c>
      <c r="FR129" s="2">
        <v>3</v>
      </c>
      <c r="FS129" s="2">
        <v>3</v>
      </c>
      <c r="FT129" s="2">
        <v>2</v>
      </c>
      <c r="FU129" s="2">
        <v>1</v>
      </c>
      <c r="FV129" s="2">
        <v>1</v>
      </c>
      <c r="FW129" s="2">
        <v>1</v>
      </c>
      <c r="FX129" s="2">
        <v>2</v>
      </c>
      <c r="FY129" s="2">
        <v>2</v>
      </c>
      <c r="FZ129" s="2">
        <v>1</v>
      </c>
      <c r="GA129" s="2">
        <v>1</v>
      </c>
      <c r="GB129" s="2">
        <v>1</v>
      </c>
      <c r="GC129" s="2" t="s">
        <v>976</v>
      </c>
      <c r="GD129" s="2">
        <v>3</v>
      </c>
      <c r="GE129" s="2">
        <v>2</v>
      </c>
      <c r="GF129" s="2">
        <v>3</v>
      </c>
      <c r="GG129" s="2">
        <v>1</v>
      </c>
      <c r="GH129" s="2">
        <v>2</v>
      </c>
      <c r="GI129" s="2">
        <v>3</v>
      </c>
      <c r="GJ129" s="2">
        <v>3</v>
      </c>
      <c r="GK129" s="2">
        <v>1</v>
      </c>
      <c r="GL129" s="2">
        <v>3</v>
      </c>
      <c r="GM129" s="2">
        <v>3</v>
      </c>
      <c r="GN129" s="3">
        <v>4</v>
      </c>
      <c r="GO129" s="3">
        <v>3</v>
      </c>
      <c r="GP129" s="3">
        <v>2</v>
      </c>
      <c r="GQ129" s="3">
        <v>3</v>
      </c>
      <c r="GR129" s="3">
        <v>3</v>
      </c>
      <c r="GS129" s="3">
        <v>1</v>
      </c>
      <c r="GT129" s="3">
        <v>2</v>
      </c>
      <c r="GU129" s="3">
        <v>1</v>
      </c>
      <c r="GV129" s="3">
        <v>2</v>
      </c>
      <c r="GW129" s="3">
        <v>1</v>
      </c>
      <c r="GX129" s="3">
        <v>1</v>
      </c>
      <c r="GY129" s="3">
        <v>1</v>
      </c>
      <c r="GZ129" s="3">
        <v>2</v>
      </c>
      <c r="HA129" s="3">
        <v>2</v>
      </c>
      <c r="HB129" s="12" t="s">
        <v>815</v>
      </c>
      <c r="HC129" s="3">
        <v>1</v>
      </c>
      <c r="HD129" s="3">
        <v>1</v>
      </c>
      <c r="HE129" s="3">
        <v>1</v>
      </c>
      <c r="HF129" s="3">
        <v>1</v>
      </c>
      <c r="HG129" s="12" t="s">
        <v>815</v>
      </c>
      <c r="HH129" s="3">
        <v>3</v>
      </c>
      <c r="HI129" s="3">
        <v>2</v>
      </c>
      <c r="HJ129" s="3">
        <v>2</v>
      </c>
      <c r="HK129" s="3">
        <v>3</v>
      </c>
      <c r="HL129" s="3">
        <v>1</v>
      </c>
      <c r="HM129" s="3">
        <v>2</v>
      </c>
      <c r="HN129" s="3">
        <v>1</v>
      </c>
      <c r="HO129" s="3">
        <v>3</v>
      </c>
      <c r="HP129" s="3">
        <v>2</v>
      </c>
      <c r="HQ129" s="3">
        <v>2</v>
      </c>
      <c r="HR129" s="3">
        <v>3</v>
      </c>
      <c r="HS129" s="3">
        <v>2</v>
      </c>
      <c r="HT129" s="3">
        <v>2</v>
      </c>
      <c r="HU129" s="3">
        <v>2</v>
      </c>
      <c r="HV129" s="3">
        <v>1</v>
      </c>
      <c r="HW129" s="3">
        <v>2</v>
      </c>
      <c r="HX129" s="3">
        <v>2</v>
      </c>
      <c r="HY129" s="3">
        <v>2</v>
      </c>
      <c r="HZ129" s="3">
        <v>2</v>
      </c>
      <c r="IA129" s="3">
        <v>2</v>
      </c>
      <c r="IB129" s="3">
        <v>2</v>
      </c>
      <c r="IC129" s="3">
        <v>1</v>
      </c>
      <c r="ID129" s="3">
        <v>2</v>
      </c>
      <c r="IE129" s="3">
        <v>1</v>
      </c>
      <c r="IF129" s="3">
        <v>1</v>
      </c>
      <c r="IG129" s="3">
        <v>1</v>
      </c>
      <c r="IH129" s="12" t="s">
        <v>815</v>
      </c>
      <c r="II129" s="3">
        <v>1</v>
      </c>
      <c r="IJ129" s="3">
        <v>2</v>
      </c>
      <c r="IK129" s="3">
        <v>1</v>
      </c>
      <c r="IL129" s="3">
        <v>2</v>
      </c>
      <c r="IM129" s="3">
        <v>2</v>
      </c>
      <c r="IN129" s="3">
        <v>1</v>
      </c>
      <c r="IO129" s="3">
        <v>2</v>
      </c>
      <c r="IP129" s="3">
        <v>1</v>
      </c>
      <c r="IQ129" s="3">
        <v>1</v>
      </c>
      <c r="IR129" s="3" t="s">
        <v>977</v>
      </c>
      <c r="IS129" s="3">
        <v>2</v>
      </c>
      <c r="IT129" s="3">
        <v>3</v>
      </c>
      <c r="IU129" s="3">
        <v>3</v>
      </c>
      <c r="IV129" s="3">
        <v>3</v>
      </c>
      <c r="IW129" s="3">
        <v>3</v>
      </c>
      <c r="IX129" s="3">
        <v>2</v>
      </c>
      <c r="IY129" s="3">
        <v>2</v>
      </c>
      <c r="IZ129" s="2" t="s">
        <v>816</v>
      </c>
    </row>
    <row r="130" spans="1:260" ht="13.2" x14ac:dyDescent="0.25">
      <c r="A130" s="10" t="s">
        <v>274</v>
      </c>
      <c r="B130" s="2" t="s">
        <v>978</v>
      </c>
      <c r="C130" s="2" t="s">
        <v>276</v>
      </c>
      <c r="D130" s="2" t="s">
        <v>270</v>
      </c>
      <c r="E130" s="2">
        <v>40</v>
      </c>
      <c r="F130" s="11" t="s">
        <v>979</v>
      </c>
      <c r="G130" s="11" t="s">
        <v>980</v>
      </c>
      <c r="H130" s="2" t="s">
        <v>981</v>
      </c>
      <c r="I130" s="3">
        <v>3</v>
      </c>
      <c r="J130" s="3">
        <v>3</v>
      </c>
      <c r="K130" s="3">
        <v>3</v>
      </c>
      <c r="L130" s="3">
        <v>2</v>
      </c>
      <c r="M130" s="3">
        <v>4</v>
      </c>
      <c r="N130" s="3">
        <v>3</v>
      </c>
      <c r="O130" s="3">
        <v>4</v>
      </c>
      <c r="P130" s="3">
        <v>3</v>
      </c>
      <c r="Q130" s="3">
        <v>3</v>
      </c>
      <c r="R130" s="3">
        <v>4</v>
      </c>
      <c r="S130" s="3">
        <v>3</v>
      </c>
      <c r="T130" s="3">
        <v>2</v>
      </c>
      <c r="U130" s="3">
        <v>3</v>
      </c>
      <c r="V130" s="3">
        <v>3</v>
      </c>
      <c r="W130" s="3">
        <v>4</v>
      </c>
      <c r="X130" s="3">
        <v>3</v>
      </c>
      <c r="Y130" s="3">
        <v>4</v>
      </c>
      <c r="Z130" s="3">
        <v>3</v>
      </c>
      <c r="AA130" s="3">
        <v>3</v>
      </c>
      <c r="AB130" s="3">
        <v>4</v>
      </c>
      <c r="AC130" s="3">
        <v>3</v>
      </c>
      <c r="AD130" s="3">
        <v>3</v>
      </c>
      <c r="AE130" s="3">
        <v>4</v>
      </c>
      <c r="AF130" s="3">
        <v>3</v>
      </c>
      <c r="AG130" s="3">
        <v>3</v>
      </c>
      <c r="AH130" s="3">
        <v>3</v>
      </c>
      <c r="AI130" s="3">
        <v>4</v>
      </c>
      <c r="AJ130" s="3">
        <v>3</v>
      </c>
      <c r="AK130" s="3">
        <v>3</v>
      </c>
      <c r="AL130" s="3">
        <v>3</v>
      </c>
      <c r="AM130" s="3">
        <v>4</v>
      </c>
      <c r="AN130" s="3">
        <v>3</v>
      </c>
      <c r="AO130" s="3">
        <v>3</v>
      </c>
      <c r="AP130" s="3">
        <v>3</v>
      </c>
      <c r="AQ130" s="3">
        <v>2</v>
      </c>
      <c r="AR130" s="3">
        <v>4</v>
      </c>
      <c r="AS130" s="3">
        <v>4</v>
      </c>
      <c r="AT130" s="3">
        <v>4</v>
      </c>
      <c r="AU130" s="3">
        <v>4</v>
      </c>
      <c r="AV130" s="3">
        <v>3</v>
      </c>
      <c r="AW130" s="3">
        <v>3</v>
      </c>
      <c r="AX130" s="3">
        <v>3</v>
      </c>
      <c r="AY130" s="3">
        <v>3</v>
      </c>
      <c r="AZ130" s="3">
        <v>3</v>
      </c>
      <c r="BA130" s="3">
        <v>3</v>
      </c>
      <c r="BB130" s="3">
        <v>4</v>
      </c>
      <c r="BC130" s="3">
        <v>4</v>
      </c>
      <c r="BD130" s="3">
        <v>4</v>
      </c>
      <c r="BE130" s="3">
        <v>2</v>
      </c>
      <c r="BF130" s="3">
        <v>3</v>
      </c>
      <c r="BG130" s="3">
        <v>4</v>
      </c>
      <c r="BH130" s="3">
        <v>4</v>
      </c>
      <c r="BI130" s="3">
        <v>4</v>
      </c>
      <c r="BJ130" s="3">
        <v>4</v>
      </c>
      <c r="BK130" s="3">
        <v>4</v>
      </c>
      <c r="BL130" s="3">
        <v>4</v>
      </c>
      <c r="BM130" s="3" t="s">
        <v>982</v>
      </c>
      <c r="BN130" s="3">
        <v>4</v>
      </c>
      <c r="BO130" s="3">
        <v>4</v>
      </c>
      <c r="BP130" s="3">
        <v>4</v>
      </c>
      <c r="BQ130" s="3">
        <v>4</v>
      </c>
      <c r="BR130" s="3">
        <v>3</v>
      </c>
      <c r="BS130" s="3">
        <v>3</v>
      </c>
      <c r="BT130" s="3">
        <v>3</v>
      </c>
      <c r="BU130" s="2">
        <v>3</v>
      </c>
      <c r="BV130" s="2">
        <v>3</v>
      </c>
      <c r="BW130" s="2">
        <v>3</v>
      </c>
      <c r="BX130" s="2">
        <v>3</v>
      </c>
      <c r="BY130" s="2">
        <v>3</v>
      </c>
      <c r="BZ130" s="2">
        <v>4</v>
      </c>
      <c r="CA130" s="2">
        <v>4</v>
      </c>
      <c r="CB130" s="2">
        <v>3</v>
      </c>
      <c r="CC130" s="2">
        <v>3</v>
      </c>
      <c r="CD130" s="2">
        <v>3</v>
      </c>
      <c r="CE130" s="2">
        <v>4</v>
      </c>
      <c r="CF130" s="2">
        <v>3</v>
      </c>
      <c r="CG130" s="2">
        <v>2</v>
      </c>
      <c r="CH130" s="2">
        <v>2</v>
      </c>
      <c r="CI130" s="2">
        <v>3</v>
      </c>
      <c r="CJ130" s="2">
        <v>3</v>
      </c>
      <c r="CK130" s="2">
        <v>3</v>
      </c>
      <c r="CL130" s="2">
        <v>3</v>
      </c>
      <c r="CM130" s="2">
        <v>2</v>
      </c>
      <c r="CN130" s="2">
        <v>2</v>
      </c>
      <c r="CO130" s="2">
        <v>2</v>
      </c>
      <c r="CP130" s="2">
        <v>2</v>
      </c>
      <c r="CQ130" s="2">
        <v>2</v>
      </c>
      <c r="CR130" s="2">
        <v>2</v>
      </c>
      <c r="CS130" s="2">
        <v>3</v>
      </c>
      <c r="CT130" s="2">
        <v>2</v>
      </c>
      <c r="CU130" s="2">
        <v>2</v>
      </c>
      <c r="CV130" s="2">
        <v>2</v>
      </c>
      <c r="CW130" s="2">
        <v>2</v>
      </c>
      <c r="CX130" s="2">
        <v>1</v>
      </c>
      <c r="CY130" s="2">
        <v>1</v>
      </c>
      <c r="CZ130" s="2">
        <v>2</v>
      </c>
      <c r="DA130" s="2">
        <v>2</v>
      </c>
      <c r="DB130" s="2">
        <v>2</v>
      </c>
      <c r="DC130" s="2">
        <v>2</v>
      </c>
      <c r="DD130" s="2">
        <v>2</v>
      </c>
      <c r="DE130" s="2">
        <v>3</v>
      </c>
      <c r="DF130" s="2">
        <v>3</v>
      </c>
      <c r="DG130" s="2">
        <v>2</v>
      </c>
      <c r="DH130" s="2">
        <v>3</v>
      </c>
      <c r="DI130" s="2">
        <v>2</v>
      </c>
      <c r="DJ130" s="2">
        <v>2</v>
      </c>
      <c r="DK130" s="2">
        <v>2</v>
      </c>
      <c r="DL130" s="2">
        <v>3</v>
      </c>
      <c r="DM130" s="2">
        <v>2</v>
      </c>
      <c r="DN130" s="2">
        <v>2</v>
      </c>
      <c r="DO130" s="2">
        <v>2</v>
      </c>
      <c r="DP130" s="2">
        <v>4</v>
      </c>
      <c r="DQ130" s="2">
        <v>4</v>
      </c>
      <c r="DR130" s="2">
        <v>3</v>
      </c>
      <c r="DS130" s="2">
        <v>4</v>
      </c>
      <c r="DT130" s="2">
        <v>4</v>
      </c>
      <c r="DU130" s="2">
        <v>4</v>
      </c>
      <c r="DV130" s="2">
        <v>3</v>
      </c>
      <c r="DW130" s="2">
        <v>2</v>
      </c>
      <c r="DX130" s="2">
        <v>4</v>
      </c>
      <c r="DY130" s="2">
        <v>4</v>
      </c>
      <c r="DZ130" s="2">
        <v>3</v>
      </c>
      <c r="EA130" s="2">
        <v>2</v>
      </c>
      <c r="EB130" s="2">
        <v>2</v>
      </c>
      <c r="EC130" s="2">
        <v>2</v>
      </c>
      <c r="ED130" s="2">
        <v>2</v>
      </c>
      <c r="EE130" s="2">
        <v>2</v>
      </c>
      <c r="EF130" s="2">
        <v>2</v>
      </c>
      <c r="EG130" s="2">
        <v>2</v>
      </c>
      <c r="EH130" s="2">
        <v>2</v>
      </c>
      <c r="EI130" s="2">
        <v>2</v>
      </c>
      <c r="EJ130" s="2">
        <v>3</v>
      </c>
      <c r="EK130" s="2">
        <v>3</v>
      </c>
      <c r="EL130" s="2">
        <v>3</v>
      </c>
      <c r="EM130" s="2">
        <v>2</v>
      </c>
      <c r="EN130" s="2">
        <v>3</v>
      </c>
      <c r="EO130" s="2">
        <v>2</v>
      </c>
      <c r="EP130" s="2">
        <v>2</v>
      </c>
      <c r="EQ130" s="2">
        <v>3</v>
      </c>
      <c r="ER130" s="2">
        <v>2</v>
      </c>
      <c r="ES130" s="2">
        <v>2</v>
      </c>
      <c r="ET130" s="2">
        <v>2</v>
      </c>
      <c r="EU130" s="2">
        <v>3</v>
      </c>
      <c r="EV130" s="2">
        <v>2</v>
      </c>
      <c r="EW130" s="2">
        <v>3</v>
      </c>
      <c r="EX130" s="2">
        <v>3</v>
      </c>
      <c r="EY130" s="2">
        <v>3</v>
      </c>
      <c r="EZ130" s="2">
        <v>3</v>
      </c>
      <c r="FA130" s="2">
        <v>3</v>
      </c>
      <c r="FB130" s="2">
        <v>3</v>
      </c>
      <c r="FC130" s="2">
        <v>2</v>
      </c>
      <c r="FD130" s="2">
        <v>3</v>
      </c>
      <c r="FE130" s="2">
        <v>3</v>
      </c>
      <c r="FF130" s="2">
        <v>3</v>
      </c>
      <c r="FG130" s="2">
        <v>3</v>
      </c>
      <c r="FH130" s="2">
        <v>3</v>
      </c>
      <c r="FI130" s="2">
        <v>3</v>
      </c>
      <c r="FJ130" s="2">
        <v>3</v>
      </c>
      <c r="FK130" s="2">
        <v>2</v>
      </c>
      <c r="FL130" s="2">
        <v>2</v>
      </c>
      <c r="FM130" s="2">
        <v>3</v>
      </c>
      <c r="FN130" s="2">
        <v>2</v>
      </c>
      <c r="FO130" s="2">
        <v>3</v>
      </c>
      <c r="FP130" s="2">
        <v>3</v>
      </c>
      <c r="FQ130" s="2">
        <v>3</v>
      </c>
      <c r="FR130" s="2">
        <v>3</v>
      </c>
      <c r="FS130" s="2">
        <v>3</v>
      </c>
      <c r="FT130" s="2">
        <v>3</v>
      </c>
      <c r="FU130" s="2">
        <v>3</v>
      </c>
      <c r="FV130" s="2">
        <v>2</v>
      </c>
      <c r="FW130" s="2">
        <v>2</v>
      </c>
      <c r="FX130" s="2">
        <v>2</v>
      </c>
      <c r="FY130" s="2">
        <v>2</v>
      </c>
      <c r="FZ130" s="2">
        <v>2</v>
      </c>
      <c r="GA130" s="2">
        <v>2</v>
      </c>
      <c r="GB130" s="2">
        <v>3</v>
      </c>
      <c r="GC130" s="2" t="s">
        <v>983</v>
      </c>
      <c r="GD130" s="2">
        <v>3</v>
      </c>
      <c r="GE130" s="2">
        <v>3</v>
      </c>
      <c r="GF130" s="2">
        <v>3</v>
      </c>
      <c r="GG130" s="2">
        <v>3</v>
      </c>
      <c r="GH130" s="2">
        <v>4</v>
      </c>
      <c r="GI130" s="2">
        <v>3</v>
      </c>
      <c r="GJ130" s="2">
        <v>2</v>
      </c>
      <c r="GK130" s="2">
        <v>3</v>
      </c>
      <c r="GL130" s="2">
        <v>2</v>
      </c>
      <c r="GM130" s="2">
        <v>2</v>
      </c>
      <c r="GN130" s="3">
        <v>3</v>
      </c>
      <c r="GO130" s="3">
        <v>3</v>
      </c>
      <c r="GP130" s="3">
        <v>3</v>
      </c>
      <c r="GQ130" s="3">
        <v>4</v>
      </c>
      <c r="GR130" s="3">
        <v>3</v>
      </c>
      <c r="GS130" s="3">
        <v>4</v>
      </c>
      <c r="GT130" s="3">
        <v>4</v>
      </c>
      <c r="GU130" s="3">
        <v>4</v>
      </c>
      <c r="GV130" s="3">
        <v>3</v>
      </c>
      <c r="GW130" s="3">
        <v>3</v>
      </c>
      <c r="GX130" s="3">
        <v>3</v>
      </c>
      <c r="GY130" s="3">
        <v>4</v>
      </c>
      <c r="GZ130" s="3">
        <v>3</v>
      </c>
      <c r="HA130" s="3">
        <v>3</v>
      </c>
      <c r="HB130" s="3">
        <v>4</v>
      </c>
      <c r="HC130" s="3">
        <v>4</v>
      </c>
      <c r="HD130" s="3">
        <v>3</v>
      </c>
      <c r="HE130" s="3">
        <v>4</v>
      </c>
      <c r="HF130" s="3">
        <v>4</v>
      </c>
      <c r="HG130" s="3">
        <v>4</v>
      </c>
      <c r="HH130" s="3">
        <v>3</v>
      </c>
      <c r="HI130" s="3">
        <v>4</v>
      </c>
      <c r="HJ130" s="3">
        <v>3</v>
      </c>
      <c r="HK130" s="3">
        <v>3</v>
      </c>
      <c r="HL130" s="3">
        <v>4</v>
      </c>
      <c r="HM130" s="3">
        <v>3</v>
      </c>
      <c r="HN130" s="3">
        <v>4</v>
      </c>
      <c r="HO130" s="3">
        <v>4</v>
      </c>
      <c r="HP130" s="3">
        <v>4</v>
      </c>
      <c r="HQ130" s="3">
        <v>3</v>
      </c>
      <c r="HR130" s="3">
        <v>3</v>
      </c>
      <c r="HS130" s="3">
        <v>3</v>
      </c>
      <c r="HT130" s="3">
        <v>3</v>
      </c>
      <c r="HU130" s="3">
        <v>3</v>
      </c>
      <c r="HV130" s="3">
        <v>3</v>
      </c>
      <c r="HW130" s="3">
        <v>4</v>
      </c>
      <c r="HX130" s="3">
        <v>3</v>
      </c>
      <c r="HY130" s="3">
        <v>2</v>
      </c>
      <c r="HZ130" s="3">
        <v>3</v>
      </c>
      <c r="IA130" s="3">
        <v>3</v>
      </c>
      <c r="IB130" s="3">
        <v>4</v>
      </c>
      <c r="IC130" s="3">
        <v>4</v>
      </c>
      <c r="ID130" s="3">
        <v>3</v>
      </c>
      <c r="IE130" s="3">
        <v>4</v>
      </c>
      <c r="IF130" s="3">
        <v>4</v>
      </c>
      <c r="IG130" s="3">
        <v>3</v>
      </c>
      <c r="IH130" s="3">
        <v>4</v>
      </c>
      <c r="II130" s="3">
        <v>4</v>
      </c>
      <c r="IJ130" s="3">
        <v>3</v>
      </c>
      <c r="IK130" s="3">
        <v>3</v>
      </c>
      <c r="IL130" s="3">
        <v>3</v>
      </c>
      <c r="IM130" s="3">
        <v>2</v>
      </c>
      <c r="IN130" s="3">
        <v>4</v>
      </c>
      <c r="IO130" s="3">
        <v>3</v>
      </c>
      <c r="IP130" s="3">
        <v>3</v>
      </c>
      <c r="IQ130" s="3">
        <v>2</v>
      </c>
      <c r="IR130" s="3" t="s">
        <v>984</v>
      </c>
      <c r="IS130" s="3">
        <v>4</v>
      </c>
      <c r="IT130" s="3">
        <v>3</v>
      </c>
      <c r="IU130" s="3">
        <v>4</v>
      </c>
      <c r="IV130" s="3">
        <v>4</v>
      </c>
      <c r="IW130" s="3">
        <v>3</v>
      </c>
      <c r="IX130" s="3">
        <v>3</v>
      </c>
      <c r="IY130" s="3">
        <v>2</v>
      </c>
      <c r="IZ130" s="2" t="s">
        <v>816</v>
      </c>
    </row>
    <row r="131" spans="1:260" ht="13.2" x14ac:dyDescent="0.25">
      <c r="A131" s="10" t="s">
        <v>274</v>
      </c>
      <c r="B131" s="2" t="s">
        <v>985</v>
      </c>
      <c r="C131" s="2" t="s">
        <v>276</v>
      </c>
      <c r="D131" s="2" t="s">
        <v>262</v>
      </c>
      <c r="E131" s="2">
        <v>25</v>
      </c>
      <c r="F131" s="11" t="s">
        <v>986</v>
      </c>
      <c r="G131" s="11" t="s">
        <v>987</v>
      </c>
      <c r="H131" s="2" t="s">
        <v>988</v>
      </c>
      <c r="I131" s="3">
        <v>1</v>
      </c>
      <c r="J131" s="3">
        <v>1</v>
      </c>
      <c r="K131" s="3">
        <v>1</v>
      </c>
      <c r="L131" s="12" t="s">
        <v>815</v>
      </c>
      <c r="M131" s="12" t="s">
        <v>815</v>
      </c>
      <c r="N131" s="3">
        <v>2</v>
      </c>
      <c r="O131" s="3">
        <v>1</v>
      </c>
      <c r="P131" s="12" t="s">
        <v>815</v>
      </c>
      <c r="Q131" s="12" t="s">
        <v>815</v>
      </c>
      <c r="R131" s="12" t="s">
        <v>815</v>
      </c>
      <c r="S131" s="12" t="s">
        <v>815</v>
      </c>
      <c r="T131" s="12" t="s">
        <v>815</v>
      </c>
      <c r="U131" s="12" t="s">
        <v>815</v>
      </c>
      <c r="V131" s="12" t="s">
        <v>815</v>
      </c>
      <c r="W131" s="3">
        <v>1</v>
      </c>
      <c r="X131" s="12" t="s">
        <v>815</v>
      </c>
      <c r="Y131" s="12" t="s">
        <v>815</v>
      </c>
      <c r="Z131" s="12" t="s">
        <v>815</v>
      </c>
      <c r="AA131" s="3">
        <v>1</v>
      </c>
      <c r="AB131" s="3">
        <v>1</v>
      </c>
      <c r="AC131" s="3">
        <v>1</v>
      </c>
      <c r="AD131" s="12" t="s">
        <v>815</v>
      </c>
      <c r="AE131" s="3">
        <v>2</v>
      </c>
      <c r="AF131" s="12" t="s">
        <v>815</v>
      </c>
      <c r="AG131" s="12" t="s">
        <v>815</v>
      </c>
      <c r="AH131" s="12" t="s">
        <v>815</v>
      </c>
      <c r="AI131" s="3">
        <v>2</v>
      </c>
      <c r="AJ131" s="3">
        <v>2</v>
      </c>
      <c r="AK131" s="3">
        <v>1</v>
      </c>
      <c r="AL131" s="3">
        <v>1</v>
      </c>
      <c r="AM131" s="3">
        <v>2</v>
      </c>
      <c r="AN131" s="12" t="s">
        <v>815</v>
      </c>
      <c r="AO131" s="3">
        <v>2</v>
      </c>
      <c r="AP131" s="12" t="s">
        <v>815</v>
      </c>
      <c r="AQ131" s="12" t="s">
        <v>815</v>
      </c>
      <c r="AR131" s="12" t="s">
        <v>815</v>
      </c>
      <c r="AS131" s="12" t="s">
        <v>815</v>
      </c>
      <c r="AT131" s="12" t="s">
        <v>815</v>
      </c>
      <c r="AU131" s="3">
        <v>2</v>
      </c>
      <c r="AV131" s="3">
        <v>1</v>
      </c>
      <c r="AW131" s="3">
        <v>1</v>
      </c>
      <c r="AX131" s="12" t="s">
        <v>815</v>
      </c>
      <c r="AY131" s="12" t="s">
        <v>815</v>
      </c>
      <c r="AZ131" s="3">
        <v>1</v>
      </c>
      <c r="BA131" s="12" t="s">
        <v>815</v>
      </c>
      <c r="BB131" s="3">
        <v>2</v>
      </c>
      <c r="BC131" s="12" t="s">
        <v>815</v>
      </c>
      <c r="BD131" s="3">
        <v>1</v>
      </c>
      <c r="BE131" s="3">
        <v>1</v>
      </c>
      <c r="BF131" s="12" t="s">
        <v>815</v>
      </c>
      <c r="BG131" s="12" t="s">
        <v>815</v>
      </c>
      <c r="BH131" s="3">
        <v>1</v>
      </c>
      <c r="BI131" s="3">
        <v>1</v>
      </c>
      <c r="BJ131" s="3">
        <v>1</v>
      </c>
      <c r="BK131" s="12" t="s">
        <v>815</v>
      </c>
      <c r="BL131" s="12" t="s">
        <v>815</v>
      </c>
      <c r="BM131" s="3" t="s">
        <v>274</v>
      </c>
      <c r="BN131" s="3">
        <v>2</v>
      </c>
      <c r="BO131" s="12" t="s">
        <v>815</v>
      </c>
      <c r="BP131" s="3">
        <v>1</v>
      </c>
      <c r="BQ131" s="3">
        <v>1</v>
      </c>
      <c r="BR131" s="3">
        <v>1</v>
      </c>
      <c r="BS131" s="3">
        <v>1</v>
      </c>
      <c r="BT131" s="12" t="s">
        <v>815</v>
      </c>
      <c r="BU131" s="11" t="s">
        <v>815</v>
      </c>
      <c r="BV131" s="11" t="s">
        <v>815</v>
      </c>
      <c r="BW131" s="11" t="s">
        <v>815</v>
      </c>
      <c r="BX131" s="11" t="s">
        <v>815</v>
      </c>
      <c r="BY131" s="11" t="s">
        <v>815</v>
      </c>
      <c r="BZ131" s="11" t="s">
        <v>815</v>
      </c>
      <c r="CA131" s="11" t="s">
        <v>815</v>
      </c>
      <c r="CB131" s="11" t="s">
        <v>815</v>
      </c>
      <c r="CC131" s="11" t="s">
        <v>815</v>
      </c>
      <c r="CD131" s="11" t="s">
        <v>815</v>
      </c>
      <c r="CE131" s="11" t="s">
        <v>815</v>
      </c>
      <c r="CF131" s="11" t="s">
        <v>815</v>
      </c>
      <c r="CG131" s="11" t="s">
        <v>815</v>
      </c>
      <c r="CH131" s="11" t="s">
        <v>815</v>
      </c>
      <c r="CI131" s="11" t="s">
        <v>815</v>
      </c>
      <c r="CJ131" s="11" t="s">
        <v>815</v>
      </c>
      <c r="CK131" s="11" t="s">
        <v>815</v>
      </c>
      <c r="CL131" s="2">
        <v>2</v>
      </c>
      <c r="CM131" s="2">
        <v>2</v>
      </c>
      <c r="CN131" s="11" t="s">
        <v>815</v>
      </c>
      <c r="CO131" s="11" t="s">
        <v>815</v>
      </c>
      <c r="CP131" s="11" t="s">
        <v>815</v>
      </c>
      <c r="CQ131" s="2">
        <v>1</v>
      </c>
      <c r="CR131" s="11" t="s">
        <v>815</v>
      </c>
      <c r="CS131" s="2">
        <v>1</v>
      </c>
      <c r="CT131" s="11" t="s">
        <v>815</v>
      </c>
      <c r="CU131" s="11" t="s">
        <v>815</v>
      </c>
      <c r="CV131" s="11" t="s">
        <v>815</v>
      </c>
      <c r="CW131" s="11" t="s">
        <v>815</v>
      </c>
      <c r="CX131" s="11" t="s">
        <v>815</v>
      </c>
      <c r="CY131" s="11" t="s">
        <v>815</v>
      </c>
      <c r="CZ131" s="11" t="s">
        <v>815</v>
      </c>
      <c r="DA131" s="11" t="s">
        <v>815</v>
      </c>
      <c r="DB131" s="11" t="s">
        <v>815</v>
      </c>
      <c r="DC131" s="11" t="s">
        <v>815</v>
      </c>
      <c r="DD131" s="11" t="s">
        <v>815</v>
      </c>
      <c r="DE131" s="11" t="s">
        <v>815</v>
      </c>
      <c r="DF131" s="11" t="s">
        <v>815</v>
      </c>
      <c r="DG131" s="2">
        <v>1</v>
      </c>
      <c r="DH131" s="2">
        <v>2</v>
      </c>
      <c r="DI131" s="11" t="s">
        <v>815</v>
      </c>
      <c r="DJ131" s="11" t="s">
        <v>815</v>
      </c>
      <c r="DK131" s="11" t="s">
        <v>815</v>
      </c>
      <c r="DL131" s="11" t="s">
        <v>815</v>
      </c>
      <c r="DM131" s="11" t="s">
        <v>815</v>
      </c>
      <c r="DN131" s="11" t="s">
        <v>815</v>
      </c>
      <c r="DO131" s="11" t="s">
        <v>815</v>
      </c>
      <c r="DP131" s="11" t="s">
        <v>815</v>
      </c>
      <c r="DQ131" s="11" t="s">
        <v>815</v>
      </c>
      <c r="DR131" s="11" t="s">
        <v>815</v>
      </c>
      <c r="DS131" s="2">
        <v>1</v>
      </c>
      <c r="DT131" s="11" t="s">
        <v>815</v>
      </c>
      <c r="DU131" s="11" t="s">
        <v>815</v>
      </c>
      <c r="DV131" s="11" t="s">
        <v>815</v>
      </c>
      <c r="DW131" s="11" t="s">
        <v>815</v>
      </c>
      <c r="DX131" s="2">
        <v>2</v>
      </c>
      <c r="DY131" s="2">
        <v>2</v>
      </c>
      <c r="DZ131" s="2">
        <v>1</v>
      </c>
      <c r="EA131" s="11" t="s">
        <v>815</v>
      </c>
      <c r="EB131" s="11" t="s">
        <v>815</v>
      </c>
      <c r="EC131" s="11" t="s">
        <v>815</v>
      </c>
      <c r="ED131" s="11" t="s">
        <v>815</v>
      </c>
      <c r="EE131" s="11" t="s">
        <v>815</v>
      </c>
      <c r="EF131" s="11" t="s">
        <v>815</v>
      </c>
      <c r="EG131" s="11" t="s">
        <v>815</v>
      </c>
      <c r="EH131" s="11" t="s">
        <v>815</v>
      </c>
      <c r="EI131" s="11" t="s">
        <v>815</v>
      </c>
      <c r="EJ131" s="11" t="s">
        <v>815</v>
      </c>
      <c r="EK131" s="2">
        <v>1</v>
      </c>
      <c r="EL131" s="11" t="s">
        <v>815</v>
      </c>
      <c r="EM131" s="11" t="s">
        <v>815</v>
      </c>
      <c r="EN131" s="11" t="s">
        <v>815</v>
      </c>
      <c r="EO131" s="11" t="s">
        <v>815</v>
      </c>
      <c r="EP131" s="11" t="s">
        <v>815</v>
      </c>
      <c r="EQ131" s="11" t="s">
        <v>815</v>
      </c>
      <c r="ER131" s="11" t="s">
        <v>815</v>
      </c>
      <c r="ES131" s="11" t="s">
        <v>815</v>
      </c>
      <c r="ET131" s="11" t="s">
        <v>815</v>
      </c>
      <c r="EU131" s="11" t="s">
        <v>815</v>
      </c>
      <c r="EV131" s="11" t="s">
        <v>815</v>
      </c>
      <c r="EW131" s="2">
        <v>1</v>
      </c>
      <c r="EX131" s="2">
        <v>1</v>
      </c>
      <c r="EY131" s="11" t="s">
        <v>815</v>
      </c>
      <c r="EZ131" s="11" t="s">
        <v>815</v>
      </c>
      <c r="FA131" s="11" t="s">
        <v>815</v>
      </c>
      <c r="FB131" s="11" t="s">
        <v>815</v>
      </c>
      <c r="FC131" s="11" t="s">
        <v>815</v>
      </c>
      <c r="FD131" s="11" t="s">
        <v>815</v>
      </c>
      <c r="FE131" s="11" t="s">
        <v>815</v>
      </c>
      <c r="FF131" s="11" t="s">
        <v>815</v>
      </c>
      <c r="FG131" s="11" t="s">
        <v>815</v>
      </c>
      <c r="FH131" s="11" t="s">
        <v>815</v>
      </c>
      <c r="FI131" s="11" t="s">
        <v>815</v>
      </c>
      <c r="FJ131" s="11" t="s">
        <v>815</v>
      </c>
      <c r="FK131" s="11" t="s">
        <v>815</v>
      </c>
      <c r="FL131" s="11" t="s">
        <v>815</v>
      </c>
      <c r="FM131" s="11" t="s">
        <v>815</v>
      </c>
      <c r="FN131" s="11" t="s">
        <v>815</v>
      </c>
      <c r="FO131" s="11" t="s">
        <v>815</v>
      </c>
      <c r="FP131" s="11" t="s">
        <v>815</v>
      </c>
      <c r="FQ131" s="2">
        <v>1</v>
      </c>
      <c r="FR131" s="2">
        <v>1</v>
      </c>
      <c r="FS131" s="11" t="s">
        <v>815</v>
      </c>
      <c r="FT131" s="11" t="s">
        <v>815</v>
      </c>
      <c r="FU131" s="11" t="s">
        <v>815</v>
      </c>
      <c r="FV131" s="11" t="s">
        <v>815</v>
      </c>
      <c r="FW131" s="11" t="s">
        <v>815</v>
      </c>
      <c r="FX131" s="2">
        <v>2</v>
      </c>
      <c r="FY131" s="11" t="s">
        <v>815</v>
      </c>
      <c r="FZ131" s="11" t="s">
        <v>815</v>
      </c>
      <c r="GA131" s="11" t="s">
        <v>815</v>
      </c>
      <c r="GB131" s="11" t="s">
        <v>815</v>
      </c>
      <c r="GC131" s="2" t="s">
        <v>989</v>
      </c>
      <c r="GD131" s="11" t="s">
        <v>815</v>
      </c>
      <c r="GE131" s="11" t="s">
        <v>815</v>
      </c>
      <c r="GF131" s="11" t="s">
        <v>815</v>
      </c>
      <c r="GG131" s="2">
        <v>1</v>
      </c>
      <c r="GH131" s="2">
        <v>1</v>
      </c>
      <c r="GI131" s="2">
        <v>2</v>
      </c>
      <c r="GJ131" s="2">
        <v>1</v>
      </c>
      <c r="GK131" s="11" t="s">
        <v>815</v>
      </c>
      <c r="GL131" s="11" t="s">
        <v>815</v>
      </c>
      <c r="GM131" s="11" t="s">
        <v>815</v>
      </c>
      <c r="GN131" s="12" t="s">
        <v>815</v>
      </c>
      <c r="GO131" s="12" t="s">
        <v>815</v>
      </c>
      <c r="GP131" s="12" t="s">
        <v>815</v>
      </c>
      <c r="GQ131" s="3">
        <v>1</v>
      </c>
      <c r="GR131" s="12" t="s">
        <v>815</v>
      </c>
      <c r="GS131" s="3">
        <v>1</v>
      </c>
      <c r="GT131" s="12" t="s">
        <v>815</v>
      </c>
      <c r="GU131" s="12" t="s">
        <v>815</v>
      </c>
      <c r="GV131" s="12" t="s">
        <v>815</v>
      </c>
      <c r="GW131" s="12" t="s">
        <v>815</v>
      </c>
      <c r="GX131" s="12" t="s">
        <v>815</v>
      </c>
      <c r="GY131" s="12" t="s">
        <v>815</v>
      </c>
      <c r="GZ131" s="12" t="s">
        <v>815</v>
      </c>
      <c r="HA131" s="12" t="s">
        <v>815</v>
      </c>
      <c r="HB131" s="12" t="s">
        <v>815</v>
      </c>
      <c r="HC131" s="12" t="s">
        <v>815</v>
      </c>
      <c r="HD131" s="12" t="s">
        <v>815</v>
      </c>
      <c r="HE131" s="12" t="s">
        <v>815</v>
      </c>
      <c r="HF131" s="12" t="s">
        <v>815</v>
      </c>
      <c r="HG131" s="12" t="s">
        <v>815</v>
      </c>
      <c r="HH131" s="12" t="s">
        <v>815</v>
      </c>
      <c r="HI131" s="3">
        <v>1</v>
      </c>
      <c r="HJ131" s="12" t="s">
        <v>815</v>
      </c>
      <c r="HK131" s="12" t="s">
        <v>815</v>
      </c>
      <c r="HL131" s="12" t="s">
        <v>815</v>
      </c>
      <c r="HM131" s="12" t="s">
        <v>815</v>
      </c>
      <c r="HN131" s="12" t="s">
        <v>815</v>
      </c>
      <c r="HO131" s="12" t="s">
        <v>815</v>
      </c>
      <c r="HP131" s="3">
        <v>1</v>
      </c>
      <c r="HQ131" s="12" t="s">
        <v>815</v>
      </c>
      <c r="HR131" s="12" t="s">
        <v>815</v>
      </c>
      <c r="HS131" s="12" t="s">
        <v>815</v>
      </c>
      <c r="HT131" s="12" t="s">
        <v>815</v>
      </c>
      <c r="HU131" s="12" t="s">
        <v>815</v>
      </c>
      <c r="HV131" s="3">
        <v>1</v>
      </c>
      <c r="HW131" s="3">
        <v>1</v>
      </c>
      <c r="HX131" s="12" t="s">
        <v>815</v>
      </c>
      <c r="HY131" s="12" t="s">
        <v>815</v>
      </c>
      <c r="HZ131" s="12" t="s">
        <v>815</v>
      </c>
      <c r="IA131" s="3">
        <v>1</v>
      </c>
      <c r="IB131" s="3">
        <v>1</v>
      </c>
      <c r="IC131" s="12" t="s">
        <v>815</v>
      </c>
      <c r="ID131" s="12" t="s">
        <v>815</v>
      </c>
      <c r="IE131" s="12" t="s">
        <v>815</v>
      </c>
      <c r="IF131" s="12" t="s">
        <v>815</v>
      </c>
      <c r="IG131" s="12" t="s">
        <v>815</v>
      </c>
      <c r="IH131" s="12" t="s">
        <v>815</v>
      </c>
      <c r="II131" s="12" t="s">
        <v>815</v>
      </c>
      <c r="IJ131" s="3">
        <v>1</v>
      </c>
      <c r="IK131" s="12" t="s">
        <v>815</v>
      </c>
      <c r="IL131" s="12" t="s">
        <v>815</v>
      </c>
      <c r="IM131" s="12" t="s">
        <v>815</v>
      </c>
      <c r="IN131" s="12" t="s">
        <v>815</v>
      </c>
      <c r="IO131" s="12" t="s">
        <v>815</v>
      </c>
      <c r="IP131" s="12" t="s">
        <v>815</v>
      </c>
      <c r="IQ131" s="12" t="s">
        <v>815</v>
      </c>
      <c r="IR131" s="3" t="s">
        <v>990</v>
      </c>
      <c r="IS131" s="3">
        <v>1</v>
      </c>
      <c r="IT131" s="3">
        <v>1</v>
      </c>
      <c r="IU131" s="3">
        <v>1</v>
      </c>
      <c r="IV131" s="12" t="s">
        <v>815</v>
      </c>
      <c r="IW131" s="12" t="s">
        <v>815</v>
      </c>
      <c r="IX131" s="12" t="s">
        <v>815</v>
      </c>
      <c r="IY131" s="12" t="s">
        <v>815</v>
      </c>
      <c r="IZ131" s="2" t="s">
        <v>816</v>
      </c>
    </row>
    <row r="132" spans="1:260" ht="13.2" x14ac:dyDescent="0.25">
      <c r="A132" s="10" t="s">
        <v>274</v>
      </c>
      <c r="B132" s="2" t="s">
        <v>991</v>
      </c>
      <c r="C132" s="2" t="s">
        <v>261</v>
      </c>
      <c r="D132" s="2" t="s">
        <v>262</v>
      </c>
      <c r="E132" s="2">
        <v>48</v>
      </c>
      <c r="F132" s="11" t="s">
        <v>661</v>
      </c>
      <c r="G132" s="11" t="s">
        <v>992</v>
      </c>
      <c r="H132" s="2" t="s">
        <v>508</v>
      </c>
      <c r="I132" s="3">
        <v>2</v>
      </c>
      <c r="J132" s="3">
        <v>3</v>
      </c>
      <c r="K132" s="3">
        <v>3</v>
      </c>
      <c r="L132" s="3">
        <v>3</v>
      </c>
      <c r="M132" s="3">
        <v>3</v>
      </c>
      <c r="N132" s="3">
        <v>3</v>
      </c>
      <c r="O132" s="3">
        <v>3</v>
      </c>
      <c r="P132" s="3">
        <v>3</v>
      </c>
      <c r="Q132" s="3">
        <v>3</v>
      </c>
      <c r="R132" s="3">
        <v>3</v>
      </c>
      <c r="S132" s="3">
        <v>3</v>
      </c>
      <c r="T132" s="3">
        <v>3</v>
      </c>
      <c r="U132" s="3">
        <v>3</v>
      </c>
      <c r="V132" s="3">
        <v>2</v>
      </c>
      <c r="W132" s="3">
        <v>3</v>
      </c>
      <c r="X132" s="3">
        <v>3</v>
      </c>
      <c r="Y132" s="3">
        <v>3</v>
      </c>
      <c r="Z132" s="3">
        <v>3</v>
      </c>
      <c r="AA132" s="3">
        <v>2</v>
      </c>
      <c r="AB132" s="3">
        <v>3</v>
      </c>
      <c r="AC132" s="3">
        <v>2</v>
      </c>
      <c r="AD132" s="3">
        <v>3</v>
      </c>
      <c r="AE132" s="3">
        <v>3</v>
      </c>
      <c r="AF132" s="3">
        <v>3</v>
      </c>
      <c r="AG132" s="3">
        <v>3</v>
      </c>
      <c r="AH132" s="3">
        <v>3</v>
      </c>
      <c r="AI132" s="3">
        <v>3</v>
      </c>
      <c r="AJ132" s="3">
        <v>3</v>
      </c>
      <c r="AK132" s="3">
        <v>3</v>
      </c>
      <c r="AL132" s="3">
        <v>3</v>
      </c>
      <c r="AM132" s="3">
        <v>3</v>
      </c>
      <c r="AN132" s="3">
        <v>3</v>
      </c>
      <c r="AO132" s="3">
        <v>3</v>
      </c>
      <c r="AP132" s="3">
        <v>3</v>
      </c>
      <c r="AQ132" s="3">
        <v>3</v>
      </c>
      <c r="AR132" s="3">
        <v>3</v>
      </c>
      <c r="AS132" s="3">
        <v>3</v>
      </c>
      <c r="AT132" s="3">
        <v>3</v>
      </c>
      <c r="AU132" s="3">
        <v>3</v>
      </c>
      <c r="AV132" s="3">
        <v>3</v>
      </c>
      <c r="AW132" s="3">
        <v>3</v>
      </c>
      <c r="AX132" s="3">
        <v>3</v>
      </c>
      <c r="AY132" s="3">
        <v>3</v>
      </c>
      <c r="AZ132" s="3">
        <v>3</v>
      </c>
      <c r="BA132" s="3">
        <v>3</v>
      </c>
      <c r="BB132" s="3">
        <v>3</v>
      </c>
      <c r="BC132" s="3">
        <v>3</v>
      </c>
      <c r="BD132" s="3">
        <v>3</v>
      </c>
      <c r="BE132" s="3">
        <v>3</v>
      </c>
      <c r="BF132" s="3">
        <v>3</v>
      </c>
      <c r="BG132" s="3">
        <v>3</v>
      </c>
      <c r="BH132" s="3">
        <v>3</v>
      </c>
      <c r="BI132" s="3">
        <v>3</v>
      </c>
      <c r="BJ132" s="3">
        <v>3</v>
      </c>
      <c r="BK132" s="3">
        <v>3</v>
      </c>
      <c r="BL132" s="3">
        <v>3</v>
      </c>
      <c r="BM132" s="3" t="s">
        <v>993</v>
      </c>
      <c r="BN132" s="3">
        <v>3</v>
      </c>
      <c r="BO132" s="3">
        <v>3</v>
      </c>
      <c r="BP132" s="3">
        <v>3</v>
      </c>
      <c r="BQ132" s="3">
        <v>3</v>
      </c>
      <c r="BR132" s="3">
        <v>3</v>
      </c>
      <c r="BS132" s="3">
        <v>3</v>
      </c>
      <c r="BT132" s="3">
        <v>3</v>
      </c>
      <c r="BU132" s="2">
        <v>3</v>
      </c>
      <c r="BV132" s="2">
        <v>3</v>
      </c>
      <c r="BW132" s="2">
        <v>3</v>
      </c>
      <c r="BX132" s="2">
        <v>3</v>
      </c>
      <c r="BY132" s="2">
        <v>2</v>
      </c>
      <c r="BZ132" s="2">
        <v>3</v>
      </c>
      <c r="CA132" s="2">
        <v>2</v>
      </c>
      <c r="CB132" s="2">
        <v>3</v>
      </c>
      <c r="CC132" s="2">
        <v>3</v>
      </c>
      <c r="CD132" s="2">
        <v>3</v>
      </c>
      <c r="CE132" s="2">
        <v>3</v>
      </c>
      <c r="CF132" s="2">
        <v>3</v>
      </c>
      <c r="CG132" s="2">
        <v>3</v>
      </c>
      <c r="CH132" s="2">
        <v>3</v>
      </c>
      <c r="CI132" s="2">
        <v>3</v>
      </c>
      <c r="CJ132" s="2">
        <v>3</v>
      </c>
      <c r="CK132" s="2">
        <v>3</v>
      </c>
      <c r="CL132" s="2">
        <v>2</v>
      </c>
      <c r="CM132" s="2">
        <v>3</v>
      </c>
      <c r="CN132" s="2">
        <v>3</v>
      </c>
      <c r="CO132" s="2">
        <v>2</v>
      </c>
      <c r="CP132" s="2">
        <v>3</v>
      </c>
      <c r="CQ132" s="2">
        <v>3</v>
      </c>
      <c r="CR132" s="2">
        <v>3</v>
      </c>
      <c r="CS132" s="2">
        <v>2</v>
      </c>
      <c r="CT132" s="2">
        <v>3</v>
      </c>
      <c r="CU132" s="2">
        <v>3</v>
      </c>
      <c r="CV132" s="2">
        <v>3</v>
      </c>
      <c r="CW132" s="2">
        <v>3</v>
      </c>
      <c r="CX132" s="2">
        <v>3</v>
      </c>
      <c r="CY132" s="2">
        <v>3</v>
      </c>
      <c r="CZ132" s="2">
        <v>3</v>
      </c>
      <c r="DA132" s="2">
        <v>3</v>
      </c>
      <c r="DB132" s="2">
        <v>3</v>
      </c>
      <c r="DC132" s="2">
        <v>2</v>
      </c>
      <c r="DD132" s="2">
        <v>3</v>
      </c>
      <c r="DE132" s="2">
        <v>3</v>
      </c>
      <c r="DF132" s="2">
        <v>3</v>
      </c>
      <c r="DG132" s="2">
        <v>3</v>
      </c>
      <c r="DH132" s="2">
        <v>3</v>
      </c>
      <c r="DI132" s="2">
        <v>3</v>
      </c>
      <c r="DJ132" s="2">
        <v>2</v>
      </c>
      <c r="DK132" s="2">
        <v>3</v>
      </c>
      <c r="DL132" s="2">
        <v>3</v>
      </c>
      <c r="DM132" s="2">
        <v>3</v>
      </c>
      <c r="DN132" s="2">
        <v>2</v>
      </c>
      <c r="DO132" s="2">
        <v>3</v>
      </c>
      <c r="DP132" s="2">
        <v>3</v>
      </c>
      <c r="DQ132" s="2">
        <v>3</v>
      </c>
      <c r="DR132" s="2">
        <v>2</v>
      </c>
      <c r="DS132" s="2">
        <v>2</v>
      </c>
      <c r="DT132" s="2">
        <v>3</v>
      </c>
      <c r="DU132" s="2">
        <v>2</v>
      </c>
      <c r="DV132" s="2">
        <v>3</v>
      </c>
      <c r="DW132" s="2">
        <v>2</v>
      </c>
      <c r="DX132" s="2">
        <v>3</v>
      </c>
      <c r="DY132" s="2">
        <v>3</v>
      </c>
      <c r="DZ132" s="2">
        <v>3</v>
      </c>
      <c r="EA132" s="2">
        <v>2</v>
      </c>
      <c r="EB132" s="2">
        <v>3</v>
      </c>
      <c r="EC132" s="2">
        <v>3</v>
      </c>
      <c r="ED132" s="2">
        <v>3</v>
      </c>
      <c r="EE132" s="2">
        <v>3</v>
      </c>
      <c r="EF132" s="2">
        <v>3</v>
      </c>
      <c r="EG132" s="2">
        <v>2</v>
      </c>
      <c r="EH132" s="2">
        <v>3</v>
      </c>
      <c r="EI132" s="2">
        <v>3</v>
      </c>
      <c r="EJ132" s="2">
        <v>3</v>
      </c>
      <c r="EK132" s="2">
        <v>2</v>
      </c>
      <c r="EL132" s="2">
        <v>3</v>
      </c>
      <c r="EM132" s="2">
        <v>2</v>
      </c>
      <c r="EN132" s="2">
        <v>2</v>
      </c>
      <c r="EO132" s="2">
        <v>3</v>
      </c>
      <c r="EP132" s="2">
        <v>2</v>
      </c>
      <c r="EQ132" s="2">
        <v>3</v>
      </c>
      <c r="ER132" s="2">
        <v>2</v>
      </c>
      <c r="ES132" s="2">
        <v>3</v>
      </c>
      <c r="ET132" s="2">
        <v>3</v>
      </c>
      <c r="EU132" s="2">
        <v>2</v>
      </c>
      <c r="EV132" s="2">
        <v>3</v>
      </c>
      <c r="EW132" s="2">
        <v>2</v>
      </c>
      <c r="EX132" s="2">
        <v>3</v>
      </c>
      <c r="EY132" s="2">
        <v>3</v>
      </c>
      <c r="EZ132" s="2">
        <v>3</v>
      </c>
      <c r="FA132" s="2">
        <v>3</v>
      </c>
      <c r="FB132" s="2">
        <v>2</v>
      </c>
      <c r="FC132" s="2">
        <v>3</v>
      </c>
      <c r="FD132" s="2">
        <v>2</v>
      </c>
      <c r="FE132" s="2">
        <v>3</v>
      </c>
      <c r="FF132" s="2">
        <v>3</v>
      </c>
      <c r="FG132" s="2">
        <v>3</v>
      </c>
      <c r="FH132" s="2">
        <v>2</v>
      </c>
      <c r="FI132" s="2">
        <v>3</v>
      </c>
      <c r="FJ132" s="2">
        <v>3</v>
      </c>
      <c r="FK132" s="2">
        <v>3</v>
      </c>
      <c r="FL132" s="2">
        <v>3</v>
      </c>
      <c r="FM132" s="2">
        <v>3</v>
      </c>
      <c r="FN132" s="2">
        <v>2</v>
      </c>
      <c r="FO132" s="2">
        <v>3</v>
      </c>
      <c r="FP132" s="2">
        <v>3</v>
      </c>
      <c r="FQ132" s="2">
        <v>3</v>
      </c>
      <c r="FR132" s="2">
        <v>3</v>
      </c>
      <c r="FS132" s="2">
        <v>3</v>
      </c>
      <c r="FT132" s="2">
        <v>2</v>
      </c>
      <c r="FU132" s="2">
        <v>3</v>
      </c>
      <c r="FV132" s="2">
        <v>3</v>
      </c>
      <c r="FW132" s="2">
        <v>2</v>
      </c>
      <c r="FX132" s="2">
        <v>3</v>
      </c>
      <c r="FY132" s="2">
        <v>3</v>
      </c>
      <c r="FZ132" s="2">
        <v>2</v>
      </c>
      <c r="GA132" s="2">
        <v>3</v>
      </c>
      <c r="GB132" s="2">
        <v>3</v>
      </c>
      <c r="GC132" s="2" t="s">
        <v>274</v>
      </c>
      <c r="GD132" s="2">
        <v>3</v>
      </c>
      <c r="GE132" s="2">
        <v>3</v>
      </c>
      <c r="GF132" s="2">
        <v>3</v>
      </c>
      <c r="GG132" s="2">
        <v>3</v>
      </c>
      <c r="GH132" s="2">
        <v>3</v>
      </c>
      <c r="GI132" s="2">
        <v>3</v>
      </c>
      <c r="GJ132" s="2">
        <v>3</v>
      </c>
      <c r="GK132" s="2">
        <v>2</v>
      </c>
      <c r="GL132" s="2">
        <v>3</v>
      </c>
      <c r="GM132" s="2">
        <v>2</v>
      </c>
      <c r="GN132" s="3">
        <v>3</v>
      </c>
      <c r="GO132" s="3">
        <v>3</v>
      </c>
      <c r="GP132" s="3">
        <v>3</v>
      </c>
      <c r="GQ132" s="3">
        <v>3</v>
      </c>
      <c r="GR132" s="3">
        <v>3</v>
      </c>
      <c r="GS132" s="3">
        <v>3</v>
      </c>
      <c r="GT132" s="3">
        <v>3</v>
      </c>
      <c r="GU132" s="3">
        <v>3</v>
      </c>
      <c r="GV132" s="3">
        <v>3</v>
      </c>
      <c r="GW132" s="3">
        <v>3</v>
      </c>
      <c r="GX132" s="3">
        <v>3</v>
      </c>
      <c r="GY132" s="3">
        <v>3</v>
      </c>
      <c r="GZ132" s="3">
        <v>3</v>
      </c>
      <c r="HA132" s="3">
        <v>3</v>
      </c>
      <c r="HB132" s="3">
        <v>3</v>
      </c>
      <c r="HC132" s="3">
        <v>3</v>
      </c>
      <c r="HD132" s="3">
        <v>3</v>
      </c>
      <c r="HE132" s="3">
        <v>3</v>
      </c>
      <c r="HF132" s="3">
        <v>3</v>
      </c>
      <c r="HG132" s="3">
        <v>3</v>
      </c>
      <c r="HH132" s="3">
        <v>3</v>
      </c>
      <c r="HI132" s="3">
        <v>3</v>
      </c>
      <c r="HJ132" s="3">
        <v>3</v>
      </c>
      <c r="HK132" s="3">
        <v>3</v>
      </c>
      <c r="HL132" s="3">
        <v>3</v>
      </c>
      <c r="HM132" s="3">
        <v>3</v>
      </c>
      <c r="HN132" s="3">
        <v>3</v>
      </c>
      <c r="HO132" s="3">
        <v>3</v>
      </c>
      <c r="HP132" s="3">
        <v>3</v>
      </c>
      <c r="HQ132" s="3">
        <v>3</v>
      </c>
      <c r="HR132" s="3">
        <v>3</v>
      </c>
      <c r="HS132" s="3">
        <v>3</v>
      </c>
      <c r="HT132" s="3">
        <v>3</v>
      </c>
      <c r="HU132" s="3">
        <v>3</v>
      </c>
      <c r="HV132" s="3">
        <v>3</v>
      </c>
      <c r="HW132" s="3">
        <v>3</v>
      </c>
      <c r="HX132" s="3">
        <v>3</v>
      </c>
      <c r="HY132" s="3">
        <v>3</v>
      </c>
      <c r="HZ132" s="3">
        <v>3</v>
      </c>
      <c r="IA132" s="3">
        <v>3</v>
      </c>
      <c r="IB132" s="3">
        <v>3</v>
      </c>
      <c r="IC132" s="3">
        <v>3</v>
      </c>
      <c r="ID132" s="3">
        <v>3</v>
      </c>
      <c r="IE132" s="3">
        <v>3</v>
      </c>
      <c r="IF132" s="3">
        <v>3</v>
      </c>
      <c r="IG132" s="3">
        <v>3</v>
      </c>
      <c r="IH132" s="3">
        <v>3</v>
      </c>
      <c r="II132" s="3">
        <v>3</v>
      </c>
      <c r="IJ132" s="3">
        <v>3</v>
      </c>
      <c r="IK132" s="3">
        <v>3</v>
      </c>
      <c r="IL132" s="3">
        <v>3</v>
      </c>
      <c r="IM132" s="3">
        <v>3</v>
      </c>
      <c r="IN132" s="3">
        <v>3</v>
      </c>
      <c r="IO132" s="3">
        <v>3</v>
      </c>
      <c r="IP132" s="3">
        <v>3</v>
      </c>
      <c r="IQ132" s="3">
        <v>3</v>
      </c>
      <c r="IR132" s="3" t="s">
        <v>274</v>
      </c>
      <c r="IS132" s="3">
        <v>3</v>
      </c>
      <c r="IT132" s="3">
        <v>3</v>
      </c>
      <c r="IU132" s="3">
        <v>3</v>
      </c>
      <c r="IV132" s="3">
        <v>3</v>
      </c>
      <c r="IW132" s="3">
        <v>3</v>
      </c>
      <c r="IX132" s="3">
        <v>3</v>
      </c>
      <c r="IY132" s="3">
        <v>3</v>
      </c>
      <c r="IZ132" s="2" t="s">
        <v>816</v>
      </c>
    </row>
    <row r="133" spans="1:260" ht="13.2" x14ac:dyDescent="0.25">
      <c r="A133" s="10" t="s">
        <v>274</v>
      </c>
      <c r="B133" s="2" t="s">
        <v>994</v>
      </c>
      <c r="C133" s="2" t="s">
        <v>276</v>
      </c>
      <c r="D133" s="2" t="s">
        <v>270</v>
      </c>
      <c r="E133" s="2">
        <v>21</v>
      </c>
      <c r="F133" s="11" t="s">
        <v>995</v>
      </c>
      <c r="G133" s="11" t="s">
        <v>996</v>
      </c>
      <c r="H133" s="2" t="s">
        <v>997</v>
      </c>
      <c r="I133" s="3">
        <v>1</v>
      </c>
      <c r="J133" s="12" t="s">
        <v>815</v>
      </c>
      <c r="K133" s="3">
        <v>1</v>
      </c>
      <c r="L133" s="3">
        <v>1</v>
      </c>
      <c r="M133" s="3">
        <v>2</v>
      </c>
      <c r="N133" s="3">
        <v>1</v>
      </c>
      <c r="O133" s="3">
        <v>2</v>
      </c>
      <c r="P133" s="3">
        <v>1</v>
      </c>
      <c r="Q133" s="12" t="s">
        <v>815</v>
      </c>
      <c r="R133" s="12" t="s">
        <v>815</v>
      </c>
      <c r="S133" s="12" t="s">
        <v>815</v>
      </c>
      <c r="T133" s="12" t="s">
        <v>815</v>
      </c>
      <c r="U133" s="3">
        <v>1</v>
      </c>
      <c r="V133" s="12" t="s">
        <v>815</v>
      </c>
      <c r="W133" s="12" t="s">
        <v>815</v>
      </c>
      <c r="X133" s="3">
        <v>1</v>
      </c>
      <c r="Y133" s="3">
        <v>1</v>
      </c>
      <c r="Z133" s="3">
        <v>1</v>
      </c>
      <c r="AA133" s="3">
        <v>1</v>
      </c>
      <c r="AB133" s="12" t="s">
        <v>815</v>
      </c>
      <c r="AC133" s="12" t="s">
        <v>815</v>
      </c>
      <c r="AD133" s="12" t="s">
        <v>815</v>
      </c>
      <c r="AE133" s="3">
        <v>1</v>
      </c>
      <c r="AF133" s="12" t="s">
        <v>815</v>
      </c>
      <c r="AG133" s="12" t="s">
        <v>815</v>
      </c>
      <c r="AH133" s="12" t="s">
        <v>815</v>
      </c>
      <c r="AI133" s="3">
        <v>1</v>
      </c>
      <c r="AJ133" s="12" t="s">
        <v>815</v>
      </c>
      <c r="AK133" s="3">
        <v>1</v>
      </c>
      <c r="AL133" s="3">
        <v>2</v>
      </c>
      <c r="AM133" s="12" t="s">
        <v>815</v>
      </c>
      <c r="AN133" s="12" t="s">
        <v>815</v>
      </c>
      <c r="AO133" s="3">
        <v>2</v>
      </c>
      <c r="AP133" s="12" t="s">
        <v>815</v>
      </c>
      <c r="AQ133" s="12" t="s">
        <v>815</v>
      </c>
      <c r="AR133" s="12" t="s">
        <v>815</v>
      </c>
      <c r="AS133" s="12" t="s">
        <v>815</v>
      </c>
      <c r="AT133" s="12" t="s">
        <v>815</v>
      </c>
      <c r="AU133" s="3">
        <v>2</v>
      </c>
      <c r="AV133" s="3">
        <v>1</v>
      </c>
      <c r="AW133" s="12" t="s">
        <v>815</v>
      </c>
      <c r="AX133" s="12" t="s">
        <v>815</v>
      </c>
      <c r="AY133" s="12" t="s">
        <v>815</v>
      </c>
      <c r="AZ133" s="3">
        <v>1</v>
      </c>
      <c r="BA133" s="12" t="s">
        <v>815</v>
      </c>
      <c r="BB133" s="3">
        <v>1</v>
      </c>
      <c r="BC133" s="12" t="s">
        <v>815</v>
      </c>
      <c r="BD133" s="3">
        <v>1</v>
      </c>
      <c r="BE133" s="3">
        <v>1</v>
      </c>
      <c r="BF133" s="3">
        <v>1</v>
      </c>
      <c r="BG133" s="3">
        <v>1</v>
      </c>
      <c r="BH133" s="12" t="s">
        <v>815</v>
      </c>
      <c r="BI133" s="3">
        <v>1</v>
      </c>
      <c r="BJ133" s="12" t="s">
        <v>815</v>
      </c>
      <c r="BK133" s="12" t="s">
        <v>815</v>
      </c>
      <c r="BL133" s="12" t="s">
        <v>815</v>
      </c>
      <c r="BM133" s="3" t="s">
        <v>998</v>
      </c>
      <c r="BN133" s="12" t="s">
        <v>815</v>
      </c>
      <c r="BO133" s="3">
        <v>1</v>
      </c>
      <c r="BP133" s="3">
        <v>1</v>
      </c>
      <c r="BQ133" s="12" t="s">
        <v>815</v>
      </c>
      <c r="BR133" s="12" t="s">
        <v>815</v>
      </c>
      <c r="BS133" s="12" t="s">
        <v>815</v>
      </c>
      <c r="BT133" s="12" t="s">
        <v>815</v>
      </c>
      <c r="BU133" s="11" t="s">
        <v>815</v>
      </c>
      <c r="BV133" s="11" t="s">
        <v>815</v>
      </c>
      <c r="BW133" s="11" t="s">
        <v>815</v>
      </c>
      <c r="BX133" s="11" t="s">
        <v>815</v>
      </c>
      <c r="BY133" s="11" t="s">
        <v>815</v>
      </c>
      <c r="BZ133" s="11" t="s">
        <v>815</v>
      </c>
      <c r="CA133" s="11" t="s">
        <v>815</v>
      </c>
      <c r="CB133" s="2">
        <v>1</v>
      </c>
      <c r="CC133" s="11" t="s">
        <v>815</v>
      </c>
      <c r="CD133" s="11" t="s">
        <v>815</v>
      </c>
      <c r="CE133" s="11" t="s">
        <v>815</v>
      </c>
      <c r="CF133" s="11" t="s">
        <v>815</v>
      </c>
      <c r="CG133" s="11" t="s">
        <v>815</v>
      </c>
      <c r="CH133" s="11" t="s">
        <v>815</v>
      </c>
      <c r="CI133" s="11" t="s">
        <v>815</v>
      </c>
      <c r="CJ133" s="11" t="s">
        <v>815</v>
      </c>
      <c r="CK133" s="11" t="s">
        <v>815</v>
      </c>
      <c r="CL133" s="2">
        <v>1</v>
      </c>
      <c r="CM133" s="11" t="s">
        <v>815</v>
      </c>
      <c r="CN133" s="11" t="s">
        <v>815</v>
      </c>
      <c r="CO133" s="11" t="s">
        <v>815</v>
      </c>
      <c r="CP133" s="11" t="s">
        <v>815</v>
      </c>
      <c r="CQ133" s="11" t="s">
        <v>815</v>
      </c>
      <c r="CR133" s="11" t="s">
        <v>815</v>
      </c>
      <c r="CS133" s="11" t="s">
        <v>815</v>
      </c>
      <c r="CT133" s="11" t="s">
        <v>815</v>
      </c>
      <c r="CU133" s="11" t="s">
        <v>815</v>
      </c>
      <c r="CV133" s="11" t="s">
        <v>815</v>
      </c>
      <c r="CW133" s="11" t="s">
        <v>815</v>
      </c>
      <c r="CX133" s="11" t="s">
        <v>815</v>
      </c>
      <c r="CY133" s="11" t="s">
        <v>815</v>
      </c>
      <c r="CZ133" s="11" t="s">
        <v>815</v>
      </c>
      <c r="DA133" s="11" t="s">
        <v>815</v>
      </c>
      <c r="DB133" s="11" t="s">
        <v>815</v>
      </c>
      <c r="DC133" s="11" t="s">
        <v>815</v>
      </c>
      <c r="DD133" s="11" t="s">
        <v>815</v>
      </c>
      <c r="DE133" s="11" t="s">
        <v>815</v>
      </c>
      <c r="DF133" s="11" t="s">
        <v>815</v>
      </c>
      <c r="DG133" s="2">
        <v>1</v>
      </c>
      <c r="DH133" s="2">
        <v>1</v>
      </c>
      <c r="DI133" s="11" t="s">
        <v>815</v>
      </c>
      <c r="DJ133" s="11" t="s">
        <v>815</v>
      </c>
      <c r="DK133" s="11" t="s">
        <v>815</v>
      </c>
      <c r="DL133" s="11" t="s">
        <v>815</v>
      </c>
      <c r="DM133" s="11" t="s">
        <v>815</v>
      </c>
      <c r="DN133" s="11" t="s">
        <v>815</v>
      </c>
      <c r="DO133" s="11" t="s">
        <v>815</v>
      </c>
      <c r="DP133" s="2">
        <v>1</v>
      </c>
      <c r="DQ133" s="11" t="s">
        <v>815</v>
      </c>
      <c r="DR133" s="11" t="s">
        <v>815</v>
      </c>
      <c r="DS133" s="11" t="s">
        <v>815</v>
      </c>
      <c r="DT133" s="11" t="s">
        <v>815</v>
      </c>
      <c r="DU133" s="11" t="s">
        <v>815</v>
      </c>
      <c r="DV133" s="11" t="s">
        <v>815</v>
      </c>
      <c r="DW133" s="11" t="s">
        <v>815</v>
      </c>
      <c r="DX133" s="2">
        <v>1</v>
      </c>
      <c r="DY133" s="2">
        <v>1</v>
      </c>
      <c r="DZ133" s="11" t="s">
        <v>815</v>
      </c>
      <c r="EA133" s="11" t="s">
        <v>815</v>
      </c>
      <c r="EB133" s="11" t="s">
        <v>815</v>
      </c>
      <c r="EC133" s="11" t="s">
        <v>815</v>
      </c>
      <c r="ED133" s="11" t="s">
        <v>815</v>
      </c>
      <c r="EE133" s="11" t="s">
        <v>815</v>
      </c>
      <c r="EF133" s="11" t="s">
        <v>815</v>
      </c>
      <c r="EG133" s="11" t="s">
        <v>815</v>
      </c>
      <c r="EH133" s="11" t="s">
        <v>815</v>
      </c>
      <c r="EI133" s="11" t="s">
        <v>815</v>
      </c>
      <c r="EJ133" s="11" t="s">
        <v>815</v>
      </c>
      <c r="EK133" s="11" t="s">
        <v>815</v>
      </c>
      <c r="EL133" s="11" t="s">
        <v>815</v>
      </c>
      <c r="EM133" s="11" t="s">
        <v>815</v>
      </c>
      <c r="EN133" s="11" t="s">
        <v>815</v>
      </c>
      <c r="EO133" s="11" t="s">
        <v>815</v>
      </c>
      <c r="EP133" s="11" t="s">
        <v>815</v>
      </c>
      <c r="EQ133" s="11" t="s">
        <v>815</v>
      </c>
      <c r="ER133" s="11" t="s">
        <v>815</v>
      </c>
      <c r="ES133" s="11" t="s">
        <v>815</v>
      </c>
      <c r="ET133" s="11" t="s">
        <v>815</v>
      </c>
      <c r="EU133" s="11" t="s">
        <v>815</v>
      </c>
      <c r="EV133" s="11" t="s">
        <v>815</v>
      </c>
      <c r="EW133" s="11" t="s">
        <v>815</v>
      </c>
      <c r="EX133" s="2">
        <v>1</v>
      </c>
      <c r="EY133" s="11" t="s">
        <v>815</v>
      </c>
      <c r="EZ133" s="11" t="s">
        <v>815</v>
      </c>
      <c r="FA133" s="11" t="s">
        <v>815</v>
      </c>
      <c r="FB133" s="11" t="s">
        <v>815</v>
      </c>
      <c r="FC133" s="11" t="s">
        <v>815</v>
      </c>
      <c r="FD133" s="11" t="s">
        <v>815</v>
      </c>
      <c r="FE133" s="11" t="s">
        <v>815</v>
      </c>
      <c r="FF133" s="2">
        <v>1</v>
      </c>
      <c r="FG133" s="11" t="s">
        <v>815</v>
      </c>
      <c r="FH133" s="11" t="s">
        <v>815</v>
      </c>
      <c r="FI133" s="11" t="s">
        <v>815</v>
      </c>
      <c r="FJ133" s="11" t="s">
        <v>815</v>
      </c>
      <c r="FK133" s="11" t="s">
        <v>815</v>
      </c>
      <c r="FL133" s="11" t="s">
        <v>815</v>
      </c>
      <c r="FM133" s="11" t="s">
        <v>815</v>
      </c>
      <c r="FN133" s="11" t="s">
        <v>815</v>
      </c>
      <c r="FO133" s="11" t="s">
        <v>815</v>
      </c>
      <c r="FP133" s="11" t="s">
        <v>815</v>
      </c>
      <c r="FQ133" s="11" t="s">
        <v>815</v>
      </c>
      <c r="FR133" s="2">
        <v>1</v>
      </c>
      <c r="FS133" s="11" t="s">
        <v>815</v>
      </c>
      <c r="FT133" s="11" t="s">
        <v>815</v>
      </c>
      <c r="FU133" s="11" t="s">
        <v>815</v>
      </c>
      <c r="FV133" s="11" t="s">
        <v>815</v>
      </c>
      <c r="FW133" s="11" t="s">
        <v>815</v>
      </c>
      <c r="FX133" s="11" t="s">
        <v>815</v>
      </c>
      <c r="FY133" s="11" t="s">
        <v>815</v>
      </c>
      <c r="FZ133" s="11" t="s">
        <v>815</v>
      </c>
      <c r="GA133" s="11" t="s">
        <v>815</v>
      </c>
      <c r="GB133" s="11" t="s">
        <v>815</v>
      </c>
      <c r="GC133" s="2" t="s">
        <v>999</v>
      </c>
      <c r="GD133" s="2">
        <v>1</v>
      </c>
      <c r="GE133" s="11" t="s">
        <v>815</v>
      </c>
      <c r="GF133" s="11" t="s">
        <v>815</v>
      </c>
      <c r="GG133" s="11" t="s">
        <v>815</v>
      </c>
      <c r="GH133" s="11" t="s">
        <v>815</v>
      </c>
      <c r="GI133" s="11" t="s">
        <v>815</v>
      </c>
      <c r="GJ133" s="11" t="s">
        <v>815</v>
      </c>
      <c r="GK133" s="11" t="s">
        <v>815</v>
      </c>
      <c r="GL133" s="11" t="s">
        <v>815</v>
      </c>
      <c r="GM133" s="11" t="s">
        <v>815</v>
      </c>
      <c r="GN133" s="3">
        <v>1</v>
      </c>
      <c r="GO133" s="3">
        <v>1</v>
      </c>
      <c r="GP133" s="12" t="s">
        <v>815</v>
      </c>
      <c r="GQ133" s="3">
        <v>1</v>
      </c>
      <c r="GR133" s="12" t="s">
        <v>815</v>
      </c>
      <c r="GS133" s="12" t="s">
        <v>815</v>
      </c>
      <c r="GT133" s="3">
        <v>2</v>
      </c>
      <c r="GU133" s="12" t="s">
        <v>815</v>
      </c>
      <c r="GV133" s="3">
        <v>1</v>
      </c>
      <c r="GW133" s="12" t="s">
        <v>815</v>
      </c>
      <c r="GX133" s="12" t="s">
        <v>815</v>
      </c>
      <c r="GY133" s="12" t="s">
        <v>815</v>
      </c>
      <c r="GZ133" s="3">
        <v>1</v>
      </c>
      <c r="HA133" s="12" t="s">
        <v>815</v>
      </c>
      <c r="HB133" s="12" t="s">
        <v>815</v>
      </c>
      <c r="HC133" s="12" t="s">
        <v>815</v>
      </c>
      <c r="HD133" s="12" t="s">
        <v>815</v>
      </c>
      <c r="HE133" s="12" t="s">
        <v>815</v>
      </c>
      <c r="HF133" s="12" t="s">
        <v>815</v>
      </c>
      <c r="HG133" s="12" t="s">
        <v>815</v>
      </c>
      <c r="HH133" s="3">
        <v>1</v>
      </c>
      <c r="HI133" s="12" t="s">
        <v>815</v>
      </c>
      <c r="HJ133" s="12" t="s">
        <v>815</v>
      </c>
      <c r="HK133" s="3">
        <v>1</v>
      </c>
      <c r="HL133" s="12" t="s">
        <v>815</v>
      </c>
      <c r="HM133" s="12" t="s">
        <v>815</v>
      </c>
      <c r="HN133" s="12" t="s">
        <v>815</v>
      </c>
      <c r="HO133" s="3">
        <v>1</v>
      </c>
      <c r="HP133" s="12" t="s">
        <v>815</v>
      </c>
      <c r="HQ133" s="3">
        <v>1</v>
      </c>
      <c r="HR133" s="3">
        <v>1</v>
      </c>
      <c r="HS133" s="12" t="s">
        <v>815</v>
      </c>
      <c r="HT133" s="12" t="s">
        <v>815</v>
      </c>
      <c r="HU133" s="12" t="s">
        <v>815</v>
      </c>
      <c r="HV133" s="3">
        <v>1</v>
      </c>
      <c r="HW133" s="12" t="s">
        <v>815</v>
      </c>
      <c r="HX133" s="12" t="s">
        <v>815</v>
      </c>
      <c r="HY133" s="12" t="s">
        <v>815</v>
      </c>
      <c r="HZ133" s="12" t="s">
        <v>815</v>
      </c>
      <c r="IA133" s="3">
        <v>1</v>
      </c>
      <c r="IB133" s="12" t="s">
        <v>815</v>
      </c>
      <c r="IC133" s="12" t="s">
        <v>815</v>
      </c>
      <c r="ID133" s="3">
        <v>1</v>
      </c>
      <c r="IE133" s="12" t="s">
        <v>815</v>
      </c>
      <c r="IF133" s="12" t="s">
        <v>815</v>
      </c>
      <c r="IG133" s="12" t="s">
        <v>815</v>
      </c>
      <c r="IH133" s="12" t="s">
        <v>815</v>
      </c>
      <c r="II133" s="12" t="s">
        <v>815</v>
      </c>
      <c r="IJ133" s="12" t="s">
        <v>815</v>
      </c>
      <c r="IK133" s="12" t="s">
        <v>815</v>
      </c>
      <c r="IL133" s="12" t="s">
        <v>815</v>
      </c>
      <c r="IM133" s="12" t="s">
        <v>815</v>
      </c>
      <c r="IN133" s="12" t="s">
        <v>815</v>
      </c>
      <c r="IO133" s="12" t="s">
        <v>815</v>
      </c>
      <c r="IP133" s="12" t="s">
        <v>815</v>
      </c>
      <c r="IQ133" s="12" t="s">
        <v>815</v>
      </c>
      <c r="IR133" s="3" t="s">
        <v>1000</v>
      </c>
      <c r="IS133" s="12" t="s">
        <v>815</v>
      </c>
      <c r="IT133" s="3">
        <v>2</v>
      </c>
      <c r="IU133" s="12" t="s">
        <v>815</v>
      </c>
      <c r="IV133" s="12" t="s">
        <v>815</v>
      </c>
      <c r="IW133" s="3">
        <v>1</v>
      </c>
      <c r="IX133" s="12" t="s">
        <v>815</v>
      </c>
      <c r="IY133" s="12" t="s">
        <v>815</v>
      </c>
      <c r="IZ133" s="2" t="s">
        <v>816</v>
      </c>
    </row>
    <row r="134" spans="1:260" ht="13.2" x14ac:dyDescent="0.25">
      <c r="A134" s="10" t="s">
        <v>274</v>
      </c>
      <c r="B134" s="2" t="s">
        <v>1001</v>
      </c>
      <c r="C134" s="2" t="s">
        <v>261</v>
      </c>
      <c r="D134" s="2" t="s">
        <v>270</v>
      </c>
      <c r="E134" s="2">
        <v>38</v>
      </c>
      <c r="F134" s="11" t="s">
        <v>1002</v>
      </c>
      <c r="G134" s="11" t="s">
        <v>1003</v>
      </c>
      <c r="H134" s="2" t="s">
        <v>1004</v>
      </c>
      <c r="I134" s="3">
        <v>2</v>
      </c>
      <c r="J134" s="3">
        <v>1</v>
      </c>
      <c r="K134" s="3">
        <v>1</v>
      </c>
      <c r="L134" s="3">
        <v>3</v>
      </c>
      <c r="M134" s="3">
        <v>1</v>
      </c>
      <c r="N134" s="3">
        <v>1</v>
      </c>
      <c r="O134" s="3">
        <v>1</v>
      </c>
      <c r="P134" s="3">
        <v>1</v>
      </c>
      <c r="Q134" s="3">
        <v>1</v>
      </c>
      <c r="R134" s="3">
        <v>2</v>
      </c>
      <c r="S134" s="12" t="s">
        <v>815</v>
      </c>
      <c r="T134" s="12" t="s">
        <v>815</v>
      </c>
      <c r="U134" s="12" t="s">
        <v>815</v>
      </c>
      <c r="V134" s="12" t="s">
        <v>815</v>
      </c>
      <c r="W134" s="12" t="s">
        <v>815</v>
      </c>
      <c r="X134" s="12" t="s">
        <v>815</v>
      </c>
      <c r="Y134" s="12" t="s">
        <v>815</v>
      </c>
      <c r="Z134" s="12" t="s">
        <v>815</v>
      </c>
      <c r="AA134" s="3">
        <v>1</v>
      </c>
      <c r="AB134" s="3">
        <v>1</v>
      </c>
      <c r="AC134" s="12" t="s">
        <v>815</v>
      </c>
      <c r="AD134" s="12" t="s">
        <v>815</v>
      </c>
      <c r="AE134" s="12" t="s">
        <v>815</v>
      </c>
      <c r="AF134" s="12" t="s">
        <v>815</v>
      </c>
      <c r="AG134" s="12" t="s">
        <v>815</v>
      </c>
      <c r="AH134" s="12" t="s">
        <v>815</v>
      </c>
      <c r="AI134" s="12" t="s">
        <v>815</v>
      </c>
      <c r="AJ134" s="12" t="s">
        <v>815</v>
      </c>
      <c r="AK134" s="12" t="s">
        <v>815</v>
      </c>
      <c r="AL134" s="12" t="s">
        <v>815</v>
      </c>
      <c r="AM134" s="12" t="s">
        <v>815</v>
      </c>
      <c r="AN134" s="12" t="s">
        <v>815</v>
      </c>
      <c r="AO134" s="3">
        <v>2</v>
      </c>
      <c r="AP134" s="3">
        <v>1</v>
      </c>
      <c r="AQ134" s="12" t="s">
        <v>815</v>
      </c>
      <c r="AR134" s="12" t="s">
        <v>815</v>
      </c>
      <c r="AS134" s="12" t="s">
        <v>815</v>
      </c>
      <c r="AT134" s="12" t="s">
        <v>815</v>
      </c>
      <c r="AU134" s="12" t="s">
        <v>815</v>
      </c>
      <c r="AV134" s="12" t="s">
        <v>815</v>
      </c>
      <c r="AW134" s="3">
        <v>1</v>
      </c>
      <c r="AX134" s="12" t="s">
        <v>815</v>
      </c>
      <c r="AY134" s="12" t="s">
        <v>815</v>
      </c>
      <c r="AZ134" s="3">
        <v>1</v>
      </c>
      <c r="BA134" s="12" t="s">
        <v>815</v>
      </c>
      <c r="BB134" s="12" t="s">
        <v>815</v>
      </c>
      <c r="BC134" s="12" t="s">
        <v>815</v>
      </c>
      <c r="BD134" s="12" t="s">
        <v>815</v>
      </c>
      <c r="BE134" s="3">
        <v>2</v>
      </c>
      <c r="BF134" s="3">
        <v>1</v>
      </c>
      <c r="BG134" s="3">
        <v>1</v>
      </c>
      <c r="BH134" s="12" t="s">
        <v>815</v>
      </c>
      <c r="BI134" s="12" t="s">
        <v>815</v>
      </c>
      <c r="BJ134" s="3">
        <v>1</v>
      </c>
      <c r="BK134" s="3">
        <v>1</v>
      </c>
      <c r="BL134" s="12" t="s">
        <v>815</v>
      </c>
      <c r="BM134" s="3" t="s">
        <v>274</v>
      </c>
      <c r="BN134" s="12" t="s">
        <v>815</v>
      </c>
      <c r="BO134" s="3">
        <v>1</v>
      </c>
      <c r="BP134" s="3">
        <v>1</v>
      </c>
      <c r="BQ134" s="3">
        <v>1</v>
      </c>
      <c r="BR134" s="3">
        <v>1</v>
      </c>
      <c r="BS134" s="3">
        <v>1</v>
      </c>
      <c r="BT134" s="3">
        <v>1</v>
      </c>
      <c r="BU134" s="2">
        <v>1</v>
      </c>
      <c r="BV134" s="2">
        <v>1</v>
      </c>
      <c r="BW134" s="2">
        <v>1</v>
      </c>
      <c r="BX134" s="11" t="s">
        <v>815</v>
      </c>
      <c r="BY134" s="2">
        <v>1</v>
      </c>
      <c r="BZ134" s="2">
        <v>1</v>
      </c>
      <c r="CA134" s="11" t="s">
        <v>815</v>
      </c>
      <c r="CB134" s="2">
        <v>1</v>
      </c>
      <c r="CC134" s="11" t="s">
        <v>815</v>
      </c>
      <c r="CD134" s="2">
        <v>1</v>
      </c>
      <c r="CE134" s="11" t="s">
        <v>815</v>
      </c>
      <c r="CF134" s="11" t="s">
        <v>815</v>
      </c>
      <c r="CG134" s="2">
        <v>1</v>
      </c>
      <c r="CH134" s="11" t="s">
        <v>815</v>
      </c>
      <c r="CI134" s="2">
        <v>1</v>
      </c>
      <c r="CJ134" s="11" t="s">
        <v>815</v>
      </c>
      <c r="CK134" s="11" t="s">
        <v>815</v>
      </c>
      <c r="CL134" s="11" t="s">
        <v>815</v>
      </c>
      <c r="CM134" s="11" t="s">
        <v>815</v>
      </c>
      <c r="CN134" s="11" t="s">
        <v>815</v>
      </c>
      <c r="CO134" s="11" t="s">
        <v>815</v>
      </c>
      <c r="CP134" s="11" t="s">
        <v>815</v>
      </c>
      <c r="CQ134" s="11" t="s">
        <v>815</v>
      </c>
      <c r="CR134" s="2">
        <v>1</v>
      </c>
      <c r="CS134" s="2">
        <v>1</v>
      </c>
      <c r="CT134" s="2">
        <v>1</v>
      </c>
      <c r="CU134" s="11" t="s">
        <v>815</v>
      </c>
      <c r="CV134" s="11" t="s">
        <v>815</v>
      </c>
      <c r="CW134" s="11" t="s">
        <v>815</v>
      </c>
      <c r="CX134" s="11" t="s">
        <v>815</v>
      </c>
      <c r="CY134" s="11" t="s">
        <v>815</v>
      </c>
      <c r="CZ134" s="11" t="s">
        <v>815</v>
      </c>
      <c r="DA134" s="11" t="s">
        <v>815</v>
      </c>
      <c r="DB134" s="11" t="s">
        <v>815</v>
      </c>
      <c r="DC134" s="11" t="s">
        <v>815</v>
      </c>
      <c r="DD134" s="11" t="s">
        <v>815</v>
      </c>
      <c r="DE134" s="2">
        <v>1</v>
      </c>
      <c r="DF134" s="11" t="s">
        <v>815</v>
      </c>
      <c r="DG134" s="11" t="s">
        <v>815</v>
      </c>
      <c r="DH134" s="11" t="s">
        <v>815</v>
      </c>
      <c r="DI134" s="11" t="s">
        <v>815</v>
      </c>
      <c r="DJ134" s="11" t="s">
        <v>815</v>
      </c>
      <c r="DK134" s="11" t="s">
        <v>815</v>
      </c>
      <c r="DL134" s="11" t="s">
        <v>815</v>
      </c>
      <c r="DM134" s="11" t="s">
        <v>815</v>
      </c>
      <c r="DN134" s="11" t="s">
        <v>815</v>
      </c>
      <c r="DO134" s="11" t="s">
        <v>815</v>
      </c>
      <c r="DP134" s="2">
        <v>1</v>
      </c>
      <c r="DQ134" s="2">
        <v>1</v>
      </c>
      <c r="DR134" s="11" t="s">
        <v>815</v>
      </c>
      <c r="DS134" s="11" t="s">
        <v>815</v>
      </c>
      <c r="DT134" s="2">
        <v>1</v>
      </c>
      <c r="DU134" s="11" t="s">
        <v>815</v>
      </c>
      <c r="DV134" s="11" t="s">
        <v>815</v>
      </c>
      <c r="DW134" s="11" t="s">
        <v>815</v>
      </c>
      <c r="DX134" s="11" t="s">
        <v>815</v>
      </c>
      <c r="DY134" s="11" t="s">
        <v>815</v>
      </c>
      <c r="DZ134" s="11" t="s">
        <v>815</v>
      </c>
      <c r="EA134" s="11" t="s">
        <v>815</v>
      </c>
      <c r="EB134" s="11" t="s">
        <v>815</v>
      </c>
      <c r="EC134" s="11" t="s">
        <v>815</v>
      </c>
      <c r="ED134" s="11" t="s">
        <v>815</v>
      </c>
      <c r="EE134" s="11" t="s">
        <v>815</v>
      </c>
      <c r="EF134" s="11" t="s">
        <v>815</v>
      </c>
      <c r="EG134" s="11" t="s">
        <v>815</v>
      </c>
      <c r="EH134" s="11" t="s">
        <v>815</v>
      </c>
      <c r="EI134" s="11" t="s">
        <v>815</v>
      </c>
      <c r="EJ134" s="11" t="s">
        <v>815</v>
      </c>
      <c r="EK134" s="11" t="s">
        <v>815</v>
      </c>
      <c r="EL134" s="11" t="s">
        <v>815</v>
      </c>
      <c r="EM134" s="11" t="s">
        <v>815</v>
      </c>
      <c r="EN134" s="11" t="s">
        <v>815</v>
      </c>
      <c r="EO134" s="11" t="s">
        <v>815</v>
      </c>
      <c r="EP134" s="11" t="s">
        <v>815</v>
      </c>
      <c r="EQ134" s="11" t="s">
        <v>815</v>
      </c>
      <c r="ER134" s="11" t="s">
        <v>815</v>
      </c>
      <c r="ES134" s="11" t="s">
        <v>815</v>
      </c>
      <c r="ET134" s="11" t="s">
        <v>815</v>
      </c>
      <c r="EU134" s="11" t="s">
        <v>815</v>
      </c>
      <c r="EV134" s="11" t="s">
        <v>815</v>
      </c>
      <c r="EW134" s="2">
        <v>1</v>
      </c>
      <c r="EX134" s="2">
        <v>1</v>
      </c>
      <c r="EY134" s="11" t="s">
        <v>815</v>
      </c>
      <c r="EZ134" s="11" t="s">
        <v>815</v>
      </c>
      <c r="FA134" s="2">
        <v>1</v>
      </c>
      <c r="FB134" s="11" t="s">
        <v>815</v>
      </c>
      <c r="FC134" s="11" t="s">
        <v>815</v>
      </c>
      <c r="FD134" s="2">
        <v>1</v>
      </c>
      <c r="FE134" s="2">
        <v>1</v>
      </c>
      <c r="FF134" s="11" t="s">
        <v>815</v>
      </c>
      <c r="FG134" s="11" t="s">
        <v>815</v>
      </c>
      <c r="FH134" s="11" t="s">
        <v>815</v>
      </c>
      <c r="FI134" s="11" t="s">
        <v>815</v>
      </c>
      <c r="FJ134" s="11" t="s">
        <v>815</v>
      </c>
      <c r="FK134" s="2">
        <v>1</v>
      </c>
      <c r="FL134" s="2">
        <v>1</v>
      </c>
      <c r="FM134" s="2">
        <v>1</v>
      </c>
      <c r="FN134" s="2">
        <v>1</v>
      </c>
      <c r="FO134" s="11" t="s">
        <v>815</v>
      </c>
      <c r="FP134" s="11" t="s">
        <v>815</v>
      </c>
      <c r="FQ134" s="11" t="s">
        <v>815</v>
      </c>
      <c r="FR134" s="11" t="s">
        <v>815</v>
      </c>
      <c r="FS134" s="11" t="s">
        <v>815</v>
      </c>
      <c r="FT134" s="11" t="s">
        <v>815</v>
      </c>
      <c r="FU134" s="11" t="s">
        <v>815</v>
      </c>
      <c r="FV134" s="11" t="s">
        <v>815</v>
      </c>
      <c r="FW134" s="11" t="s">
        <v>815</v>
      </c>
      <c r="FX134" s="11" t="s">
        <v>815</v>
      </c>
      <c r="FY134" s="11" t="s">
        <v>815</v>
      </c>
      <c r="FZ134" s="11" t="s">
        <v>815</v>
      </c>
      <c r="GA134" s="11" t="s">
        <v>815</v>
      </c>
      <c r="GB134" s="11" t="s">
        <v>815</v>
      </c>
      <c r="GC134" s="2" t="s">
        <v>274</v>
      </c>
      <c r="GD134" s="2">
        <v>1</v>
      </c>
      <c r="GE134" s="11" t="s">
        <v>815</v>
      </c>
      <c r="GF134" s="2">
        <v>1</v>
      </c>
      <c r="GG134" s="2">
        <v>1</v>
      </c>
      <c r="GH134" s="11" t="s">
        <v>815</v>
      </c>
      <c r="GI134" s="11" t="s">
        <v>815</v>
      </c>
      <c r="GJ134" s="11" t="s">
        <v>815</v>
      </c>
      <c r="GK134" s="11" t="s">
        <v>815</v>
      </c>
      <c r="GL134" s="11" t="s">
        <v>815</v>
      </c>
      <c r="GM134" s="11" t="s">
        <v>815</v>
      </c>
      <c r="GN134" s="12" t="s">
        <v>815</v>
      </c>
      <c r="GO134" s="12" t="s">
        <v>815</v>
      </c>
      <c r="GP134" s="12" t="s">
        <v>815</v>
      </c>
      <c r="GQ134" s="12" t="s">
        <v>815</v>
      </c>
      <c r="GR134" s="12" t="s">
        <v>815</v>
      </c>
      <c r="GS134" s="12" t="s">
        <v>815</v>
      </c>
      <c r="GT134" s="12" t="s">
        <v>815</v>
      </c>
      <c r="GU134" s="3">
        <v>1</v>
      </c>
      <c r="GV134" s="3">
        <v>1</v>
      </c>
      <c r="GW134" s="12" t="s">
        <v>815</v>
      </c>
      <c r="GX134" s="12" t="s">
        <v>815</v>
      </c>
      <c r="GY134" s="3">
        <v>1</v>
      </c>
      <c r="GZ134" s="12" t="s">
        <v>815</v>
      </c>
      <c r="HA134" s="12" t="s">
        <v>815</v>
      </c>
      <c r="HB134" s="12" t="s">
        <v>815</v>
      </c>
      <c r="HC134" s="3">
        <v>1</v>
      </c>
      <c r="HD134" s="12" t="s">
        <v>815</v>
      </c>
      <c r="HE134" s="3">
        <v>1</v>
      </c>
      <c r="HF134" s="12" t="s">
        <v>815</v>
      </c>
      <c r="HG134" s="12" t="s">
        <v>815</v>
      </c>
      <c r="HH134" s="12" t="s">
        <v>815</v>
      </c>
      <c r="HI134" s="12" t="s">
        <v>815</v>
      </c>
      <c r="HJ134" s="12" t="s">
        <v>815</v>
      </c>
      <c r="HK134" s="12" t="s">
        <v>815</v>
      </c>
      <c r="HL134" s="12" t="s">
        <v>815</v>
      </c>
      <c r="HM134" s="12" t="s">
        <v>815</v>
      </c>
      <c r="HN134" s="12" t="s">
        <v>815</v>
      </c>
      <c r="HO134" s="12" t="s">
        <v>815</v>
      </c>
      <c r="HP134" s="12" t="s">
        <v>815</v>
      </c>
      <c r="HQ134" s="12" t="s">
        <v>815</v>
      </c>
      <c r="HR134" s="12" t="s">
        <v>815</v>
      </c>
      <c r="HS134" s="12" t="s">
        <v>815</v>
      </c>
      <c r="HT134" s="12" t="s">
        <v>815</v>
      </c>
      <c r="HU134" s="12" t="s">
        <v>815</v>
      </c>
      <c r="HV134" s="12" t="s">
        <v>815</v>
      </c>
      <c r="HW134" s="12" t="s">
        <v>815</v>
      </c>
      <c r="HX134" s="12" t="s">
        <v>815</v>
      </c>
      <c r="HY134" s="12" t="s">
        <v>815</v>
      </c>
      <c r="HZ134" s="12" t="s">
        <v>815</v>
      </c>
      <c r="IA134" s="3">
        <v>1</v>
      </c>
      <c r="IB134" s="3">
        <v>1</v>
      </c>
      <c r="IC134" s="12" t="s">
        <v>815</v>
      </c>
      <c r="ID134" s="12" t="s">
        <v>815</v>
      </c>
      <c r="IE134" s="3">
        <v>1</v>
      </c>
      <c r="IF134" s="12" t="s">
        <v>815</v>
      </c>
      <c r="IG134" s="12" t="s">
        <v>815</v>
      </c>
      <c r="IH134" s="12" t="s">
        <v>815</v>
      </c>
      <c r="II134" s="12" t="s">
        <v>815</v>
      </c>
      <c r="IJ134" s="12" t="s">
        <v>815</v>
      </c>
      <c r="IK134" s="12" t="s">
        <v>815</v>
      </c>
      <c r="IL134" s="12" t="s">
        <v>815</v>
      </c>
      <c r="IM134" s="12" t="s">
        <v>815</v>
      </c>
      <c r="IN134" s="12" t="s">
        <v>815</v>
      </c>
      <c r="IO134" s="12" t="s">
        <v>815</v>
      </c>
      <c r="IP134" s="12" t="s">
        <v>815</v>
      </c>
      <c r="IQ134" s="12" t="s">
        <v>815</v>
      </c>
      <c r="IR134" s="3" t="s">
        <v>274</v>
      </c>
      <c r="IS134" s="3">
        <v>1</v>
      </c>
      <c r="IT134" s="12" t="s">
        <v>815</v>
      </c>
      <c r="IU134" s="3">
        <v>1</v>
      </c>
      <c r="IV134" s="12" t="s">
        <v>815</v>
      </c>
      <c r="IW134" s="12" t="s">
        <v>815</v>
      </c>
      <c r="IX134" s="12" t="s">
        <v>815</v>
      </c>
      <c r="IY134" s="12" t="s">
        <v>815</v>
      </c>
      <c r="IZ134" s="2" t="s">
        <v>816</v>
      </c>
    </row>
    <row r="135" spans="1:260" ht="13.2" x14ac:dyDescent="0.25">
      <c r="A135" s="10" t="s">
        <v>274</v>
      </c>
      <c r="B135" s="2" t="s">
        <v>1005</v>
      </c>
      <c r="C135" s="2" t="s">
        <v>261</v>
      </c>
      <c r="D135" s="2" t="s">
        <v>270</v>
      </c>
      <c r="E135" s="2">
        <v>19</v>
      </c>
      <c r="F135" s="11" t="s">
        <v>1006</v>
      </c>
      <c r="G135" s="11" t="s">
        <v>1007</v>
      </c>
      <c r="H135" s="2" t="s">
        <v>1008</v>
      </c>
      <c r="I135" s="3">
        <v>2</v>
      </c>
      <c r="J135" s="12" t="s">
        <v>815</v>
      </c>
      <c r="K135" s="3">
        <v>4</v>
      </c>
      <c r="L135" s="12" t="s">
        <v>815</v>
      </c>
      <c r="M135" s="12" t="s">
        <v>815</v>
      </c>
      <c r="N135" s="3">
        <v>2</v>
      </c>
      <c r="O135" s="3">
        <v>2</v>
      </c>
      <c r="P135" s="12" t="s">
        <v>815</v>
      </c>
      <c r="Q135" s="12" t="s">
        <v>815</v>
      </c>
      <c r="R135" s="3">
        <v>2</v>
      </c>
      <c r="S135" s="12" t="s">
        <v>815</v>
      </c>
      <c r="T135" s="12" t="s">
        <v>815</v>
      </c>
      <c r="U135" s="12" t="s">
        <v>815</v>
      </c>
      <c r="V135" s="12" t="s">
        <v>815</v>
      </c>
      <c r="W135" s="12" t="s">
        <v>815</v>
      </c>
      <c r="X135" s="12" t="s">
        <v>815</v>
      </c>
      <c r="Y135" s="3">
        <v>1</v>
      </c>
      <c r="Z135" s="12" t="s">
        <v>815</v>
      </c>
      <c r="AA135" s="3">
        <v>1</v>
      </c>
      <c r="AB135" s="12" t="s">
        <v>815</v>
      </c>
      <c r="AC135" s="12" t="s">
        <v>815</v>
      </c>
      <c r="AD135" s="12" t="s">
        <v>815</v>
      </c>
      <c r="AE135" s="12" t="s">
        <v>815</v>
      </c>
      <c r="AF135" s="12" t="s">
        <v>815</v>
      </c>
      <c r="AG135" s="12" t="s">
        <v>815</v>
      </c>
      <c r="AH135" s="12" t="s">
        <v>815</v>
      </c>
      <c r="AI135" s="12" t="s">
        <v>815</v>
      </c>
      <c r="AJ135" s="12" t="s">
        <v>815</v>
      </c>
      <c r="AK135" s="12" t="s">
        <v>815</v>
      </c>
      <c r="AL135" s="12" t="s">
        <v>815</v>
      </c>
      <c r="AM135" s="12" t="s">
        <v>815</v>
      </c>
      <c r="AN135" s="12" t="s">
        <v>815</v>
      </c>
      <c r="AO135" s="12" t="s">
        <v>815</v>
      </c>
      <c r="AP135" s="12" t="s">
        <v>815</v>
      </c>
      <c r="AQ135" s="12" t="s">
        <v>815</v>
      </c>
      <c r="AR135" s="12" t="s">
        <v>815</v>
      </c>
      <c r="AS135" s="12" t="s">
        <v>815</v>
      </c>
      <c r="AT135" s="12" t="s">
        <v>815</v>
      </c>
      <c r="AU135" s="12" t="s">
        <v>815</v>
      </c>
      <c r="AV135" s="12" t="s">
        <v>815</v>
      </c>
      <c r="AW135" s="3">
        <v>1</v>
      </c>
      <c r="AX135" s="12" t="s">
        <v>815</v>
      </c>
      <c r="AY135" s="12" t="s">
        <v>815</v>
      </c>
      <c r="AZ135" s="3">
        <v>1</v>
      </c>
      <c r="BA135" s="12" t="s">
        <v>815</v>
      </c>
      <c r="BB135" s="12" t="s">
        <v>815</v>
      </c>
      <c r="BC135" s="12" t="s">
        <v>815</v>
      </c>
      <c r="BD135" s="12" t="s">
        <v>815</v>
      </c>
      <c r="BE135" s="12" t="s">
        <v>815</v>
      </c>
      <c r="BF135" s="12" t="s">
        <v>815</v>
      </c>
      <c r="BG135" s="12" t="s">
        <v>815</v>
      </c>
      <c r="BH135" s="12" t="s">
        <v>815</v>
      </c>
      <c r="BI135" s="12" t="s">
        <v>815</v>
      </c>
      <c r="BJ135" s="12" t="s">
        <v>815</v>
      </c>
      <c r="BK135" s="12" t="s">
        <v>815</v>
      </c>
      <c r="BL135" s="12" t="s">
        <v>815</v>
      </c>
      <c r="BM135" s="3" t="s">
        <v>1009</v>
      </c>
      <c r="BN135" s="3">
        <v>1</v>
      </c>
      <c r="BO135" s="12" t="s">
        <v>815</v>
      </c>
      <c r="BP135" s="3">
        <v>1</v>
      </c>
      <c r="BQ135" s="12" t="s">
        <v>815</v>
      </c>
      <c r="BR135" s="3">
        <v>2</v>
      </c>
      <c r="BS135" s="3">
        <v>1</v>
      </c>
      <c r="BT135" s="12" t="s">
        <v>815</v>
      </c>
      <c r="BU135" s="11" t="s">
        <v>815</v>
      </c>
      <c r="BV135" s="11" t="s">
        <v>815</v>
      </c>
      <c r="BW135" s="2">
        <v>1</v>
      </c>
      <c r="BX135" s="11" t="s">
        <v>815</v>
      </c>
      <c r="BY135" s="11" t="s">
        <v>815</v>
      </c>
      <c r="BZ135" s="11" t="s">
        <v>815</v>
      </c>
      <c r="CA135" s="11" t="s">
        <v>815</v>
      </c>
      <c r="CB135" s="2">
        <v>2</v>
      </c>
      <c r="CC135" s="11" t="s">
        <v>815</v>
      </c>
      <c r="CD135" s="11" t="s">
        <v>815</v>
      </c>
      <c r="CE135" s="11" t="s">
        <v>815</v>
      </c>
      <c r="CF135" s="2">
        <v>1</v>
      </c>
      <c r="CG135" s="11" t="s">
        <v>815</v>
      </c>
      <c r="CH135" s="11" t="s">
        <v>815</v>
      </c>
      <c r="CI135" s="11" t="s">
        <v>815</v>
      </c>
      <c r="CJ135" s="11" t="s">
        <v>815</v>
      </c>
      <c r="CK135" s="11" t="s">
        <v>815</v>
      </c>
      <c r="CL135" s="11" t="s">
        <v>815</v>
      </c>
      <c r="CM135" s="11" t="s">
        <v>815</v>
      </c>
      <c r="CN135" s="11" t="s">
        <v>815</v>
      </c>
      <c r="CO135" s="11" t="s">
        <v>815</v>
      </c>
      <c r="CP135" s="11" t="s">
        <v>815</v>
      </c>
      <c r="CQ135" s="11" t="s">
        <v>815</v>
      </c>
      <c r="CR135" s="11" t="s">
        <v>815</v>
      </c>
      <c r="CS135" s="11" t="s">
        <v>815</v>
      </c>
      <c r="CT135" s="11" t="s">
        <v>815</v>
      </c>
      <c r="CU135" s="11" t="s">
        <v>815</v>
      </c>
      <c r="CV135" s="11" t="s">
        <v>815</v>
      </c>
      <c r="CW135" s="11" t="s">
        <v>815</v>
      </c>
      <c r="CX135" s="11" t="s">
        <v>815</v>
      </c>
      <c r="CY135" s="11" t="s">
        <v>815</v>
      </c>
      <c r="CZ135" s="11" t="s">
        <v>815</v>
      </c>
      <c r="DA135" s="2">
        <v>1</v>
      </c>
      <c r="DB135" s="11" t="s">
        <v>815</v>
      </c>
      <c r="DC135" s="11" t="s">
        <v>815</v>
      </c>
      <c r="DD135" s="11" t="s">
        <v>815</v>
      </c>
      <c r="DE135" s="11" t="s">
        <v>815</v>
      </c>
      <c r="DF135" s="11" t="s">
        <v>815</v>
      </c>
      <c r="DG135" s="11" t="s">
        <v>815</v>
      </c>
      <c r="DH135" s="11" t="s">
        <v>815</v>
      </c>
      <c r="DI135" s="11" t="s">
        <v>815</v>
      </c>
      <c r="DJ135" s="11" t="s">
        <v>815</v>
      </c>
      <c r="DK135" s="11" t="s">
        <v>815</v>
      </c>
      <c r="DL135" s="2">
        <v>1</v>
      </c>
      <c r="DM135" s="11" t="s">
        <v>815</v>
      </c>
      <c r="DN135" s="11" t="s">
        <v>815</v>
      </c>
      <c r="DO135" s="11" t="s">
        <v>815</v>
      </c>
      <c r="DP135" s="11" t="s">
        <v>815</v>
      </c>
      <c r="DQ135" s="11" t="s">
        <v>815</v>
      </c>
      <c r="DR135" s="11" t="s">
        <v>815</v>
      </c>
      <c r="DS135" s="2">
        <v>1</v>
      </c>
      <c r="DT135" s="11" t="s">
        <v>815</v>
      </c>
      <c r="DU135" s="11" t="s">
        <v>815</v>
      </c>
      <c r="DV135" s="11" t="s">
        <v>815</v>
      </c>
      <c r="DW135" s="11" t="s">
        <v>815</v>
      </c>
      <c r="DX135" s="11" t="s">
        <v>815</v>
      </c>
      <c r="DY135" s="11" t="s">
        <v>815</v>
      </c>
      <c r="DZ135" s="11" t="s">
        <v>815</v>
      </c>
      <c r="EA135" s="11" t="s">
        <v>815</v>
      </c>
      <c r="EB135" s="11" t="s">
        <v>815</v>
      </c>
      <c r="EC135" s="11" t="s">
        <v>815</v>
      </c>
      <c r="ED135" s="11" t="s">
        <v>815</v>
      </c>
      <c r="EE135" s="11" t="s">
        <v>815</v>
      </c>
      <c r="EF135" s="11" t="s">
        <v>815</v>
      </c>
      <c r="EG135" s="11" t="s">
        <v>815</v>
      </c>
      <c r="EH135" s="11" t="s">
        <v>815</v>
      </c>
      <c r="EI135" s="11" t="s">
        <v>815</v>
      </c>
      <c r="EJ135" s="11" t="s">
        <v>815</v>
      </c>
      <c r="EK135" s="11" t="s">
        <v>815</v>
      </c>
      <c r="EL135" s="11" t="s">
        <v>815</v>
      </c>
      <c r="EM135" s="11" t="s">
        <v>815</v>
      </c>
      <c r="EN135" s="11" t="s">
        <v>815</v>
      </c>
      <c r="EO135" s="11" t="s">
        <v>815</v>
      </c>
      <c r="EP135" s="11" t="s">
        <v>815</v>
      </c>
      <c r="EQ135" s="11" t="s">
        <v>815</v>
      </c>
      <c r="ER135" s="11" t="s">
        <v>815</v>
      </c>
      <c r="ES135" s="11" t="s">
        <v>815</v>
      </c>
      <c r="ET135" s="11" t="s">
        <v>815</v>
      </c>
      <c r="EU135" s="11" t="s">
        <v>815</v>
      </c>
      <c r="EV135" s="11" t="s">
        <v>815</v>
      </c>
      <c r="EW135" s="11" t="s">
        <v>815</v>
      </c>
      <c r="EX135" s="11" t="s">
        <v>815</v>
      </c>
      <c r="EY135" s="11" t="s">
        <v>815</v>
      </c>
      <c r="EZ135" s="11" t="s">
        <v>815</v>
      </c>
      <c r="FA135" s="11" t="s">
        <v>815</v>
      </c>
      <c r="FB135" s="11" t="s">
        <v>815</v>
      </c>
      <c r="FC135" s="11" t="s">
        <v>815</v>
      </c>
      <c r="FD135" s="11" t="s">
        <v>815</v>
      </c>
      <c r="FE135" s="11" t="s">
        <v>815</v>
      </c>
      <c r="FF135" s="11" t="s">
        <v>815</v>
      </c>
      <c r="FG135" s="11" t="s">
        <v>815</v>
      </c>
      <c r="FH135" s="11" t="s">
        <v>815</v>
      </c>
      <c r="FI135" s="11" t="s">
        <v>815</v>
      </c>
      <c r="FJ135" s="11" t="s">
        <v>815</v>
      </c>
      <c r="FK135" s="11" t="s">
        <v>815</v>
      </c>
      <c r="FL135" s="2">
        <v>1</v>
      </c>
      <c r="FM135" s="11" t="s">
        <v>815</v>
      </c>
      <c r="FN135" s="11" t="s">
        <v>815</v>
      </c>
      <c r="FO135" s="11" t="s">
        <v>815</v>
      </c>
      <c r="FP135" s="11" t="s">
        <v>815</v>
      </c>
      <c r="FQ135" s="11" t="s">
        <v>815</v>
      </c>
      <c r="FR135" s="11" t="s">
        <v>815</v>
      </c>
      <c r="FS135" s="11" t="s">
        <v>815</v>
      </c>
      <c r="FT135" s="11" t="s">
        <v>815</v>
      </c>
      <c r="FU135" s="11" t="s">
        <v>815</v>
      </c>
      <c r="FV135" s="11" t="s">
        <v>815</v>
      </c>
      <c r="FW135" s="11" t="s">
        <v>815</v>
      </c>
      <c r="FX135" s="11" t="s">
        <v>815</v>
      </c>
      <c r="FY135" s="11" t="s">
        <v>815</v>
      </c>
      <c r="FZ135" s="11" t="s">
        <v>815</v>
      </c>
      <c r="GA135" s="11" t="s">
        <v>815</v>
      </c>
      <c r="GB135" s="11" t="s">
        <v>815</v>
      </c>
      <c r="GC135" s="2" t="s">
        <v>1010</v>
      </c>
      <c r="GD135" s="11" t="s">
        <v>815</v>
      </c>
      <c r="GE135" s="11" t="s">
        <v>815</v>
      </c>
      <c r="GF135" s="11" t="s">
        <v>815</v>
      </c>
      <c r="GG135" s="11" t="s">
        <v>815</v>
      </c>
      <c r="GH135" s="11" t="s">
        <v>815</v>
      </c>
      <c r="GI135" s="2">
        <v>1</v>
      </c>
      <c r="GJ135" s="11" t="s">
        <v>815</v>
      </c>
      <c r="GK135" s="11" t="s">
        <v>815</v>
      </c>
      <c r="GL135" s="11" t="s">
        <v>815</v>
      </c>
      <c r="GM135" s="11" t="s">
        <v>815</v>
      </c>
      <c r="GN135" s="3">
        <v>1</v>
      </c>
      <c r="GO135" s="12" t="s">
        <v>815</v>
      </c>
      <c r="GP135" s="12" t="s">
        <v>815</v>
      </c>
      <c r="GQ135" s="12" t="s">
        <v>815</v>
      </c>
      <c r="GR135" s="12" t="s">
        <v>815</v>
      </c>
      <c r="GS135" s="12" t="s">
        <v>815</v>
      </c>
      <c r="GT135" s="12" t="s">
        <v>815</v>
      </c>
      <c r="GU135" s="12" t="s">
        <v>815</v>
      </c>
      <c r="GV135" s="12" t="s">
        <v>815</v>
      </c>
      <c r="GW135" s="12" t="s">
        <v>815</v>
      </c>
      <c r="GX135" s="12" t="s">
        <v>815</v>
      </c>
      <c r="GY135" s="12" t="s">
        <v>815</v>
      </c>
      <c r="GZ135" s="12" t="s">
        <v>815</v>
      </c>
      <c r="HA135" s="12" t="s">
        <v>815</v>
      </c>
      <c r="HB135" s="12" t="s">
        <v>815</v>
      </c>
      <c r="HC135" s="12" t="s">
        <v>815</v>
      </c>
      <c r="HD135" s="12" t="s">
        <v>815</v>
      </c>
      <c r="HE135" s="12" t="s">
        <v>815</v>
      </c>
      <c r="HF135" s="12" t="s">
        <v>815</v>
      </c>
      <c r="HG135" s="12" t="s">
        <v>815</v>
      </c>
      <c r="HH135" s="12" t="s">
        <v>815</v>
      </c>
      <c r="HI135" s="12" t="s">
        <v>815</v>
      </c>
      <c r="HJ135" s="12" t="s">
        <v>815</v>
      </c>
      <c r="HK135" s="12" t="s">
        <v>815</v>
      </c>
      <c r="HL135" s="12" t="s">
        <v>815</v>
      </c>
      <c r="HM135" s="12" t="s">
        <v>815</v>
      </c>
      <c r="HN135" s="12" t="s">
        <v>815</v>
      </c>
      <c r="HO135" s="12" t="s">
        <v>815</v>
      </c>
      <c r="HP135" s="12" t="s">
        <v>815</v>
      </c>
      <c r="HQ135" s="12" t="s">
        <v>815</v>
      </c>
      <c r="HR135" s="12" t="s">
        <v>815</v>
      </c>
      <c r="HS135" s="12" t="s">
        <v>815</v>
      </c>
      <c r="HT135" s="12" t="s">
        <v>815</v>
      </c>
      <c r="HU135" s="12" t="s">
        <v>815</v>
      </c>
      <c r="HV135" s="12" t="s">
        <v>815</v>
      </c>
      <c r="HW135" s="12" t="s">
        <v>815</v>
      </c>
      <c r="HX135" s="12" t="s">
        <v>815</v>
      </c>
      <c r="HY135" s="12" t="s">
        <v>815</v>
      </c>
      <c r="HZ135" s="12" t="s">
        <v>815</v>
      </c>
      <c r="IA135" s="12" t="s">
        <v>815</v>
      </c>
      <c r="IB135" s="12" t="s">
        <v>815</v>
      </c>
      <c r="IC135" s="12" t="s">
        <v>815</v>
      </c>
      <c r="ID135" s="12" t="s">
        <v>815</v>
      </c>
      <c r="IE135" s="12" t="s">
        <v>815</v>
      </c>
      <c r="IF135" s="12" t="s">
        <v>815</v>
      </c>
      <c r="IG135" s="12" t="s">
        <v>815</v>
      </c>
      <c r="IH135" s="12" t="s">
        <v>815</v>
      </c>
      <c r="II135" s="12" t="s">
        <v>815</v>
      </c>
      <c r="IJ135" s="3">
        <v>1</v>
      </c>
      <c r="IK135" s="12" t="s">
        <v>815</v>
      </c>
      <c r="IL135" s="12" t="s">
        <v>815</v>
      </c>
      <c r="IM135" s="12" t="s">
        <v>815</v>
      </c>
      <c r="IN135" s="12" t="s">
        <v>815</v>
      </c>
      <c r="IO135" s="12" t="s">
        <v>815</v>
      </c>
      <c r="IP135" s="12" t="s">
        <v>815</v>
      </c>
      <c r="IQ135" s="12" t="s">
        <v>815</v>
      </c>
      <c r="IR135" s="3" t="s">
        <v>1011</v>
      </c>
      <c r="IS135" s="12" t="s">
        <v>815</v>
      </c>
      <c r="IT135" s="12" t="s">
        <v>815</v>
      </c>
      <c r="IU135" s="12" t="s">
        <v>815</v>
      </c>
      <c r="IV135" s="3">
        <v>1</v>
      </c>
      <c r="IW135" s="12" t="s">
        <v>815</v>
      </c>
      <c r="IX135" s="12" t="s">
        <v>815</v>
      </c>
      <c r="IY135" s="12" t="s">
        <v>815</v>
      </c>
      <c r="IZ135" s="2" t="s">
        <v>816</v>
      </c>
    </row>
    <row r="136" spans="1:260" ht="13.2" x14ac:dyDescent="0.25">
      <c r="A136" s="10" t="s">
        <v>274</v>
      </c>
      <c r="B136" s="2" t="s">
        <v>1012</v>
      </c>
      <c r="C136" s="2" t="s">
        <v>276</v>
      </c>
      <c r="D136" s="2" t="s">
        <v>270</v>
      </c>
      <c r="E136" s="2">
        <v>24</v>
      </c>
      <c r="F136" s="11" t="s">
        <v>1013</v>
      </c>
      <c r="G136" s="11" t="s">
        <v>1014</v>
      </c>
      <c r="H136" s="2" t="s">
        <v>1015</v>
      </c>
      <c r="I136" s="3">
        <v>4</v>
      </c>
      <c r="J136" s="3">
        <v>3</v>
      </c>
      <c r="K136" s="3">
        <v>2</v>
      </c>
      <c r="L136" s="3">
        <v>4</v>
      </c>
      <c r="M136" s="3">
        <v>4</v>
      </c>
      <c r="N136" s="3">
        <v>4</v>
      </c>
      <c r="O136" s="3">
        <v>4</v>
      </c>
      <c r="P136" s="3">
        <v>3</v>
      </c>
      <c r="Q136" s="3">
        <v>3</v>
      </c>
      <c r="R136" s="3">
        <v>3</v>
      </c>
      <c r="S136" s="3">
        <v>3</v>
      </c>
      <c r="T136" s="3">
        <v>3</v>
      </c>
      <c r="U136" s="3">
        <v>3</v>
      </c>
      <c r="V136" s="3">
        <v>4</v>
      </c>
      <c r="W136" s="3">
        <v>4</v>
      </c>
      <c r="X136" s="3">
        <v>4</v>
      </c>
      <c r="Y136" s="3">
        <v>4</v>
      </c>
      <c r="Z136" s="3">
        <v>4</v>
      </c>
      <c r="AA136" s="3">
        <v>3</v>
      </c>
      <c r="AB136" s="3">
        <v>3</v>
      </c>
      <c r="AC136" s="3">
        <v>3</v>
      </c>
      <c r="AD136" s="3">
        <v>3</v>
      </c>
      <c r="AE136" s="3">
        <v>3</v>
      </c>
      <c r="AF136" s="12" t="s">
        <v>815</v>
      </c>
      <c r="AG136" s="12" t="s">
        <v>815</v>
      </c>
      <c r="AH136" s="12" t="s">
        <v>815</v>
      </c>
      <c r="AI136" s="3">
        <v>4</v>
      </c>
      <c r="AJ136" s="3">
        <v>4</v>
      </c>
      <c r="AK136" s="3">
        <v>4</v>
      </c>
      <c r="AL136" s="3">
        <v>4</v>
      </c>
      <c r="AM136" s="12" t="s">
        <v>815</v>
      </c>
      <c r="AN136" s="3">
        <v>4</v>
      </c>
      <c r="AO136" s="3">
        <v>4</v>
      </c>
      <c r="AP136" s="3">
        <v>4</v>
      </c>
      <c r="AQ136" s="3">
        <v>4</v>
      </c>
      <c r="AR136" s="3">
        <v>4</v>
      </c>
      <c r="AS136" s="3">
        <v>4</v>
      </c>
      <c r="AT136" s="3">
        <v>4</v>
      </c>
      <c r="AU136" s="3">
        <v>4</v>
      </c>
      <c r="AV136" s="3">
        <v>4</v>
      </c>
      <c r="AW136" s="3">
        <v>4</v>
      </c>
      <c r="AX136" s="3">
        <v>4</v>
      </c>
      <c r="AY136" s="3">
        <v>4</v>
      </c>
      <c r="AZ136" s="3">
        <v>4</v>
      </c>
      <c r="BA136" s="3">
        <v>4</v>
      </c>
      <c r="BB136" s="3">
        <v>3</v>
      </c>
      <c r="BC136" s="3">
        <v>3</v>
      </c>
      <c r="BD136" s="3">
        <v>3</v>
      </c>
      <c r="BE136" s="3">
        <v>3</v>
      </c>
      <c r="BF136" s="3">
        <v>3</v>
      </c>
      <c r="BG136" s="3">
        <v>3</v>
      </c>
      <c r="BH136" s="3">
        <v>3</v>
      </c>
      <c r="BI136" s="3">
        <v>3</v>
      </c>
      <c r="BJ136" s="3">
        <v>4</v>
      </c>
      <c r="BK136" s="3">
        <v>4</v>
      </c>
      <c r="BL136" s="3">
        <v>4</v>
      </c>
      <c r="BM136" s="3" t="s">
        <v>1016</v>
      </c>
      <c r="BN136" s="3">
        <v>4</v>
      </c>
      <c r="BO136" s="3">
        <v>4</v>
      </c>
      <c r="BP136" s="3">
        <v>4</v>
      </c>
      <c r="BQ136" s="3">
        <v>4</v>
      </c>
      <c r="BR136" s="3">
        <v>3</v>
      </c>
      <c r="BS136" s="3">
        <v>4</v>
      </c>
      <c r="BT136" s="3">
        <v>4</v>
      </c>
      <c r="BU136" s="2">
        <v>4</v>
      </c>
      <c r="BV136" s="2">
        <v>4</v>
      </c>
      <c r="BW136" s="2">
        <v>4</v>
      </c>
      <c r="BX136" s="2">
        <v>4</v>
      </c>
      <c r="BY136" s="2">
        <v>4</v>
      </c>
      <c r="BZ136" s="2">
        <v>3</v>
      </c>
      <c r="CA136" s="2">
        <v>4</v>
      </c>
      <c r="CB136" s="2">
        <v>4</v>
      </c>
      <c r="CC136" s="2">
        <v>4</v>
      </c>
      <c r="CD136" s="2">
        <v>4</v>
      </c>
      <c r="CE136" s="2">
        <v>4</v>
      </c>
      <c r="CF136" s="2">
        <v>4</v>
      </c>
      <c r="CG136" s="2">
        <v>4</v>
      </c>
      <c r="CH136" s="2">
        <v>4</v>
      </c>
      <c r="CI136" s="2">
        <v>4</v>
      </c>
      <c r="CJ136" s="2">
        <v>4</v>
      </c>
      <c r="CK136" s="2">
        <v>4</v>
      </c>
      <c r="CL136" s="2">
        <v>4</v>
      </c>
      <c r="CM136" s="2">
        <v>4</v>
      </c>
      <c r="CN136" s="2">
        <v>4</v>
      </c>
      <c r="CO136" s="2">
        <v>4</v>
      </c>
      <c r="CP136" s="2">
        <v>4</v>
      </c>
      <c r="CQ136" s="2">
        <v>4</v>
      </c>
      <c r="CR136" s="2">
        <v>4</v>
      </c>
      <c r="CS136" s="2">
        <v>4</v>
      </c>
      <c r="CT136" s="2">
        <v>4</v>
      </c>
      <c r="CU136" s="2">
        <v>4</v>
      </c>
      <c r="CV136" s="2">
        <v>4</v>
      </c>
      <c r="CW136" s="2">
        <v>4</v>
      </c>
      <c r="CX136" s="2">
        <v>4</v>
      </c>
      <c r="CY136" s="2">
        <v>3</v>
      </c>
      <c r="CZ136" s="2">
        <v>3</v>
      </c>
      <c r="DA136" s="2">
        <v>3</v>
      </c>
      <c r="DB136" s="2">
        <v>3</v>
      </c>
      <c r="DC136" s="2">
        <v>3</v>
      </c>
      <c r="DD136" s="2">
        <v>3</v>
      </c>
      <c r="DE136" s="2">
        <v>4</v>
      </c>
      <c r="DF136" s="2">
        <v>4</v>
      </c>
      <c r="DG136" s="2">
        <v>4</v>
      </c>
      <c r="DH136" s="2">
        <v>4</v>
      </c>
      <c r="DI136" s="2">
        <v>4</v>
      </c>
      <c r="DJ136" s="2">
        <v>4</v>
      </c>
      <c r="DK136" s="2">
        <v>4</v>
      </c>
      <c r="DL136" s="2">
        <v>4</v>
      </c>
      <c r="DM136" s="2">
        <v>4</v>
      </c>
      <c r="DN136" s="2">
        <v>4</v>
      </c>
      <c r="DO136" s="2">
        <v>4</v>
      </c>
      <c r="DP136" s="2">
        <v>3</v>
      </c>
      <c r="DQ136" s="2">
        <v>4</v>
      </c>
      <c r="DR136" s="2">
        <v>4</v>
      </c>
      <c r="DS136" s="2">
        <v>4</v>
      </c>
      <c r="DT136" s="2">
        <v>4</v>
      </c>
      <c r="DU136" s="2">
        <v>4</v>
      </c>
      <c r="DV136" s="2">
        <v>4</v>
      </c>
      <c r="DW136" s="2">
        <v>4</v>
      </c>
      <c r="DX136" s="2">
        <v>4</v>
      </c>
      <c r="DY136" s="2">
        <v>4</v>
      </c>
      <c r="DZ136" s="2">
        <v>4</v>
      </c>
      <c r="EA136" s="2">
        <v>4</v>
      </c>
      <c r="EB136" s="11" t="s">
        <v>815</v>
      </c>
      <c r="EC136" s="11" t="s">
        <v>815</v>
      </c>
      <c r="ED136" s="11" t="s">
        <v>815</v>
      </c>
      <c r="EE136" s="11" t="s">
        <v>815</v>
      </c>
      <c r="EF136" s="11" t="s">
        <v>815</v>
      </c>
      <c r="EG136" s="11" t="s">
        <v>815</v>
      </c>
      <c r="EH136" s="11" t="s">
        <v>815</v>
      </c>
      <c r="EI136" s="2">
        <v>4</v>
      </c>
      <c r="EJ136" s="2">
        <v>4</v>
      </c>
      <c r="EK136" s="2">
        <v>4</v>
      </c>
      <c r="EL136" s="2">
        <v>4</v>
      </c>
      <c r="EM136" s="2">
        <v>4</v>
      </c>
      <c r="EN136" s="2">
        <v>4</v>
      </c>
      <c r="EO136" s="2">
        <v>4</v>
      </c>
      <c r="EP136" s="2">
        <v>4</v>
      </c>
      <c r="EQ136" s="2">
        <v>4</v>
      </c>
      <c r="ER136" s="2">
        <v>4</v>
      </c>
      <c r="ES136" s="2">
        <v>4</v>
      </c>
      <c r="ET136" s="2">
        <v>4</v>
      </c>
      <c r="EU136" s="2">
        <v>4</v>
      </c>
      <c r="EV136" s="2">
        <v>3</v>
      </c>
      <c r="EW136" s="2">
        <v>3</v>
      </c>
      <c r="EX136" s="2">
        <v>3</v>
      </c>
      <c r="EY136" s="2">
        <v>3</v>
      </c>
      <c r="EZ136" s="2">
        <v>3</v>
      </c>
      <c r="FA136" s="2">
        <v>3</v>
      </c>
      <c r="FB136" s="2">
        <v>3</v>
      </c>
      <c r="FC136" s="2">
        <v>3</v>
      </c>
      <c r="FD136" s="2">
        <v>3</v>
      </c>
      <c r="FE136" s="2">
        <v>3</v>
      </c>
      <c r="FF136" s="2">
        <v>3</v>
      </c>
      <c r="FG136" s="2">
        <v>3</v>
      </c>
      <c r="FH136" s="2">
        <v>3</v>
      </c>
      <c r="FI136" s="2">
        <v>3</v>
      </c>
      <c r="FJ136" s="2">
        <v>3</v>
      </c>
      <c r="FK136" s="2">
        <v>3</v>
      </c>
      <c r="FL136" s="2">
        <v>3</v>
      </c>
      <c r="FM136" s="2">
        <v>3</v>
      </c>
      <c r="FN136" s="2">
        <v>3</v>
      </c>
      <c r="FO136" s="2">
        <v>3</v>
      </c>
      <c r="FP136" s="2">
        <v>3</v>
      </c>
      <c r="FQ136" s="2">
        <v>4</v>
      </c>
      <c r="FR136" s="2">
        <v>4</v>
      </c>
      <c r="FS136" s="2">
        <v>4</v>
      </c>
      <c r="FT136" s="2">
        <v>4</v>
      </c>
      <c r="FU136" s="2">
        <v>4</v>
      </c>
      <c r="FV136" s="2">
        <v>2</v>
      </c>
      <c r="FW136" s="2">
        <v>2</v>
      </c>
      <c r="FX136" s="2">
        <v>2</v>
      </c>
      <c r="FY136" s="2">
        <v>2</v>
      </c>
      <c r="FZ136" s="2">
        <v>2</v>
      </c>
      <c r="GA136" s="2">
        <v>2</v>
      </c>
      <c r="GB136" s="2">
        <v>3</v>
      </c>
      <c r="GC136" s="2" t="s">
        <v>1017</v>
      </c>
      <c r="GD136" s="2">
        <v>4</v>
      </c>
      <c r="GE136" s="2">
        <v>4</v>
      </c>
      <c r="GF136" s="2">
        <v>3</v>
      </c>
      <c r="GG136" s="2">
        <v>3</v>
      </c>
      <c r="GH136" s="2">
        <v>3</v>
      </c>
      <c r="GI136" s="2">
        <v>3</v>
      </c>
      <c r="GJ136" s="2">
        <v>3</v>
      </c>
      <c r="GK136" s="2">
        <v>3</v>
      </c>
      <c r="GL136" s="2">
        <v>3</v>
      </c>
      <c r="GM136" s="2">
        <v>3</v>
      </c>
      <c r="GN136" s="3">
        <v>3</v>
      </c>
      <c r="GO136" s="3">
        <v>3</v>
      </c>
      <c r="GP136" s="3">
        <v>2</v>
      </c>
      <c r="GQ136" s="3">
        <v>3</v>
      </c>
      <c r="GR136" s="3">
        <v>2</v>
      </c>
      <c r="GS136" s="3">
        <v>3</v>
      </c>
      <c r="GT136" s="3">
        <v>3</v>
      </c>
      <c r="GU136" s="3">
        <v>4</v>
      </c>
      <c r="GV136" s="3">
        <v>2</v>
      </c>
      <c r="GW136" s="3">
        <v>3</v>
      </c>
      <c r="GX136" s="3">
        <v>3</v>
      </c>
      <c r="GY136" s="3">
        <v>4</v>
      </c>
      <c r="GZ136" s="3">
        <v>3</v>
      </c>
      <c r="HA136" s="3">
        <v>3</v>
      </c>
      <c r="HB136" s="3">
        <v>3</v>
      </c>
      <c r="HC136" s="3">
        <v>3</v>
      </c>
      <c r="HD136" s="3">
        <v>3</v>
      </c>
      <c r="HE136" s="3">
        <v>3</v>
      </c>
      <c r="HF136" s="3">
        <v>3</v>
      </c>
      <c r="HG136" s="3">
        <v>3</v>
      </c>
      <c r="HH136" s="3">
        <v>3</v>
      </c>
      <c r="HI136" s="3">
        <v>4</v>
      </c>
      <c r="HJ136" s="3">
        <v>2</v>
      </c>
      <c r="HK136" s="3">
        <v>4</v>
      </c>
      <c r="HL136" s="3">
        <v>3</v>
      </c>
      <c r="HM136" s="3">
        <v>3</v>
      </c>
      <c r="HN136" s="3">
        <v>3</v>
      </c>
      <c r="HO136" s="3">
        <v>3</v>
      </c>
      <c r="HP136" s="3">
        <v>3</v>
      </c>
      <c r="HQ136" s="3">
        <v>3</v>
      </c>
      <c r="HR136" s="12" t="s">
        <v>815</v>
      </c>
      <c r="HS136" s="12" t="s">
        <v>815</v>
      </c>
      <c r="HT136" s="12" t="s">
        <v>815</v>
      </c>
      <c r="HU136" s="12" t="s">
        <v>815</v>
      </c>
      <c r="HV136" s="3">
        <v>4</v>
      </c>
      <c r="HW136" s="3">
        <v>4</v>
      </c>
      <c r="HX136" s="12" t="s">
        <v>815</v>
      </c>
      <c r="HY136" s="12" t="s">
        <v>815</v>
      </c>
      <c r="HZ136" s="3">
        <v>4</v>
      </c>
      <c r="IA136" s="3">
        <v>4</v>
      </c>
      <c r="IB136" s="3">
        <v>4</v>
      </c>
      <c r="IC136" s="3">
        <v>4</v>
      </c>
      <c r="ID136" s="3">
        <v>4</v>
      </c>
      <c r="IE136" s="3">
        <v>4</v>
      </c>
      <c r="IF136" s="3">
        <v>4</v>
      </c>
      <c r="IG136" s="3">
        <v>3</v>
      </c>
      <c r="IH136" s="3">
        <v>2</v>
      </c>
      <c r="II136" s="3">
        <v>4</v>
      </c>
      <c r="IJ136" s="3">
        <v>4</v>
      </c>
      <c r="IK136" s="3">
        <v>2</v>
      </c>
      <c r="IL136" s="3">
        <v>2</v>
      </c>
      <c r="IM136" s="3">
        <v>2</v>
      </c>
      <c r="IN136" s="3">
        <v>4</v>
      </c>
      <c r="IO136" s="3">
        <v>4</v>
      </c>
      <c r="IP136" s="3">
        <v>2</v>
      </c>
      <c r="IQ136" s="3">
        <v>2</v>
      </c>
      <c r="IR136" s="3" t="s">
        <v>1018</v>
      </c>
      <c r="IS136" s="3">
        <v>3</v>
      </c>
      <c r="IT136" s="3">
        <v>3</v>
      </c>
      <c r="IU136" s="3">
        <v>3</v>
      </c>
      <c r="IV136" s="3">
        <v>4</v>
      </c>
      <c r="IW136" s="3">
        <v>4</v>
      </c>
      <c r="IX136" s="3">
        <v>2</v>
      </c>
      <c r="IY136" s="3">
        <v>2</v>
      </c>
      <c r="IZ136" s="2" t="s">
        <v>816</v>
      </c>
    </row>
    <row r="137" spans="1:260" ht="13.2" x14ac:dyDescent="0.25">
      <c r="A137" s="10" t="s">
        <v>274</v>
      </c>
      <c r="B137" s="2" t="s">
        <v>1019</v>
      </c>
      <c r="C137" s="2" t="s">
        <v>276</v>
      </c>
      <c r="D137" s="2" t="s">
        <v>270</v>
      </c>
      <c r="E137" s="2">
        <v>43</v>
      </c>
      <c r="F137" s="11" t="s">
        <v>1020</v>
      </c>
      <c r="G137" s="11" t="s">
        <v>1021</v>
      </c>
      <c r="H137" s="2" t="s">
        <v>1022</v>
      </c>
      <c r="I137" s="3">
        <v>3</v>
      </c>
      <c r="J137" s="3">
        <v>2</v>
      </c>
      <c r="K137" s="3">
        <v>2</v>
      </c>
      <c r="L137" s="3">
        <v>1</v>
      </c>
      <c r="M137" s="3">
        <v>2</v>
      </c>
      <c r="N137" s="3">
        <v>4</v>
      </c>
      <c r="O137" s="3">
        <v>2</v>
      </c>
      <c r="P137" s="3">
        <v>1</v>
      </c>
      <c r="Q137" s="3">
        <v>1</v>
      </c>
      <c r="R137" s="3">
        <v>2</v>
      </c>
      <c r="S137" s="3">
        <v>2</v>
      </c>
      <c r="T137" s="3">
        <v>1</v>
      </c>
      <c r="U137" s="3">
        <v>1</v>
      </c>
      <c r="V137" s="3">
        <v>3</v>
      </c>
      <c r="W137" s="3">
        <v>2</v>
      </c>
      <c r="X137" s="3">
        <v>1</v>
      </c>
      <c r="Y137" s="3">
        <v>1</v>
      </c>
      <c r="Z137" s="3">
        <v>2</v>
      </c>
      <c r="AA137" s="3">
        <v>1</v>
      </c>
      <c r="AB137" s="3">
        <v>1</v>
      </c>
      <c r="AC137" s="3">
        <v>1</v>
      </c>
      <c r="AD137" s="3">
        <v>1</v>
      </c>
      <c r="AE137" s="3">
        <v>2</v>
      </c>
      <c r="AF137" s="3">
        <v>3</v>
      </c>
      <c r="AG137" s="3">
        <v>3</v>
      </c>
      <c r="AH137" s="3">
        <v>2</v>
      </c>
      <c r="AI137" s="3">
        <v>4</v>
      </c>
      <c r="AJ137" s="3">
        <v>2</v>
      </c>
      <c r="AK137" s="3">
        <v>2</v>
      </c>
      <c r="AL137" s="3">
        <v>2</v>
      </c>
      <c r="AM137" s="3">
        <v>2</v>
      </c>
      <c r="AN137" s="3">
        <v>4</v>
      </c>
      <c r="AO137" s="3">
        <v>2</v>
      </c>
      <c r="AP137" s="3">
        <v>2</v>
      </c>
      <c r="AQ137" s="3">
        <v>2</v>
      </c>
      <c r="AR137" s="3">
        <v>2</v>
      </c>
      <c r="AS137" s="3">
        <v>1</v>
      </c>
      <c r="AT137" s="3">
        <v>1</v>
      </c>
      <c r="AU137" s="3">
        <v>3</v>
      </c>
      <c r="AV137" s="3">
        <v>2</v>
      </c>
      <c r="AW137" s="3">
        <v>2</v>
      </c>
      <c r="AX137" s="3">
        <v>1</v>
      </c>
      <c r="AY137" s="3">
        <v>1</v>
      </c>
      <c r="AZ137" s="3">
        <v>2</v>
      </c>
      <c r="BA137" s="3">
        <v>1</v>
      </c>
      <c r="BB137" s="3">
        <v>3</v>
      </c>
      <c r="BC137" s="3">
        <v>2</v>
      </c>
      <c r="BD137" s="3">
        <v>4</v>
      </c>
      <c r="BE137" s="3">
        <v>1</v>
      </c>
      <c r="BF137" s="12" t="s">
        <v>815</v>
      </c>
      <c r="BG137" s="12" t="s">
        <v>815</v>
      </c>
      <c r="BH137" s="12" t="s">
        <v>815</v>
      </c>
      <c r="BI137" s="3">
        <v>1</v>
      </c>
      <c r="BJ137" s="3">
        <v>2</v>
      </c>
      <c r="BK137" s="3">
        <v>2</v>
      </c>
      <c r="BL137" s="3">
        <v>1</v>
      </c>
      <c r="BM137" s="3" t="s">
        <v>1023</v>
      </c>
      <c r="BN137" s="3">
        <v>2</v>
      </c>
      <c r="BO137" s="3">
        <v>2</v>
      </c>
      <c r="BP137" s="3">
        <v>2</v>
      </c>
      <c r="BQ137" s="3">
        <v>1</v>
      </c>
      <c r="BR137" s="3">
        <v>2</v>
      </c>
      <c r="BS137" s="3">
        <v>2</v>
      </c>
      <c r="BT137" s="3">
        <v>1</v>
      </c>
      <c r="BU137" s="2">
        <v>2</v>
      </c>
      <c r="BV137" s="2">
        <v>1</v>
      </c>
      <c r="BW137" s="2">
        <v>2</v>
      </c>
      <c r="BX137" s="11" t="s">
        <v>815</v>
      </c>
      <c r="BY137" s="2">
        <v>1</v>
      </c>
      <c r="BZ137" s="2">
        <v>2</v>
      </c>
      <c r="CA137" s="2">
        <v>3</v>
      </c>
      <c r="CB137" s="2">
        <v>1</v>
      </c>
      <c r="CC137" s="2">
        <v>1</v>
      </c>
      <c r="CD137" s="11" t="s">
        <v>815</v>
      </c>
      <c r="CE137" s="11" t="s">
        <v>815</v>
      </c>
      <c r="CF137" s="2">
        <v>1</v>
      </c>
      <c r="CG137" s="11" t="s">
        <v>815</v>
      </c>
      <c r="CH137" s="11" t="s">
        <v>815</v>
      </c>
      <c r="CI137" s="2">
        <v>2</v>
      </c>
      <c r="CJ137" s="2">
        <v>2</v>
      </c>
      <c r="CK137" s="11" t="s">
        <v>815</v>
      </c>
      <c r="CL137" s="11" t="s">
        <v>815</v>
      </c>
      <c r="CM137" s="2">
        <v>1</v>
      </c>
      <c r="CN137" s="11" t="s">
        <v>815</v>
      </c>
      <c r="CO137" s="2">
        <v>1</v>
      </c>
      <c r="CP137" s="2">
        <v>1</v>
      </c>
      <c r="CQ137" s="2">
        <v>1</v>
      </c>
      <c r="CR137" s="11" t="s">
        <v>815</v>
      </c>
      <c r="CS137" s="11" t="s">
        <v>815</v>
      </c>
      <c r="CT137" s="11" t="s">
        <v>815</v>
      </c>
      <c r="CU137" s="11" t="s">
        <v>815</v>
      </c>
      <c r="CV137" s="2">
        <v>2</v>
      </c>
      <c r="CW137" s="2">
        <v>2</v>
      </c>
      <c r="CX137" s="11" t="s">
        <v>815</v>
      </c>
      <c r="CY137" s="2">
        <v>1</v>
      </c>
      <c r="CZ137" s="2">
        <v>1</v>
      </c>
      <c r="DA137" s="2">
        <v>2</v>
      </c>
      <c r="DB137" s="11" t="s">
        <v>815</v>
      </c>
      <c r="DC137" s="2">
        <v>1</v>
      </c>
      <c r="DD137" s="11" t="s">
        <v>815</v>
      </c>
      <c r="DE137" s="2">
        <v>3</v>
      </c>
      <c r="DF137" s="2">
        <v>1</v>
      </c>
      <c r="DG137" s="2">
        <v>1</v>
      </c>
      <c r="DH137" s="2">
        <v>1</v>
      </c>
      <c r="DI137" s="2">
        <v>1</v>
      </c>
      <c r="DJ137" s="2">
        <v>2</v>
      </c>
      <c r="DK137" s="2">
        <v>2</v>
      </c>
      <c r="DL137" s="2">
        <v>1</v>
      </c>
      <c r="DM137" s="11" t="s">
        <v>815</v>
      </c>
      <c r="DN137" s="2">
        <v>1</v>
      </c>
      <c r="DO137" s="2">
        <v>1</v>
      </c>
      <c r="DP137" s="2">
        <v>1</v>
      </c>
      <c r="DQ137" s="2">
        <v>1</v>
      </c>
      <c r="DR137" s="11" t="s">
        <v>815</v>
      </c>
      <c r="DS137" s="2">
        <v>1</v>
      </c>
      <c r="DT137" s="11" t="s">
        <v>815</v>
      </c>
      <c r="DU137" s="11" t="s">
        <v>815</v>
      </c>
      <c r="DV137" s="2">
        <v>1</v>
      </c>
      <c r="DW137" s="2">
        <v>2</v>
      </c>
      <c r="DX137" s="2">
        <v>2</v>
      </c>
      <c r="DY137" s="2">
        <v>1</v>
      </c>
      <c r="DZ137" s="11" t="s">
        <v>815</v>
      </c>
      <c r="EA137" s="2">
        <v>1</v>
      </c>
      <c r="EB137" s="2">
        <v>4</v>
      </c>
      <c r="EC137" s="2">
        <v>1</v>
      </c>
      <c r="ED137" s="2">
        <v>1</v>
      </c>
      <c r="EE137" s="2">
        <v>1</v>
      </c>
      <c r="EF137" s="11" t="s">
        <v>815</v>
      </c>
      <c r="EG137" s="11" t="s">
        <v>815</v>
      </c>
      <c r="EH137" s="2">
        <v>1</v>
      </c>
      <c r="EI137" s="2">
        <v>2</v>
      </c>
      <c r="EJ137" s="11" t="s">
        <v>815</v>
      </c>
      <c r="EK137" s="2">
        <v>1</v>
      </c>
      <c r="EL137" s="11" t="s">
        <v>815</v>
      </c>
      <c r="EM137" s="2">
        <v>1</v>
      </c>
      <c r="EN137" s="2">
        <v>1</v>
      </c>
      <c r="EO137" s="11" t="s">
        <v>815</v>
      </c>
      <c r="EP137" s="2">
        <v>1</v>
      </c>
      <c r="EQ137" s="2">
        <v>2</v>
      </c>
      <c r="ER137" s="11" t="s">
        <v>815</v>
      </c>
      <c r="ES137" s="11" t="s">
        <v>815</v>
      </c>
      <c r="ET137" s="2">
        <v>1</v>
      </c>
      <c r="EU137" s="2">
        <v>2</v>
      </c>
      <c r="EV137" s="2">
        <v>1</v>
      </c>
      <c r="EW137" s="2">
        <v>1</v>
      </c>
      <c r="EX137" s="2">
        <v>2</v>
      </c>
      <c r="EY137" s="11" t="s">
        <v>815</v>
      </c>
      <c r="EZ137" s="2">
        <v>1</v>
      </c>
      <c r="FA137" s="2">
        <v>1</v>
      </c>
      <c r="FB137" s="2">
        <v>1</v>
      </c>
      <c r="FC137" s="2">
        <v>1</v>
      </c>
      <c r="FD137" s="11" t="s">
        <v>815</v>
      </c>
      <c r="FE137" s="11" t="s">
        <v>815</v>
      </c>
      <c r="FF137" s="2">
        <v>2</v>
      </c>
      <c r="FG137" s="2">
        <v>1</v>
      </c>
      <c r="FH137" s="2">
        <v>1</v>
      </c>
      <c r="FI137" s="11" t="s">
        <v>815</v>
      </c>
      <c r="FJ137" s="2">
        <v>1</v>
      </c>
      <c r="FK137" s="2">
        <v>2</v>
      </c>
      <c r="FL137" s="11" t="s">
        <v>815</v>
      </c>
      <c r="FM137" s="2">
        <v>1</v>
      </c>
      <c r="FN137" s="2">
        <v>1</v>
      </c>
      <c r="FO137" s="2">
        <v>1</v>
      </c>
      <c r="FP137" s="2">
        <v>1</v>
      </c>
      <c r="FQ137" s="2">
        <v>3</v>
      </c>
      <c r="FR137" s="2">
        <v>2</v>
      </c>
      <c r="FS137" s="2">
        <v>1</v>
      </c>
      <c r="FT137" s="2">
        <v>3</v>
      </c>
      <c r="FU137" s="2">
        <v>2</v>
      </c>
      <c r="FV137" s="2">
        <v>1</v>
      </c>
      <c r="FW137" s="11" t="s">
        <v>815</v>
      </c>
      <c r="FX137" s="11" t="s">
        <v>815</v>
      </c>
      <c r="FY137" s="11" t="s">
        <v>815</v>
      </c>
      <c r="FZ137" s="2">
        <v>1</v>
      </c>
      <c r="GA137" s="2">
        <v>1</v>
      </c>
      <c r="GB137" s="2">
        <v>1</v>
      </c>
      <c r="GC137" s="2" t="s">
        <v>1024</v>
      </c>
      <c r="GD137" s="2">
        <v>2</v>
      </c>
      <c r="GE137" s="2">
        <v>2</v>
      </c>
      <c r="GF137" s="2">
        <v>1</v>
      </c>
      <c r="GG137" s="11" t="s">
        <v>815</v>
      </c>
      <c r="GH137" s="2">
        <v>2</v>
      </c>
      <c r="GI137" s="2">
        <v>1</v>
      </c>
      <c r="GJ137" s="11" t="s">
        <v>815</v>
      </c>
      <c r="GK137" s="2">
        <v>1</v>
      </c>
      <c r="GL137" s="2">
        <v>1</v>
      </c>
      <c r="GM137" s="2">
        <v>1</v>
      </c>
      <c r="GN137" s="3">
        <v>2</v>
      </c>
      <c r="GO137" s="3">
        <v>1</v>
      </c>
      <c r="GP137" s="12" t="s">
        <v>815</v>
      </c>
      <c r="GQ137" s="3">
        <v>2</v>
      </c>
      <c r="GR137" s="12" t="s">
        <v>815</v>
      </c>
      <c r="GS137" s="3">
        <v>1</v>
      </c>
      <c r="GT137" s="3">
        <v>2</v>
      </c>
      <c r="GU137" s="12" t="s">
        <v>815</v>
      </c>
      <c r="GV137" s="12" t="s">
        <v>815</v>
      </c>
      <c r="GW137" s="12" t="s">
        <v>815</v>
      </c>
      <c r="GX137" s="3">
        <v>1</v>
      </c>
      <c r="GY137" s="12" t="s">
        <v>815</v>
      </c>
      <c r="GZ137" s="12" t="s">
        <v>815</v>
      </c>
      <c r="HA137" s="12" t="s">
        <v>815</v>
      </c>
      <c r="HB137" s="3">
        <v>1</v>
      </c>
      <c r="HC137" s="12" t="s">
        <v>815</v>
      </c>
      <c r="HD137" s="12" t="s">
        <v>815</v>
      </c>
      <c r="HE137" s="12" t="s">
        <v>815</v>
      </c>
      <c r="HF137" s="3">
        <v>1</v>
      </c>
      <c r="HG137" s="12" t="s">
        <v>815</v>
      </c>
      <c r="HH137" s="3">
        <v>1</v>
      </c>
      <c r="HI137" s="12" t="s">
        <v>815</v>
      </c>
      <c r="HJ137" s="3">
        <v>1</v>
      </c>
      <c r="HK137" s="3">
        <v>1</v>
      </c>
      <c r="HL137" s="12" t="s">
        <v>815</v>
      </c>
      <c r="HM137" s="12" t="s">
        <v>815</v>
      </c>
      <c r="HN137" s="12" t="s">
        <v>815</v>
      </c>
      <c r="HO137" s="3">
        <v>1</v>
      </c>
      <c r="HP137" s="12" t="s">
        <v>815</v>
      </c>
      <c r="HQ137" s="12" t="s">
        <v>815</v>
      </c>
      <c r="HR137" s="3">
        <v>2</v>
      </c>
      <c r="HS137" s="3">
        <v>1</v>
      </c>
      <c r="HT137" s="12" t="s">
        <v>815</v>
      </c>
      <c r="HU137" s="12" t="s">
        <v>815</v>
      </c>
      <c r="HV137" s="3">
        <v>2</v>
      </c>
      <c r="HW137" s="12" t="s">
        <v>815</v>
      </c>
      <c r="HX137" s="12" t="s">
        <v>815</v>
      </c>
      <c r="HY137" s="3">
        <v>1</v>
      </c>
      <c r="HZ137" s="3">
        <v>1</v>
      </c>
      <c r="IA137" s="3">
        <v>1</v>
      </c>
      <c r="IB137" s="12" t="s">
        <v>815</v>
      </c>
      <c r="IC137" s="12" t="s">
        <v>815</v>
      </c>
      <c r="ID137" s="12" t="s">
        <v>815</v>
      </c>
      <c r="IE137" s="12" t="s">
        <v>815</v>
      </c>
      <c r="IF137" s="12" t="s">
        <v>815</v>
      </c>
      <c r="IG137" s="12" t="s">
        <v>815</v>
      </c>
      <c r="IH137" s="12" t="s">
        <v>815</v>
      </c>
      <c r="II137" s="12" t="s">
        <v>815</v>
      </c>
      <c r="IJ137" s="3">
        <v>2</v>
      </c>
      <c r="IK137" s="3">
        <v>1</v>
      </c>
      <c r="IL137" s="12" t="s">
        <v>815</v>
      </c>
      <c r="IM137" s="3">
        <v>1</v>
      </c>
      <c r="IN137" s="12" t="s">
        <v>815</v>
      </c>
      <c r="IO137" s="12" t="s">
        <v>815</v>
      </c>
      <c r="IP137" s="12" t="s">
        <v>815</v>
      </c>
      <c r="IQ137" s="3">
        <v>1</v>
      </c>
      <c r="IR137" s="3" t="s">
        <v>1025</v>
      </c>
      <c r="IS137" s="3">
        <v>3</v>
      </c>
      <c r="IT137" s="3">
        <v>1</v>
      </c>
      <c r="IU137" s="12" t="s">
        <v>815</v>
      </c>
      <c r="IV137" s="3">
        <v>1</v>
      </c>
      <c r="IW137" s="12" t="s">
        <v>815</v>
      </c>
      <c r="IX137" s="12" t="s">
        <v>815</v>
      </c>
      <c r="IY137" s="12" t="s">
        <v>815</v>
      </c>
      <c r="IZ137" s="2" t="s">
        <v>816</v>
      </c>
    </row>
    <row r="138" spans="1:260" ht="13.2" x14ac:dyDescent="0.25">
      <c r="A138" s="10" t="s">
        <v>274</v>
      </c>
      <c r="B138" s="2" t="s">
        <v>1026</v>
      </c>
      <c r="C138" s="2" t="s">
        <v>261</v>
      </c>
      <c r="D138" s="2" t="s">
        <v>270</v>
      </c>
      <c r="E138" s="2">
        <v>28</v>
      </c>
      <c r="F138" s="11" t="s">
        <v>1027</v>
      </c>
      <c r="G138" s="11" t="s">
        <v>1028</v>
      </c>
      <c r="H138" s="2" t="s">
        <v>1029</v>
      </c>
      <c r="I138" s="3">
        <v>2</v>
      </c>
      <c r="J138" s="3">
        <v>1</v>
      </c>
      <c r="K138" s="3">
        <v>2</v>
      </c>
      <c r="L138" s="3">
        <v>1</v>
      </c>
      <c r="M138" s="3">
        <v>1</v>
      </c>
      <c r="N138" s="3">
        <v>1</v>
      </c>
      <c r="O138" s="3">
        <v>1</v>
      </c>
      <c r="P138" s="3">
        <v>3</v>
      </c>
      <c r="Q138" s="3">
        <v>2</v>
      </c>
      <c r="R138" s="3">
        <v>1</v>
      </c>
      <c r="S138" s="3">
        <v>2</v>
      </c>
      <c r="T138" s="3">
        <v>1</v>
      </c>
      <c r="U138" s="3">
        <v>2</v>
      </c>
      <c r="V138" s="3">
        <v>1</v>
      </c>
      <c r="W138" s="3">
        <v>2</v>
      </c>
      <c r="X138" s="3">
        <v>2</v>
      </c>
      <c r="Y138" s="3">
        <v>2</v>
      </c>
      <c r="Z138" s="3">
        <v>2</v>
      </c>
      <c r="AA138" s="3">
        <v>1</v>
      </c>
      <c r="AB138" s="3">
        <v>1</v>
      </c>
      <c r="AC138" s="3">
        <v>1</v>
      </c>
      <c r="AD138" s="3">
        <v>1</v>
      </c>
      <c r="AE138" s="3">
        <v>3</v>
      </c>
      <c r="AF138" s="3">
        <v>1</v>
      </c>
      <c r="AG138" s="3">
        <v>1</v>
      </c>
      <c r="AH138" s="3">
        <v>1</v>
      </c>
      <c r="AI138" s="3">
        <v>3</v>
      </c>
      <c r="AJ138" s="3">
        <v>3</v>
      </c>
      <c r="AK138" s="3">
        <v>3</v>
      </c>
      <c r="AL138" s="3">
        <v>3</v>
      </c>
      <c r="AM138" s="12" t="s">
        <v>815</v>
      </c>
      <c r="AN138" s="3">
        <v>2</v>
      </c>
      <c r="AO138" s="3">
        <v>3</v>
      </c>
      <c r="AP138" s="3">
        <v>1</v>
      </c>
      <c r="AQ138" s="3">
        <v>1</v>
      </c>
      <c r="AR138" s="3">
        <v>1</v>
      </c>
      <c r="AS138" s="3">
        <v>1</v>
      </c>
      <c r="AT138" s="3">
        <v>1</v>
      </c>
      <c r="AU138" s="3">
        <v>2</v>
      </c>
      <c r="AV138" s="3">
        <v>1</v>
      </c>
      <c r="AW138" s="3">
        <v>2</v>
      </c>
      <c r="AX138" s="3">
        <v>1</v>
      </c>
      <c r="AY138" s="3">
        <v>2</v>
      </c>
      <c r="AZ138" s="3">
        <v>2</v>
      </c>
      <c r="BA138" s="3">
        <v>1</v>
      </c>
      <c r="BB138" s="3">
        <v>2</v>
      </c>
      <c r="BC138" s="3">
        <v>2</v>
      </c>
      <c r="BD138" s="3">
        <v>2</v>
      </c>
      <c r="BE138" s="3">
        <v>3</v>
      </c>
      <c r="BF138" s="3">
        <v>3</v>
      </c>
      <c r="BG138" s="3">
        <v>3</v>
      </c>
      <c r="BH138" s="3">
        <v>1</v>
      </c>
      <c r="BI138" s="3">
        <v>3</v>
      </c>
      <c r="BJ138" s="3">
        <v>4</v>
      </c>
      <c r="BK138" s="3">
        <v>3</v>
      </c>
      <c r="BL138" s="3">
        <v>3</v>
      </c>
      <c r="BM138" s="3" t="s">
        <v>1030</v>
      </c>
      <c r="BN138" s="3">
        <v>3</v>
      </c>
      <c r="BO138" s="3">
        <v>3</v>
      </c>
      <c r="BP138" s="3">
        <v>3</v>
      </c>
      <c r="BQ138" s="3">
        <v>3</v>
      </c>
      <c r="BR138" s="3">
        <v>3</v>
      </c>
      <c r="BS138" s="3">
        <v>3</v>
      </c>
      <c r="BT138" s="3">
        <v>3</v>
      </c>
      <c r="BU138" s="2">
        <v>1</v>
      </c>
      <c r="BV138" s="2">
        <v>1</v>
      </c>
      <c r="BW138" s="2">
        <v>2</v>
      </c>
      <c r="BX138" s="2">
        <v>1</v>
      </c>
      <c r="BY138" s="2">
        <v>1</v>
      </c>
      <c r="BZ138" s="2">
        <v>1</v>
      </c>
      <c r="CA138" s="2">
        <v>1</v>
      </c>
      <c r="CB138" s="2">
        <v>2</v>
      </c>
      <c r="CC138" s="2">
        <v>1</v>
      </c>
      <c r="CD138" s="2">
        <v>1</v>
      </c>
      <c r="CE138" s="2">
        <v>1</v>
      </c>
      <c r="CF138" s="2">
        <v>2</v>
      </c>
      <c r="CG138" s="2">
        <v>1</v>
      </c>
      <c r="CH138" s="2">
        <v>1</v>
      </c>
      <c r="CI138" s="2">
        <v>3</v>
      </c>
      <c r="CJ138" s="2">
        <v>1</v>
      </c>
      <c r="CK138" s="2">
        <v>2</v>
      </c>
      <c r="CL138" s="11" t="s">
        <v>815</v>
      </c>
      <c r="CM138" s="2">
        <v>3</v>
      </c>
      <c r="CN138" s="2">
        <v>3</v>
      </c>
      <c r="CO138" s="11" t="s">
        <v>815</v>
      </c>
      <c r="CP138" s="2">
        <v>1</v>
      </c>
      <c r="CQ138" s="11" t="s">
        <v>815</v>
      </c>
      <c r="CR138" s="2">
        <v>2</v>
      </c>
      <c r="CS138" s="11" t="s">
        <v>815</v>
      </c>
      <c r="CT138" s="11" t="s">
        <v>815</v>
      </c>
      <c r="CU138" s="11" t="s">
        <v>815</v>
      </c>
      <c r="CV138" s="2">
        <v>2</v>
      </c>
      <c r="CW138" s="2">
        <v>1</v>
      </c>
      <c r="CX138" s="11" t="s">
        <v>815</v>
      </c>
      <c r="CY138" s="11" t="s">
        <v>815</v>
      </c>
      <c r="CZ138" s="11" t="s">
        <v>815</v>
      </c>
      <c r="DA138" s="2">
        <v>2</v>
      </c>
      <c r="DB138" s="2">
        <v>2</v>
      </c>
      <c r="DC138" s="11" t="s">
        <v>815</v>
      </c>
      <c r="DD138" s="11" t="s">
        <v>815</v>
      </c>
      <c r="DE138" s="2">
        <v>2</v>
      </c>
      <c r="DF138" s="2">
        <v>2</v>
      </c>
      <c r="DG138" s="2">
        <v>1</v>
      </c>
      <c r="DH138" s="2">
        <v>2</v>
      </c>
      <c r="DI138" s="2">
        <v>2</v>
      </c>
      <c r="DJ138" s="11" t="s">
        <v>815</v>
      </c>
      <c r="DK138" s="11" t="s">
        <v>815</v>
      </c>
      <c r="DL138" s="2">
        <v>1</v>
      </c>
      <c r="DM138" s="2">
        <v>1</v>
      </c>
      <c r="DN138" s="11" t="s">
        <v>815</v>
      </c>
      <c r="DO138" s="11" t="s">
        <v>815</v>
      </c>
      <c r="DP138" s="2">
        <v>2</v>
      </c>
      <c r="DQ138" s="2">
        <v>1</v>
      </c>
      <c r="DR138" s="11" t="s">
        <v>815</v>
      </c>
      <c r="DS138" s="2">
        <v>2</v>
      </c>
      <c r="DT138" s="11" t="s">
        <v>815</v>
      </c>
      <c r="DU138" s="2">
        <v>1</v>
      </c>
      <c r="DV138" s="11" t="s">
        <v>815</v>
      </c>
      <c r="DW138" s="11" t="s">
        <v>815</v>
      </c>
      <c r="DX138" s="2">
        <v>2</v>
      </c>
      <c r="DY138" s="2">
        <v>2</v>
      </c>
      <c r="DZ138" s="2">
        <v>2</v>
      </c>
      <c r="EA138" s="11" t="s">
        <v>815</v>
      </c>
      <c r="EB138" s="11" t="s">
        <v>815</v>
      </c>
      <c r="EC138" s="11" t="s">
        <v>815</v>
      </c>
      <c r="ED138" s="11" t="s">
        <v>815</v>
      </c>
      <c r="EE138" s="2">
        <v>1</v>
      </c>
      <c r="EF138" s="11" t="s">
        <v>815</v>
      </c>
      <c r="EG138" s="11" t="s">
        <v>815</v>
      </c>
      <c r="EH138" s="11" t="s">
        <v>815</v>
      </c>
      <c r="EI138" s="11" t="s">
        <v>815</v>
      </c>
      <c r="EJ138" s="11" t="s">
        <v>815</v>
      </c>
      <c r="EK138" s="2">
        <v>1</v>
      </c>
      <c r="EL138" s="2">
        <v>1</v>
      </c>
      <c r="EM138" s="2">
        <v>1</v>
      </c>
      <c r="EN138" s="11" t="s">
        <v>815</v>
      </c>
      <c r="EO138" s="11" t="s">
        <v>815</v>
      </c>
      <c r="EP138" s="11" t="s">
        <v>815</v>
      </c>
      <c r="EQ138" s="11" t="s">
        <v>815</v>
      </c>
      <c r="ER138" s="11" t="s">
        <v>815</v>
      </c>
      <c r="ES138" s="11" t="s">
        <v>815</v>
      </c>
      <c r="ET138" s="11" t="s">
        <v>815</v>
      </c>
      <c r="EU138" s="11" t="s">
        <v>815</v>
      </c>
      <c r="EV138" s="2">
        <v>2</v>
      </c>
      <c r="EW138" s="11" t="s">
        <v>815</v>
      </c>
      <c r="EX138" s="2">
        <v>2</v>
      </c>
      <c r="EY138" s="2">
        <v>2</v>
      </c>
      <c r="EZ138" s="11" t="s">
        <v>815</v>
      </c>
      <c r="FA138" s="2">
        <v>2</v>
      </c>
      <c r="FB138" s="11" t="s">
        <v>815</v>
      </c>
      <c r="FC138" s="11" t="s">
        <v>815</v>
      </c>
      <c r="FD138" s="11" t="s">
        <v>815</v>
      </c>
      <c r="FE138" s="11" t="s">
        <v>815</v>
      </c>
      <c r="FF138" s="2">
        <v>2</v>
      </c>
      <c r="FG138" s="11" t="s">
        <v>815</v>
      </c>
      <c r="FH138" s="11" t="s">
        <v>815</v>
      </c>
      <c r="FI138" s="11" t="s">
        <v>815</v>
      </c>
      <c r="FJ138" s="11" t="s">
        <v>815</v>
      </c>
      <c r="FK138" s="11" t="s">
        <v>815</v>
      </c>
      <c r="FL138" s="11" t="s">
        <v>815</v>
      </c>
      <c r="FM138" s="11" t="s">
        <v>815</v>
      </c>
      <c r="FN138" s="11" t="s">
        <v>815</v>
      </c>
      <c r="FO138" s="11" t="s">
        <v>815</v>
      </c>
      <c r="FP138" s="11" t="s">
        <v>815</v>
      </c>
      <c r="FQ138" s="2">
        <v>2</v>
      </c>
      <c r="FR138" s="2">
        <v>2</v>
      </c>
      <c r="FS138" s="2">
        <v>2</v>
      </c>
      <c r="FT138" s="11" t="s">
        <v>815</v>
      </c>
      <c r="FU138" s="2">
        <v>2</v>
      </c>
      <c r="FV138" s="2">
        <v>1</v>
      </c>
      <c r="FW138" s="11" t="s">
        <v>815</v>
      </c>
      <c r="FX138" s="2">
        <v>2</v>
      </c>
      <c r="FY138" s="11" t="s">
        <v>815</v>
      </c>
      <c r="FZ138" s="11" t="s">
        <v>815</v>
      </c>
      <c r="GA138" s="11" t="s">
        <v>815</v>
      </c>
      <c r="GB138" s="11" t="s">
        <v>815</v>
      </c>
      <c r="GC138" s="2" t="s">
        <v>1031</v>
      </c>
      <c r="GD138" s="2">
        <v>3</v>
      </c>
      <c r="GE138" s="2">
        <v>2</v>
      </c>
      <c r="GF138" s="2">
        <v>3</v>
      </c>
      <c r="GG138" s="11" t="s">
        <v>815</v>
      </c>
      <c r="GH138" s="2">
        <v>3</v>
      </c>
      <c r="GI138" s="2">
        <v>4</v>
      </c>
      <c r="GJ138" s="2">
        <v>3</v>
      </c>
      <c r="GK138" s="2">
        <v>2</v>
      </c>
      <c r="GL138" s="11" t="s">
        <v>815</v>
      </c>
      <c r="GM138" s="2">
        <v>3</v>
      </c>
      <c r="GN138" s="3">
        <v>2</v>
      </c>
      <c r="GO138" s="3">
        <v>1</v>
      </c>
      <c r="GP138" s="12" t="s">
        <v>815</v>
      </c>
      <c r="GQ138" s="3">
        <v>4</v>
      </c>
      <c r="GR138" s="3">
        <v>2</v>
      </c>
      <c r="GS138" s="3">
        <v>2</v>
      </c>
      <c r="GT138" s="3">
        <v>3</v>
      </c>
      <c r="GU138" s="3">
        <v>3</v>
      </c>
      <c r="GV138" s="3">
        <v>2</v>
      </c>
      <c r="GW138" s="3">
        <v>1</v>
      </c>
      <c r="GX138" s="12" t="s">
        <v>815</v>
      </c>
      <c r="GY138" s="3">
        <v>3</v>
      </c>
      <c r="GZ138" s="3">
        <v>2</v>
      </c>
      <c r="HA138" s="12" t="s">
        <v>815</v>
      </c>
      <c r="HB138" s="12" t="s">
        <v>815</v>
      </c>
      <c r="HC138" s="3">
        <v>1</v>
      </c>
      <c r="HD138" s="12" t="s">
        <v>815</v>
      </c>
      <c r="HE138" s="3">
        <v>3</v>
      </c>
      <c r="HF138" s="12" t="s">
        <v>815</v>
      </c>
      <c r="HG138" s="3">
        <v>2</v>
      </c>
      <c r="HH138" s="3">
        <v>2</v>
      </c>
      <c r="HI138" s="3">
        <v>3</v>
      </c>
      <c r="HJ138" s="3">
        <v>2</v>
      </c>
      <c r="HK138" s="3">
        <v>2</v>
      </c>
      <c r="HL138" s="3">
        <v>3</v>
      </c>
      <c r="HM138" s="12" t="s">
        <v>815</v>
      </c>
      <c r="HN138" s="3">
        <v>1</v>
      </c>
      <c r="HO138" s="3">
        <v>4</v>
      </c>
      <c r="HP138" s="3">
        <v>3</v>
      </c>
      <c r="HQ138" s="3">
        <v>1</v>
      </c>
      <c r="HR138" s="3">
        <v>2</v>
      </c>
      <c r="HS138" s="12" t="s">
        <v>815</v>
      </c>
      <c r="HT138" s="12" t="s">
        <v>815</v>
      </c>
      <c r="HU138" s="12" t="s">
        <v>815</v>
      </c>
      <c r="HV138" s="3">
        <v>2</v>
      </c>
      <c r="HW138" s="3">
        <v>3</v>
      </c>
      <c r="HX138" s="3">
        <v>1</v>
      </c>
      <c r="HY138" s="12" t="s">
        <v>815</v>
      </c>
      <c r="HZ138" s="12" t="s">
        <v>815</v>
      </c>
      <c r="IA138" s="3">
        <v>4</v>
      </c>
      <c r="IB138" s="3">
        <v>3</v>
      </c>
      <c r="IC138" s="12" t="s">
        <v>815</v>
      </c>
      <c r="ID138" s="3">
        <v>2</v>
      </c>
      <c r="IE138" s="3">
        <v>1</v>
      </c>
      <c r="IF138" s="3">
        <v>2</v>
      </c>
      <c r="IG138" s="12" t="s">
        <v>815</v>
      </c>
      <c r="IH138" s="12" t="s">
        <v>815</v>
      </c>
      <c r="II138" s="3">
        <v>4</v>
      </c>
      <c r="IJ138" s="3">
        <v>2</v>
      </c>
      <c r="IK138" s="12" t="s">
        <v>815</v>
      </c>
      <c r="IL138" s="3">
        <v>1</v>
      </c>
      <c r="IM138" s="12" t="s">
        <v>815</v>
      </c>
      <c r="IN138" s="3">
        <v>2</v>
      </c>
      <c r="IO138" s="3">
        <v>2</v>
      </c>
      <c r="IP138" s="3">
        <v>2</v>
      </c>
      <c r="IQ138" s="3">
        <v>3</v>
      </c>
      <c r="IR138" s="3" t="s">
        <v>1032</v>
      </c>
      <c r="IS138" s="3">
        <v>3</v>
      </c>
      <c r="IT138" s="3">
        <v>3</v>
      </c>
      <c r="IU138" s="3">
        <v>3</v>
      </c>
      <c r="IV138" s="12" t="s">
        <v>815</v>
      </c>
      <c r="IW138" s="3">
        <v>3</v>
      </c>
      <c r="IX138" s="12" t="s">
        <v>815</v>
      </c>
      <c r="IY138" s="12" t="s">
        <v>815</v>
      </c>
      <c r="IZ138" s="2" t="s">
        <v>816</v>
      </c>
    </row>
    <row r="139" spans="1:260" ht="13.2" x14ac:dyDescent="0.25">
      <c r="A139" s="10" t="s">
        <v>274</v>
      </c>
      <c r="B139" s="2" t="s">
        <v>1033</v>
      </c>
      <c r="C139" s="2" t="s">
        <v>276</v>
      </c>
      <c r="D139" s="2" t="s">
        <v>373</v>
      </c>
      <c r="E139" s="2">
        <v>35</v>
      </c>
      <c r="F139" s="11" t="s">
        <v>1034</v>
      </c>
      <c r="G139" s="11" t="s">
        <v>1035</v>
      </c>
      <c r="H139" s="2" t="s">
        <v>1036</v>
      </c>
      <c r="I139" s="3">
        <v>2</v>
      </c>
      <c r="J139" s="3">
        <v>2</v>
      </c>
      <c r="K139" s="3">
        <v>2</v>
      </c>
      <c r="L139" s="3">
        <v>3</v>
      </c>
      <c r="M139" s="3">
        <v>3</v>
      </c>
      <c r="N139" s="3">
        <v>1</v>
      </c>
      <c r="O139" s="3">
        <v>1</v>
      </c>
      <c r="P139" s="3">
        <v>2</v>
      </c>
      <c r="Q139" s="3">
        <v>1</v>
      </c>
      <c r="R139" s="12" t="s">
        <v>815</v>
      </c>
      <c r="S139" s="12" t="s">
        <v>815</v>
      </c>
      <c r="T139" s="12" t="s">
        <v>815</v>
      </c>
      <c r="U139" s="12" t="s">
        <v>815</v>
      </c>
      <c r="V139" s="12" t="s">
        <v>815</v>
      </c>
      <c r="W139" s="12" t="s">
        <v>815</v>
      </c>
      <c r="X139" s="12" t="s">
        <v>815</v>
      </c>
      <c r="Y139" s="12" t="s">
        <v>815</v>
      </c>
      <c r="Z139" s="3">
        <v>1</v>
      </c>
      <c r="AA139" s="3">
        <v>1</v>
      </c>
      <c r="AB139" s="3">
        <v>1</v>
      </c>
      <c r="AC139" s="3">
        <v>1</v>
      </c>
      <c r="AD139" s="12" t="s">
        <v>815</v>
      </c>
      <c r="AE139" s="12" t="s">
        <v>815</v>
      </c>
      <c r="AF139" s="3">
        <v>2</v>
      </c>
      <c r="AG139" s="12" t="s">
        <v>815</v>
      </c>
      <c r="AH139" s="12" t="s">
        <v>815</v>
      </c>
      <c r="AI139" s="3">
        <v>2</v>
      </c>
      <c r="AJ139" s="3">
        <v>2</v>
      </c>
      <c r="AK139" s="3">
        <v>1</v>
      </c>
      <c r="AL139" s="12" t="s">
        <v>815</v>
      </c>
      <c r="AM139" s="3">
        <v>2</v>
      </c>
      <c r="AN139" s="12" t="s">
        <v>815</v>
      </c>
      <c r="AO139" s="3">
        <v>3</v>
      </c>
      <c r="AP139" s="12" t="s">
        <v>815</v>
      </c>
      <c r="AQ139" s="12" t="s">
        <v>815</v>
      </c>
      <c r="AR139" s="12" t="s">
        <v>815</v>
      </c>
      <c r="AS139" s="12" t="s">
        <v>815</v>
      </c>
      <c r="AT139" s="12" t="s">
        <v>815</v>
      </c>
      <c r="AU139" s="3">
        <v>1</v>
      </c>
      <c r="AV139" s="3">
        <v>1</v>
      </c>
      <c r="AW139" s="3">
        <v>1</v>
      </c>
      <c r="AX139" s="12" t="s">
        <v>815</v>
      </c>
      <c r="AY139" s="3">
        <v>2</v>
      </c>
      <c r="AZ139" s="3">
        <v>2</v>
      </c>
      <c r="BA139" s="3">
        <v>1</v>
      </c>
      <c r="BB139" s="3">
        <v>1</v>
      </c>
      <c r="BC139" s="12" t="s">
        <v>815</v>
      </c>
      <c r="BD139" s="3">
        <v>2</v>
      </c>
      <c r="BE139" s="3">
        <v>1</v>
      </c>
      <c r="BF139" s="12" t="s">
        <v>815</v>
      </c>
      <c r="BG139" s="12" t="s">
        <v>815</v>
      </c>
      <c r="BH139" s="12" t="s">
        <v>815</v>
      </c>
      <c r="BI139" s="12" t="s">
        <v>815</v>
      </c>
      <c r="BJ139" s="12" t="s">
        <v>815</v>
      </c>
      <c r="BK139" s="12" t="s">
        <v>815</v>
      </c>
      <c r="BL139" s="12" t="s">
        <v>815</v>
      </c>
      <c r="BM139" s="3" t="s">
        <v>1037</v>
      </c>
      <c r="BN139" s="3">
        <v>2</v>
      </c>
      <c r="BO139" s="3">
        <v>1</v>
      </c>
      <c r="BP139" s="3">
        <v>1</v>
      </c>
      <c r="BQ139" s="3">
        <v>1</v>
      </c>
      <c r="BR139" s="3">
        <v>1</v>
      </c>
      <c r="BS139" s="3">
        <v>2</v>
      </c>
      <c r="BT139" s="3" t="s">
        <v>274</v>
      </c>
      <c r="BU139" s="11" t="s">
        <v>815</v>
      </c>
      <c r="BV139" s="2">
        <v>1</v>
      </c>
      <c r="BW139" s="2">
        <v>2</v>
      </c>
      <c r="BX139" s="11" t="s">
        <v>815</v>
      </c>
      <c r="BY139" s="11" t="s">
        <v>815</v>
      </c>
      <c r="BZ139" s="11" t="s">
        <v>815</v>
      </c>
      <c r="CA139" s="11" t="s">
        <v>815</v>
      </c>
      <c r="CB139" s="11" t="s">
        <v>815</v>
      </c>
      <c r="CC139" s="11" t="s">
        <v>815</v>
      </c>
      <c r="CD139" s="11" t="s">
        <v>815</v>
      </c>
      <c r="CE139" s="11" t="s">
        <v>815</v>
      </c>
      <c r="CF139" s="11" t="s">
        <v>815</v>
      </c>
      <c r="CG139" s="11" t="s">
        <v>815</v>
      </c>
      <c r="CH139" s="11" t="s">
        <v>815</v>
      </c>
      <c r="CI139" s="11" t="s">
        <v>815</v>
      </c>
      <c r="CJ139" s="11" t="s">
        <v>815</v>
      </c>
      <c r="CK139" s="11" t="s">
        <v>815</v>
      </c>
      <c r="CL139" s="2">
        <v>1</v>
      </c>
      <c r="CM139" s="11" t="s">
        <v>815</v>
      </c>
      <c r="CN139" s="11" t="s">
        <v>815</v>
      </c>
      <c r="CO139" s="11" t="s">
        <v>815</v>
      </c>
      <c r="CP139" s="11" t="s">
        <v>815</v>
      </c>
      <c r="CQ139" s="2">
        <v>1</v>
      </c>
      <c r="CR139" s="11" t="s">
        <v>815</v>
      </c>
      <c r="CS139" s="2">
        <v>1</v>
      </c>
      <c r="CT139" s="11" t="s">
        <v>815</v>
      </c>
      <c r="CU139" s="11" t="s">
        <v>815</v>
      </c>
      <c r="CV139" s="11" t="s">
        <v>815</v>
      </c>
      <c r="CW139" s="11" t="s">
        <v>815</v>
      </c>
      <c r="CX139" s="11" t="s">
        <v>815</v>
      </c>
      <c r="CY139" s="11" t="s">
        <v>815</v>
      </c>
      <c r="CZ139" s="11" t="s">
        <v>815</v>
      </c>
      <c r="DA139" s="11" t="s">
        <v>815</v>
      </c>
      <c r="DB139" s="11" t="s">
        <v>815</v>
      </c>
      <c r="DC139" s="11" t="s">
        <v>815</v>
      </c>
      <c r="DD139" s="11" t="s">
        <v>815</v>
      </c>
      <c r="DE139" s="11" t="s">
        <v>815</v>
      </c>
      <c r="DF139" s="11" t="s">
        <v>815</v>
      </c>
      <c r="DG139" s="2">
        <v>1</v>
      </c>
      <c r="DH139" s="2">
        <v>1</v>
      </c>
      <c r="DI139" s="11" t="s">
        <v>815</v>
      </c>
      <c r="DJ139" s="11" t="s">
        <v>815</v>
      </c>
      <c r="DK139" s="11" t="s">
        <v>815</v>
      </c>
      <c r="DL139" s="2">
        <v>1</v>
      </c>
      <c r="DM139" s="11" t="s">
        <v>815</v>
      </c>
      <c r="DN139" s="11" t="s">
        <v>815</v>
      </c>
      <c r="DO139" s="11" t="s">
        <v>815</v>
      </c>
      <c r="DP139" s="11" t="s">
        <v>815</v>
      </c>
      <c r="DQ139" s="2">
        <v>1</v>
      </c>
      <c r="DR139" s="2">
        <v>1</v>
      </c>
      <c r="DS139" s="11" t="s">
        <v>815</v>
      </c>
      <c r="DT139" s="11" t="s">
        <v>815</v>
      </c>
      <c r="DU139" s="11" t="s">
        <v>815</v>
      </c>
      <c r="DV139" s="11" t="s">
        <v>815</v>
      </c>
      <c r="DW139" s="11" t="s">
        <v>815</v>
      </c>
      <c r="DX139" s="2">
        <v>2</v>
      </c>
      <c r="DY139" s="2">
        <v>2</v>
      </c>
      <c r="DZ139" s="2">
        <v>1</v>
      </c>
      <c r="EA139" s="11" t="s">
        <v>815</v>
      </c>
      <c r="EB139" s="11" t="s">
        <v>815</v>
      </c>
      <c r="EC139" s="11" t="s">
        <v>815</v>
      </c>
      <c r="ED139" s="2">
        <v>1</v>
      </c>
      <c r="EE139" s="11" t="s">
        <v>815</v>
      </c>
      <c r="EF139" s="11" t="s">
        <v>815</v>
      </c>
      <c r="EG139" s="11" t="s">
        <v>815</v>
      </c>
      <c r="EH139" s="11" t="s">
        <v>815</v>
      </c>
      <c r="EI139" s="2">
        <v>1</v>
      </c>
      <c r="EJ139" s="11" t="s">
        <v>815</v>
      </c>
      <c r="EK139" s="2">
        <v>2</v>
      </c>
      <c r="EL139" s="11" t="s">
        <v>815</v>
      </c>
      <c r="EM139" s="11" t="s">
        <v>815</v>
      </c>
      <c r="EN139" s="2">
        <v>1</v>
      </c>
      <c r="EO139" s="2">
        <v>1</v>
      </c>
      <c r="EP139" s="2">
        <v>2</v>
      </c>
      <c r="EQ139" s="11" t="s">
        <v>815</v>
      </c>
      <c r="ER139" s="11" t="s">
        <v>815</v>
      </c>
      <c r="ES139" s="11" t="s">
        <v>815</v>
      </c>
      <c r="ET139" s="11" t="s">
        <v>815</v>
      </c>
      <c r="EU139" s="11" t="s">
        <v>815</v>
      </c>
      <c r="EV139" s="11" t="s">
        <v>815</v>
      </c>
      <c r="EW139" s="2">
        <v>2</v>
      </c>
      <c r="EX139" s="2">
        <v>3</v>
      </c>
      <c r="EY139" s="2">
        <v>1</v>
      </c>
      <c r="EZ139" s="2">
        <v>1</v>
      </c>
      <c r="FA139" s="11" t="s">
        <v>815</v>
      </c>
      <c r="FB139" s="11" t="s">
        <v>815</v>
      </c>
      <c r="FC139" s="11" t="s">
        <v>815</v>
      </c>
      <c r="FD139" s="11" t="s">
        <v>815</v>
      </c>
      <c r="FE139" s="11" t="s">
        <v>815</v>
      </c>
      <c r="FF139" s="11" t="s">
        <v>815</v>
      </c>
      <c r="FG139" s="11" t="s">
        <v>815</v>
      </c>
      <c r="FH139" s="11" t="s">
        <v>815</v>
      </c>
      <c r="FI139" s="11" t="s">
        <v>815</v>
      </c>
      <c r="FJ139" s="11" t="s">
        <v>815</v>
      </c>
      <c r="FK139" s="11" t="s">
        <v>815</v>
      </c>
      <c r="FL139" s="11" t="s">
        <v>815</v>
      </c>
      <c r="FM139" s="2">
        <v>1</v>
      </c>
      <c r="FN139" s="11" t="s">
        <v>815</v>
      </c>
      <c r="FO139" s="11" t="s">
        <v>815</v>
      </c>
      <c r="FP139" s="2">
        <v>1</v>
      </c>
      <c r="FQ139" s="2">
        <v>1</v>
      </c>
      <c r="FR139" s="2">
        <v>1</v>
      </c>
      <c r="FS139" s="11" t="s">
        <v>815</v>
      </c>
      <c r="FT139" s="11" t="s">
        <v>815</v>
      </c>
      <c r="FU139" s="11" t="s">
        <v>815</v>
      </c>
      <c r="FV139" s="11" t="s">
        <v>815</v>
      </c>
      <c r="FW139" s="11" t="s">
        <v>815</v>
      </c>
      <c r="FX139" s="11" t="s">
        <v>815</v>
      </c>
      <c r="FY139" s="11" t="s">
        <v>815</v>
      </c>
      <c r="FZ139" s="11" t="s">
        <v>815</v>
      </c>
      <c r="GA139" s="11" t="s">
        <v>815</v>
      </c>
      <c r="GB139" s="11" t="s">
        <v>815</v>
      </c>
      <c r="GC139" s="2" t="s">
        <v>274</v>
      </c>
      <c r="GD139" s="11" t="s">
        <v>815</v>
      </c>
      <c r="GE139" s="11" t="s">
        <v>815</v>
      </c>
      <c r="GF139" s="11" t="s">
        <v>815</v>
      </c>
      <c r="GG139" s="2">
        <v>2</v>
      </c>
      <c r="GH139" s="2">
        <v>2</v>
      </c>
      <c r="GI139" s="2">
        <v>1</v>
      </c>
      <c r="GJ139" s="11" t="s">
        <v>815</v>
      </c>
      <c r="GK139" s="11" t="s">
        <v>815</v>
      </c>
      <c r="GL139" s="11" t="s">
        <v>815</v>
      </c>
      <c r="GM139" s="11" t="s">
        <v>815</v>
      </c>
      <c r="GN139" s="3">
        <v>2</v>
      </c>
      <c r="GO139" s="3">
        <v>1</v>
      </c>
      <c r="GP139" s="3">
        <v>1</v>
      </c>
      <c r="GQ139" s="12" t="s">
        <v>815</v>
      </c>
      <c r="GR139" s="12" t="s">
        <v>815</v>
      </c>
      <c r="GS139" s="12" t="s">
        <v>815</v>
      </c>
      <c r="GT139" s="12" t="s">
        <v>815</v>
      </c>
      <c r="GU139" s="3">
        <v>2</v>
      </c>
      <c r="GV139" s="3">
        <v>1</v>
      </c>
      <c r="GW139" s="12" t="s">
        <v>815</v>
      </c>
      <c r="GX139" s="12" t="s">
        <v>815</v>
      </c>
      <c r="GY139" s="3">
        <v>1</v>
      </c>
      <c r="GZ139" s="3">
        <v>1</v>
      </c>
      <c r="HA139" s="12" t="s">
        <v>815</v>
      </c>
      <c r="HB139" s="3">
        <v>2</v>
      </c>
      <c r="HC139" s="12" t="s">
        <v>815</v>
      </c>
      <c r="HD139" s="12" t="s">
        <v>815</v>
      </c>
      <c r="HE139" s="12" t="s">
        <v>815</v>
      </c>
      <c r="HF139" s="12" t="s">
        <v>815</v>
      </c>
      <c r="HG139" s="12" t="s">
        <v>815</v>
      </c>
      <c r="HH139" s="12" t="s">
        <v>815</v>
      </c>
      <c r="HI139" s="12" t="s">
        <v>815</v>
      </c>
      <c r="HJ139" s="3">
        <v>1</v>
      </c>
      <c r="HK139" s="3">
        <v>1</v>
      </c>
      <c r="HL139" s="12" t="s">
        <v>815</v>
      </c>
      <c r="HM139" s="12" t="s">
        <v>815</v>
      </c>
      <c r="HN139" s="12" t="s">
        <v>815</v>
      </c>
      <c r="HO139" s="12" t="s">
        <v>815</v>
      </c>
      <c r="HP139" s="3">
        <v>2</v>
      </c>
      <c r="HQ139" s="12" t="s">
        <v>815</v>
      </c>
      <c r="HR139" s="12" t="s">
        <v>815</v>
      </c>
      <c r="HS139" s="12" t="s">
        <v>815</v>
      </c>
      <c r="HT139" s="12" t="s">
        <v>815</v>
      </c>
      <c r="HU139" s="12" t="s">
        <v>815</v>
      </c>
      <c r="HV139" s="3">
        <v>1</v>
      </c>
      <c r="HW139" s="3">
        <v>2</v>
      </c>
      <c r="HX139" s="12" t="s">
        <v>815</v>
      </c>
      <c r="HY139" s="12" t="s">
        <v>815</v>
      </c>
      <c r="HZ139" s="12" t="s">
        <v>815</v>
      </c>
      <c r="IA139" s="3">
        <v>2</v>
      </c>
      <c r="IB139" s="3">
        <v>2</v>
      </c>
      <c r="IC139" s="3">
        <v>1</v>
      </c>
      <c r="ID139" s="12" t="s">
        <v>815</v>
      </c>
      <c r="IE139" s="12" t="s">
        <v>815</v>
      </c>
      <c r="IF139" s="12" t="s">
        <v>815</v>
      </c>
      <c r="IG139" s="12" t="s">
        <v>815</v>
      </c>
      <c r="IH139" s="12" t="s">
        <v>815</v>
      </c>
      <c r="II139" s="12" t="s">
        <v>815</v>
      </c>
      <c r="IJ139" s="3">
        <v>1</v>
      </c>
      <c r="IK139" s="12" t="s">
        <v>815</v>
      </c>
      <c r="IL139" s="12" t="s">
        <v>815</v>
      </c>
      <c r="IM139" s="12" t="s">
        <v>815</v>
      </c>
      <c r="IN139" s="12" t="s">
        <v>815</v>
      </c>
      <c r="IO139" s="12" t="s">
        <v>815</v>
      </c>
      <c r="IP139" s="12" t="s">
        <v>815</v>
      </c>
      <c r="IQ139" s="3">
        <v>1</v>
      </c>
      <c r="IR139" s="3" t="s">
        <v>274</v>
      </c>
      <c r="IS139" s="3">
        <v>2</v>
      </c>
      <c r="IT139" s="12" t="s">
        <v>815</v>
      </c>
      <c r="IU139" s="3">
        <v>2</v>
      </c>
      <c r="IV139" s="3">
        <v>3</v>
      </c>
      <c r="IW139" s="3">
        <v>1</v>
      </c>
      <c r="IX139" s="12" t="s">
        <v>815</v>
      </c>
      <c r="IY139" s="12" t="s">
        <v>815</v>
      </c>
      <c r="IZ139" s="2" t="s">
        <v>816</v>
      </c>
    </row>
    <row r="140" spans="1:260" ht="13.2" x14ac:dyDescent="0.25">
      <c r="A140" s="10" t="s">
        <v>274</v>
      </c>
      <c r="B140" s="2" t="s">
        <v>1038</v>
      </c>
      <c r="C140" s="2" t="s">
        <v>276</v>
      </c>
      <c r="D140" s="2" t="s">
        <v>262</v>
      </c>
      <c r="E140" s="2">
        <v>48</v>
      </c>
      <c r="F140" s="11" t="s">
        <v>1039</v>
      </c>
      <c r="G140" s="11" t="s">
        <v>1035</v>
      </c>
      <c r="H140" s="2" t="s">
        <v>1040</v>
      </c>
      <c r="I140" s="12" t="s">
        <v>815</v>
      </c>
      <c r="J140" s="12" t="s">
        <v>815</v>
      </c>
      <c r="K140" s="3">
        <v>3</v>
      </c>
      <c r="L140" s="12" t="s">
        <v>815</v>
      </c>
      <c r="M140" s="12" t="s">
        <v>815</v>
      </c>
      <c r="N140" s="12" t="s">
        <v>815</v>
      </c>
      <c r="O140" s="12" t="s">
        <v>815</v>
      </c>
      <c r="P140" s="12" t="s">
        <v>815</v>
      </c>
      <c r="Q140" s="12" t="s">
        <v>815</v>
      </c>
      <c r="R140" s="12" t="s">
        <v>815</v>
      </c>
      <c r="S140" s="12" t="s">
        <v>815</v>
      </c>
      <c r="T140" s="12" t="s">
        <v>815</v>
      </c>
      <c r="U140" s="12" t="s">
        <v>815</v>
      </c>
      <c r="V140" s="12" t="s">
        <v>815</v>
      </c>
      <c r="W140" s="12" t="s">
        <v>815</v>
      </c>
      <c r="X140" s="12" t="s">
        <v>815</v>
      </c>
      <c r="Y140" s="12" t="s">
        <v>815</v>
      </c>
      <c r="Z140" s="12" t="s">
        <v>815</v>
      </c>
      <c r="AA140" s="12" t="s">
        <v>815</v>
      </c>
      <c r="AB140" s="12" t="s">
        <v>815</v>
      </c>
      <c r="AC140" s="12" t="s">
        <v>815</v>
      </c>
      <c r="AD140" s="12" t="s">
        <v>815</v>
      </c>
      <c r="AE140" s="12" t="s">
        <v>815</v>
      </c>
      <c r="AF140" s="12" t="s">
        <v>815</v>
      </c>
      <c r="AG140" s="12" t="s">
        <v>815</v>
      </c>
      <c r="AH140" s="12" t="s">
        <v>815</v>
      </c>
      <c r="AI140" s="12" t="s">
        <v>815</v>
      </c>
      <c r="AJ140" s="12" t="s">
        <v>815</v>
      </c>
      <c r="AK140" s="12" t="s">
        <v>815</v>
      </c>
      <c r="AL140" s="12" t="s">
        <v>815</v>
      </c>
      <c r="AM140" s="12" t="s">
        <v>815</v>
      </c>
      <c r="AN140" s="12" t="s">
        <v>815</v>
      </c>
      <c r="AO140" s="12" t="s">
        <v>815</v>
      </c>
      <c r="AP140" s="12" t="s">
        <v>815</v>
      </c>
      <c r="AQ140" s="12" t="s">
        <v>815</v>
      </c>
      <c r="AR140" s="12" t="s">
        <v>815</v>
      </c>
      <c r="AS140" s="12" t="s">
        <v>815</v>
      </c>
      <c r="AT140" s="12" t="s">
        <v>815</v>
      </c>
      <c r="AU140" s="12" t="s">
        <v>815</v>
      </c>
      <c r="AV140" s="12" t="s">
        <v>815</v>
      </c>
      <c r="AW140" s="3">
        <v>1</v>
      </c>
      <c r="AX140" s="12" t="s">
        <v>815</v>
      </c>
      <c r="AY140" s="3">
        <v>1</v>
      </c>
      <c r="AZ140" s="3">
        <v>1</v>
      </c>
      <c r="BA140" s="12" t="s">
        <v>815</v>
      </c>
      <c r="BB140" s="3">
        <v>1</v>
      </c>
      <c r="BC140" s="12" t="s">
        <v>815</v>
      </c>
      <c r="BD140" s="3">
        <v>3</v>
      </c>
      <c r="BE140" s="12" t="s">
        <v>815</v>
      </c>
      <c r="BF140" s="12" t="s">
        <v>815</v>
      </c>
      <c r="BG140" s="12" t="s">
        <v>815</v>
      </c>
      <c r="BH140" s="12" t="s">
        <v>815</v>
      </c>
      <c r="BI140" s="12" t="s">
        <v>815</v>
      </c>
      <c r="BJ140" s="12" t="s">
        <v>815</v>
      </c>
      <c r="BK140" s="12" t="s">
        <v>815</v>
      </c>
      <c r="BL140" s="12" t="s">
        <v>815</v>
      </c>
      <c r="BM140" s="3" t="s">
        <v>274</v>
      </c>
      <c r="BN140" s="12" t="s">
        <v>815</v>
      </c>
      <c r="BO140" s="12" t="s">
        <v>815</v>
      </c>
      <c r="BP140" s="12" t="s">
        <v>815</v>
      </c>
      <c r="BQ140" s="12" t="s">
        <v>815</v>
      </c>
      <c r="BR140" s="12" t="s">
        <v>815</v>
      </c>
      <c r="BS140" s="12" t="s">
        <v>815</v>
      </c>
      <c r="BT140" s="12" t="s">
        <v>815</v>
      </c>
      <c r="BU140" s="11" t="s">
        <v>815</v>
      </c>
      <c r="BV140" s="11" t="s">
        <v>815</v>
      </c>
      <c r="BW140" s="11" t="s">
        <v>815</v>
      </c>
      <c r="BX140" s="11" t="s">
        <v>815</v>
      </c>
      <c r="BY140" s="11" t="s">
        <v>815</v>
      </c>
      <c r="BZ140" s="11" t="s">
        <v>815</v>
      </c>
      <c r="CA140" s="11" t="s">
        <v>815</v>
      </c>
      <c r="CB140" s="2">
        <v>3</v>
      </c>
      <c r="CC140" s="2">
        <v>1</v>
      </c>
      <c r="CD140" s="11" t="s">
        <v>815</v>
      </c>
      <c r="CE140" s="2">
        <v>3</v>
      </c>
      <c r="CF140" s="11" t="s">
        <v>815</v>
      </c>
      <c r="CG140" s="11" t="s">
        <v>815</v>
      </c>
      <c r="CH140" s="11" t="s">
        <v>815</v>
      </c>
      <c r="CI140" s="11" t="s">
        <v>815</v>
      </c>
      <c r="CJ140" s="11" t="s">
        <v>815</v>
      </c>
      <c r="CK140" s="11" t="s">
        <v>815</v>
      </c>
      <c r="CL140" s="11" t="s">
        <v>815</v>
      </c>
      <c r="CM140" s="11" t="s">
        <v>815</v>
      </c>
      <c r="CN140" s="11" t="s">
        <v>815</v>
      </c>
      <c r="CO140" s="11" t="s">
        <v>815</v>
      </c>
      <c r="CP140" s="11" t="s">
        <v>815</v>
      </c>
      <c r="CQ140" s="2">
        <v>1</v>
      </c>
      <c r="CR140" s="11" t="s">
        <v>815</v>
      </c>
      <c r="CS140" s="11" t="s">
        <v>815</v>
      </c>
      <c r="CT140" s="11" t="s">
        <v>815</v>
      </c>
      <c r="CU140" s="11" t="s">
        <v>815</v>
      </c>
      <c r="CV140" s="11" t="s">
        <v>815</v>
      </c>
      <c r="CW140" s="11" t="s">
        <v>815</v>
      </c>
      <c r="CX140" s="11" t="s">
        <v>815</v>
      </c>
      <c r="CY140" s="11" t="s">
        <v>815</v>
      </c>
      <c r="CZ140" s="11" t="s">
        <v>815</v>
      </c>
      <c r="DA140" s="11" t="s">
        <v>815</v>
      </c>
      <c r="DB140" s="11" t="s">
        <v>815</v>
      </c>
      <c r="DC140" s="11" t="s">
        <v>815</v>
      </c>
      <c r="DD140" s="11" t="s">
        <v>815</v>
      </c>
      <c r="DE140" s="11" t="s">
        <v>815</v>
      </c>
      <c r="DF140" s="11" t="s">
        <v>815</v>
      </c>
      <c r="DG140" s="2">
        <v>1</v>
      </c>
      <c r="DH140" s="11" t="s">
        <v>815</v>
      </c>
      <c r="DI140" s="11" t="s">
        <v>815</v>
      </c>
      <c r="DJ140" s="11" t="s">
        <v>815</v>
      </c>
      <c r="DK140" s="11" t="s">
        <v>815</v>
      </c>
      <c r="DL140" s="11" t="s">
        <v>815</v>
      </c>
      <c r="DM140" s="11" t="s">
        <v>815</v>
      </c>
      <c r="DN140" s="11" t="s">
        <v>815</v>
      </c>
      <c r="DO140" s="11" t="s">
        <v>815</v>
      </c>
      <c r="DP140" s="11" t="s">
        <v>815</v>
      </c>
      <c r="DQ140" s="11" t="s">
        <v>815</v>
      </c>
      <c r="DR140" s="11" t="s">
        <v>815</v>
      </c>
      <c r="DS140" s="11" t="s">
        <v>815</v>
      </c>
      <c r="DT140" s="11" t="s">
        <v>815</v>
      </c>
      <c r="DU140" s="11" t="s">
        <v>815</v>
      </c>
      <c r="DV140" s="11" t="s">
        <v>815</v>
      </c>
      <c r="DW140" s="2">
        <v>2</v>
      </c>
      <c r="DX140" s="11" t="s">
        <v>815</v>
      </c>
      <c r="DY140" s="11" t="s">
        <v>815</v>
      </c>
      <c r="DZ140" s="11" t="s">
        <v>815</v>
      </c>
      <c r="EA140" s="11" t="s">
        <v>815</v>
      </c>
      <c r="EB140" s="11" t="s">
        <v>815</v>
      </c>
      <c r="EC140" s="11" t="s">
        <v>815</v>
      </c>
      <c r="ED140" s="11" t="s">
        <v>815</v>
      </c>
      <c r="EE140" s="11" t="s">
        <v>815</v>
      </c>
      <c r="EF140" s="11" t="s">
        <v>815</v>
      </c>
      <c r="EG140" s="2">
        <v>1</v>
      </c>
      <c r="EH140" s="11" t="s">
        <v>815</v>
      </c>
      <c r="EI140" s="11" t="s">
        <v>815</v>
      </c>
      <c r="EJ140" s="11" t="s">
        <v>815</v>
      </c>
      <c r="EK140" s="11" t="s">
        <v>815</v>
      </c>
      <c r="EL140" s="11" t="s">
        <v>815</v>
      </c>
      <c r="EM140" s="11" t="s">
        <v>815</v>
      </c>
      <c r="EN140" s="11" t="s">
        <v>815</v>
      </c>
      <c r="EO140" s="11" t="s">
        <v>815</v>
      </c>
      <c r="EP140" s="11" t="s">
        <v>815</v>
      </c>
      <c r="EQ140" s="11" t="s">
        <v>815</v>
      </c>
      <c r="ER140" s="11" t="s">
        <v>815</v>
      </c>
      <c r="ES140" s="11" t="s">
        <v>815</v>
      </c>
      <c r="ET140" s="11" t="s">
        <v>815</v>
      </c>
      <c r="EU140" s="11" t="s">
        <v>815</v>
      </c>
      <c r="EV140" s="11" t="s">
        <v>815</v>
      </c>
      <c r="EW140" s="11" t="s">
        <v>815</v>
      </c>
      <c r="EX140" s="11" t="s">
        <v>815</v>
      </c>
      <c r="EY140" s="11" t="s">
        <v>815</v>
      </c>
      <c r="EZ140" s="11" t="s">
        <v>815</v>
      </c>
      <c r="FA140" s="11" t="s">
        <v>815</v>
      </c>
      <c r="FB140" s="11" t="s">
        <v>815</v>
      </c>
      <c r="FC140" s="11" t="s">
        <v>815</v>
      </c>
      <c r="FD140" s="2">
        <v>1</v>
      </c>
      <c r="FE140" s="11" t="s">
        <v>815</v>
      </c>
      <c r="FF140" s="11" t="s">
        <v>815</v>
      </c>
      <c r="FG140" s="11" t="s">
        <v>815</v>
      </c>
      <c r="FH140" s="11" t="s">
        <v>815</v>
      </c>
      <c r="FI140" s="11" t="s">
        <v>815</v>
      </c>
      <c r="FJ140" s="11" t="s">
        <v>815</v>
      </c>
      <c r="FK140" s="11" t="s">
        <v>815</v>
      </c>
      <c r="FL140" s="11" t="s">
        <v>815</v>
      </c>
      <c r="FM140" s="11" t="s">
        <v>815</v>
      </c>
      <c r="FN140" s="2">
        <v>1</v>
      </c>
      <c r="FO140" s="11" t="s">
        <v>815</v>
      </c>
      <c r="FP140" s="11" t="s">
        <v>815</v>
      </c>
      <c r="FQ140" s="11" t="s">
        <v>815</v>
      </c>
      <c r="FR140" s="11" t="s">
        <v>815</v>
      </c>
      <c r="FS140" s="11" t="s">
        <v>815</v>
      </c>
      <c r="FT140" s="11" t="s">
        <v>815</v>
      </c>
      <c r="FU140" s="11" t="s">
        <v>815</v>
      </c>
      <c r="FV140" s="11" t="s">
        <v>815</v>
      </c>
      <c r="FW140" s="2">
        <v>1</v>
      </c>
      <c r="FX140" s="11" t="s">
        <v>815</v>
      </c>
      <c r="FY140" s="11" t="s">
        <v>815</v>
      </c>
      <c r="FZ140" s="11" t="s">
        <v>815</v>
      </c>
      <c r="GA140" s="11" t="s">
        <v>815</v>
      </c>
      <c r="GB140" s="2">
        <v>1</v>
      </c>
      <c r="GC140" s="2" t="s">
        <v>274</v>
      </c>
      <c r="GD140" s="2" t="s">
        <v>274</v>
      </c>
      <c r="GE140" s="2" t="s">
        <v>274</v>
      </c>
      <c r="GF140" s="2" t="s">
        <v>274</v>
      </c>
      <c r="GG140" s="2" t="s">
        <v>274</v>
      </c>
      <c r="GH140" s="2" t="s">
        <v>274</v>
      </c>
      <c r="GI140" s="2" t="s">
        <v>274</v>
      </c>
      <c r="GJ140" s="2" t="s">
        <v>274</v>
      </c>
      <c r="GK140" s="2" t="s">
        <v>274</v>
      </c>
      <c r="GL140" s="2" t="s">
        <v>274</v>
      </c>
      <c r="GM140" s="2" t="s">
        <v>274</v>
      </c>
      <c r="GN140" s="12" t="s">
        <v>815</v>
      </c>
      <c r="GO140" s="12" t="s">
        <v>815</v>
      </c>
      <c r="GP140" s="12" t="s">
        <v>815</v>
      </c>
      <c r="GQ140" s="12" t="s">
        <v>815</v>
      </c>
      <c r="GR140" s="12" t="s">
        <v>815</v>
      </c>
      <c r="GS140" s="12" t="s">
        <v>815</v>
      </c>
      <c r="GT140" s="12" t="s">
        <v>815</v>
      </c>
      <c r="GU140" s="3">
        <v>1</v>
      </c>
      <c r="GV140" s="12" t="s">
        <v>815</v>
      </c>
      <c r="GW140" s="12" t="s">
        <v>815</v>
      </c>
      <c r="GX140" s="12" t="s">
        <v>815</v>
      </c>
      <c r="GY140" s="3">
        <v>1</v>
      </c>
      <c r="GZ140" s="12" t="s">
        <v>815</v>
      </c>
      <c r="HA140" s="12" t="s">
        <v>815</v>
      </c>
      <c r="HB140" s="12" t="s">
        <v>815</v>
      </c>
      <c r="HC140" s="12" t="s">
        <v>815</v>
      </c>
      <c r="HD140" s="12" t="s">
        <v>815</v>
      </c>
      <c r="HE140" s="12" t="s">
        <v>815</v>
      </c>
      <c r="HF140" s="12" t="s">
        <v>815</v>
      </c>
      <c r="HG140" s="12" t="s">
        <v>815</v>
      </c>
      <c r="HH140" s="12" t="s">
        <v>815</v>
      </c>
      <c r="HI140" s="12" t="s">
        <v>815</v>
      </c>
      <c r="HJ140" s="12" t="s">
        <v>815</v>
      </c>
      <c r="HK140" s="12" t="s">
        <v>815</v>
      </c>
      <c r="HL140" s="12" t="s">
        <v>815</v>
      </c>
      <c r="HM140" s="12" t="s">
        <v>815</v>
      </c>
      <c r="HN140" s="12" t="s">
        <v>815</v>
      </c>
      <c r="HO140" s="12" t="s">
        <v>815</v>
      </c>
      <c r="HP140" s="12" t="s">
        <v>815</v>
      </c>
      <c r="HQ140" s="12" t="s">
        <v>815</v>
      </c>
      <c r="HR140" s="12" t="s">
        <v>815</v>
      </c>
      <c r="HS140" s="12" t="s">
        <v>815</v>
      </c>
      <c r="HT140" s="12" t="s">
        <v>815</v>
      </c>
      <c r="HU140" s="12" t="s">
        <v>815</v>
      </c>
      <c r="HV140" s="12" t="s">
        <v>815</v>
      </c>
      <c r="HW140" s="12" t="s">
        <v>815</v>
      </c>
      <c r="HX140" s="12" t="s">
        <v>815</v>
      </c>
      <c r="HY140" s="12" t="s">
        <v>815</v>
      </c>
      <c r="HZ140" s="12" t="s">
        <v>815</v>
      </c>
      <c r="IA140" s="12" t="s">
        <v>815</v>
      </c>
      <c r="IB140" s="12" t="s">
        <v>815</v>
      </c>
      <c r="IC140" s="12" t="s">
        <v>815</v>
      </c>
      <c r="ID140" s="12" t="s">
        <v>815</v>
      </c>
      <c r="IE140" s="12" t="s">
        <v>815</v>
      </c>
      <c r="IF140" s="3">
        <v>2</v>
      </c>
      <c r="IG140" s="12" t="s">
        <v>815</v>
      </c>
      <c r="IH140" s="12" t="s">
        <v>815</v>
      </c>
      <c r="II140" s="12" t="s">
        <v>815</v>
      </c>
      <c r="IJ140" s="12" t="s">
        <v>815</v>
      </c>
      <c r="IK140" s="12" t="s">
        <v>815</v>
      </c>
      <c r="IL140" s="12" t="s">
        <v>815</v>
      </c>
      <c r="IM140" s="12" t="s">
        <v>815</v>
      </c>
      <c r="IN140" s="12" t="s">
        <v>815</v>
      </c>
      <c r="IO140" s="12" t="s">
        <v>815</v>
      </c>
      <c r="IP140" s="12" t="s">
        <v>815</v>
      </c>
      <c r="IQ140" s="12" t="s">
        <v>815</v>
      </c>
      <c r="IR140" s="3" t="s">
        <v>274</v>
      </c>
      <c r="IS140" s="12" t="s">
        <v>815</v>
      </c>
      <c r="IT140" s="12" t="s">
        <v>815</v>
      </c>
      <c r="IU140" s="12" t="s">
        <v>815</v>
      </c>
      <c r="IV140" s="12" t="s">
        <v>815</v>
      </c>
      <c r="IW140" s="12" t="s">
        <v>815</v>
      </c>
      <c r="IX140" s="12" t="s">
        <v>815</v>
      </c>
      <c r="IY140" s="12" t="s">
        <v>815</v>
      </c>
      <c r="IZ140" s="2" t="s">
        <v>816</v>
      </c>
    </row>
    <row r="141" spans="1:260" ht="13.2" x14ac:dyDescent="0.25">
      <c r="A141" s="10" t="s">
        <v>274</v>
      </c>
      <c r="B141" s="2" t="s">
        <v>1041</v>
      </c>
      <c r="C141" s="2" t="s">
        <v>276</v>
      </c>
      <c r="D141" s="2" t="s">
        <v>270</v>
      </c>
      <c r="E141" s="2">
        <v>19</v>
      </c>
      <c r="F141" s="11" t="s">
        <v>1042</v>
      </c>
      <c r="G141" s="11" t="s">
        <v>1043</v>
      </c>
      <c r="H141" s="2" t="s">
        <v>697</v>
      </c>
      <c r="I141" s="3">
        <v>2</v>
      </c>
      <c r="J141" s="3">
        <v>4</v>
      </c>
      <c r="K141" s="3">
        <v>4</v>
      </c>
      <c r="L141" s="3">
        <v>4</v>
      </c>
      <c r="M141" s="3">
        <v>4</v>
      </c>
      <c r="N141" s="12" t="s">
        <v>815</v>
      </c>
      <c r="O141" s="3">
        <v>4</v>
      </c>
      <c r="P141" s="3">
        <v>4</v>
      </c>
      <c r="Q141" s="3">
        <v>4</v>
      </c>
      <c r="R141" s="3">
        <v>4</v>
      </c>
      <c r="S141" s="3">
        <v>4</v>
      </c>
      <c r="T141" s="3">
        <v>4</v>
      </c>
      <c r="U141" s="3">
        <v>4</v>
      </c>
      <c r="V141" s="3">
        <v>4</v>
      </c>
      <c r="W141" s="3">
        <v>4</v>
      </c>
      <c r="X141" s="3">
        <v>4</v>
      </c>
      <c r="Y141" s="3">
        <v>4</v>
      </c>
      <c r="Z141" s="3">
        <v>4</v>
      </c>
      <c r="AA141" s="12" t="s">
        <v>815</v>
      </c>
      <c r="AB141" s="3">
        <v>2</v>
      </c>
      <c r="AC141" s="12" t="s">
        <v>815</v>
      </c>
      <c r="AD141" s="3">
        <v>4</v>
      </c>
      <c r="AE141" s="3">
        <v>1</v>
      </c>
      <c r="AF141" s="3">
        <v>1</v>
      </c>
      <c r="AG141" s="3">
        <v>4</v>
      </c>
      <c r="AH141" s="12" t="s">
        <v>815</v>
      </c>
      <c r="AI141" s="3">
        <v>1</v>
      </c>
      <c r="AJ141" s="3">
        <v>4</v>
      </c>
      <c r="AK141" s="3">
        <v>4</v>
      </c>
      <c r="AL141" s="3">
        <v>4</v>
      </c>
      <c r="AM141" s="3">
        <v>4</v>
      </c>
      <c r="AN141" s="3">
        <v>4</v>
      </c>
      <c r="AO141" s="3">
        <v>4</v>
      </c>
      <c r="AP141" s="3">
        <v>2</v>
      </c>
      <c r="AQ141" s="3">
        <v>4</v>
      </c>
      <c r="AR141" s="3">
        <v>4</v>
      </c>
      <c r="AS141" s="3">
        <v>4</v>
      </c>
      <c r="AT141" s="3">
        <v>4</v>
      </c>
      <c r="AU141" s="3">
        <v>4</v>
      </c>
      <c r="AV141" s="3">
        <v>4</v>
      </c>
      <c r="AW141" s="3">
        <v>4</v>
      </c>
      <c r="AX141" s="3">
        <v>4</v>
      </c>
      <c r="AY141" s="3">
        <v>4</v>
      </c>
      <c r="AZ141" s="3">
        <v>4</v>
      </c>
      <c r="BA141" s="3">
        <v>4</v>
      </c>
      <c r="BB141" s="3">
        <v>4</v>
      </c>
      <c r="BC141" s="3">
        <v>4</v>
      </c>
      <c r="BD141" s="3">
        <v>4</v>
      </c>
      <c r="BE141" s="3">
        <v>4</v>
      </c>
      <c r="BF141" s="3">
        <v>4</v>
      </c>
      <c r="BG141" s="3">
        <v>4</v>
      </c>
      <c r="BH141" s="3">
        <v>4</v>
      </c>
      <c r="BI141" s="3">
        <v>4</v>
      </c>
      <c r="BJ141" s="3">
        <v>4</v>
      </c>
      <c r="BK141" s="3">
        <v>4</v>
      </c>
      <c r="BL141" s="3">
        <v>4</v>
      </c>
      <c r="BM141" s="3" t="s">
        <v>1044</v>
      </c>
      <c r="BN141" s="3">
        <v>4</v>
      </c>
      <c r="BO141" s="3">
        <v>4</v>
      </c>
      <c r="BP141" s="3">
        <v>4</v>
      </c>
      <c r="BQ141" s="3">
        <v>4</v>
      </c>
      <c r="BR141" s="3">
        <v>4</v>
      </c>
      <c r="BS141" s="3">
        <v>4</v>
      </c>
      <c r="BT141" s="3">
        <v>4</v>
      </c>
      <c r="BU141" s="2">
        <v>4</v>
      </c>
      <c r="BV141" s="2">
        <v>4</v>
      </c>
      <c r="BW141" s="2">
        <v>4</v>
      </c>
      <c r="BX141" s="2">
        <v>4</v>
      </c>
      <c r="BY141" s="2">
        <v>4</v>
      </c>
      <c r="BZ141" s="2">
        <v>4</v>
      </c>
      <c r="CA141" s="2">
        <v>4</v>
      </c>
      <c r="CB141" s="2">
        <v>4</v>
      </c>
      <c r="CC141" s="2">
        <v>4</v>
      </c>
      <c r="CD141" s="2">
        <v>4</v>
      </c>
      <c r="CE141" s="2">
        <v>4</v>
      </c>
      <c r="CF141" s="2">
        <v>4</v>
      </c>
      <c r="CG141" s="2">
        <v>4</v>
      </c>
      <c r="CH141" s="2">
        <v>4</v>
      </c>
      <c r="CI141" s="2">
        <v>4</v>
      </c>
      <c r="CJ141" s="2">
        <v>4</v>
      </c>
      <c r="CK141" s="2">
        <v>4</v>
      </c>
      <c r="CL141" s="2">
        <v>4</v>
      </c>
      <c r="CM141" s="2">
        <v>4</v>
      </c>
      <c r="CN141" s="2">
        <v>4</v>
      </c>
      <c r="CO141" s="2">
        <v>4</v>
      </c>
      <c r="CP141" s="2">
        <v>4</v>
      </c>
      <c r="CQ141" s="2">
        <v>4</v>
      </c>
      <c r="CR141" s="2">
        <v>4</v>
      </c>
      <c r="CS141" s="2">
        <v>4</v>
      </c>
      <c r="CT141" s="2">
        <v>4</v>
      </c>
      <c r="CU141" s="2">
        <v>4</v>
      </c>
      <c r="CV141" s="2">
        <v>4</v>
      </c>
      <c r="CW141" s="2">
        <v>4</v>
      </c>
      <c r="CX141" s="2">
        <v>4</v>
      </c>
      <c r="CY141" s="2">
        <v>4</v>
      </c>
      <c r="CZ141" s="2">
        <v>4</v>
      </c>
      <c r="DA141" s="2">
        <v>4</v>
      </c>
      <c r="DB141" s="2">
        <v>4</v>
      </c>
      <c r="DC141" s="2">
        <v>4</v>
      </c>
      <c r="DD141" s="2">
        <v>4</v>
      </c>
      <c r="DE141" s="2">
        <v>4</v>
      </c>
      <c r="DF141" s="2">
        <v>4</v>
      </c>
      <c r="DG141" s="2">
        <v>4</v>
      </c>
      <c r="DH141" s="2">
        <v>4</v>
      </c>
      <c r="DI141" s="2">
        <v>2</v>
      </c>
      <c r="DJ141" s="2">
        <v>4</v>
      </c>
      <c r="DK141" s="2">
        <v>4</v>
      </c>
      <c r="DL141" s="2">
        <v>4</v>
      </c>
      <c r="DM141" s="2">
        <v>4</v>
      </c>
      <c r="DN141" s="2">
        <v>4</v>
      </c>
      <c r="DO141" s="2">
        <v>4</v>
      </c>
      <c r="DP141" s="2">
        <v>4</v>
      </c>
      <c r="DQ141" s="2">
        <v>4</v>
      </c>
      <c r="DR141" s="2">
        <v>2</v>
      </c>
      <c r="DS141" s="11" t="s">
        <v>815</v>
      </c>
      <c r="DT141" s="2">
        <v>4</v>
      </c>
      <c r="DU141" s="2">
        <v>4</v>
      </c>
      <c r="DV141" s="2">
        <v>4</v>
      </c>
      <c r="DW141" s="2">
        <v>4</v>
      </c>
      <c r="DX141" s="2">
        <v>4</v>
      </c>
      <c r="DY141" s="2">
        <v>4</v>
      </c>
      <c r="DZ141" s="2">
        <v>4</v>
      </c>
      <c r="EA141" s="2">
        <v>4</v>
      </c>
      <c r="EB141" s="2">
        <v>4</v>
      </c>
      <c r="EC141" s="2">
        <v>4</v>
      </c>
      <c r="ED141" s="2">
        <v>4</v>
      </c>
      <c r="EE141" s="2">
        <v>4</v>
      </c>
      <c r="EF141" s="2">
        <v>4</v>
      </c>
      <c r="EG141" s="2">
        <v>4</v>
      </c>
      <c r="EH141" s="2">
        <v>4</v>
      </c>
      <c r="EI141" s="2">
        <v>4</v>
      </c>
      <c r="EJ141" s="2">
        <v>4</v>
      </c>
      <c r="EK141" s="2">
        <v>4</v>
      </c>
      <c r="EL141" s="2">
        <v>4</v>
      </c>
      <c r="EM141" s="2">
        <v>4</v>
      </c>
      <c r="EN141" s="2">
        <v>4</v>
      </c>
      <c r="EO141" s="2">
        <v>4</v>
      </c>
      <c r="EP141" s="2">
        <v>4</v>
      </c>
      <c r="EQ141" s="2">
        <v>4</v>
      </c>
      <c r="ER141" s="2">
        <v>4</v>
      </c>
      <c r="ES141" s="2">
        <v>1</v>
      </c>
      <c r="ET141" s="2">
        <v>1</v>
      </c>
      <c r="EU141" s="2">
        <v>4</v>
      </c>
      <c r="EV141" s="2">
        <v>4</v>
      </c>
      <c r="EW141" s="2">
        <v>4</v>
      </c>
      <c r="EX141" s="2">
        <v>4</v>
      </c>
      <c r="EY141" s="2">
        <v>4</v>
      </c>
      <c r="EZ141" s="2">
        <v>4</v>
      </c>
      <c r="FA141" s="11" t="s">
        <v>815</v>
      </c>
      <c r="FB141" s="2">
        <v>1</v>
      </c>
      <c r="FC141" s="2">
        <v>1</v>
      </c>
      <c r="FD141" s="2">
        <v>2</v>
      </c>
      <c r="FE141" s="2">
        <v>1</v>
      </c>
      <c r="FF141" s="2">
        <v>4</v>
      </c>
      <c r="FG141" s="2">
        <v>4</v>
      </c>
      <c r="FH141" s="2">
        <v>4</v>
      </c>
      <c r="FI141" s="2">
        <v>4</v>
      </c>
      <c r="FJ141" s="2">
        <v>4</v>
      </c>
      <c r="FK141" s="2">
        <v>4</v>
      </c>
      <c r="FL141" s="2">
        <v>4</v>
      </c>
      <c r="FM141" s="2">
        <v>4</v>
      </c>
      <c r="FN141" s="2">
        <v>4</v>
      </c>
      <c r="FO141" s="2">
        <v>4</v>
      </c>
      <c r="FP141" s="2">
        <v>4</v>
      </c>
      <c r="FQ141" s="2">
        <v>4</v>
      </c>
      <c r="FR141" s="2">
        <v>4</v>
      </c>
      <c r="FS141" s="2">
        <v>4</v>
      </c>
      <c r="FT141" s="2">
        <v>4</v>
      </c>
      <c r="FU141" s="2">
        <v>4</v>
      </c>
      <c r="FV141" s="2">
        <v>4</v>
      </c>
      <c r="FW141" s="2">
        <v>4</v>
      </c>
      <c r="FX141" s="2">
        <v>4</v>
      </c>
      <c r="FY141" s="2">
        <v>4</v>
      </c>
      <c r="FZ141" s="2">
        <v>4</v>
      </c>
      <c r="GA141" s="2">
        <v>4</v>
      </c>
      <c r="GB141" s="2">
        <v>4</v>
      </c>
      <c r="GC141" s="2" t="s">
        <v>1045</v>
      </c>
      <c r="GD141" s="2">
        <v>4</v>
      </c>
      <c r="GE141" s="2">
        <v>4</v>
      </c>
      <c r="GF141" s="2">
        <v>4</v>
      </c>
      <c r="GG141" s="2">
        <v>2</v>
      </c>
      <c r="GH141" s="2">
        <v>4</v>
      </c>
      <c r="GI141" s="2">
        <v>4</v>
      </c>
      <c r="GJ141" s="2">
        <v>4</v>
      </c>
      <c r="GK141" s="2">
        <v>4</v>
      </c>
      <c r="GL141" s="2">
        <v>4</v>
      </c>
      <c r="GM141" s="2">
        <v>4</v>
      </c>
      <c r="GN141" s="3">
        <v>4</v>
      </c>
      <c r="GO141" s="3">
        <v>4</v>
      </c>
      <c r="GP141" s="3">
        <v>4</v>
      </c>
      <c r="GQ141" s="3">
        <v>4</v>
      </c>
      <c r="GR141" s="3">
        <v>4</v>
      </c>
      <c r="GS141" s="3">
        <v>4</v>
      </c>
      <c r="GT141" s="3">
        <v>4</v>
      </c>
      <c r="GU141" s="3">
        <v>4</v>
      </c>
      <c r="GV141" s="3">
        <v>4</v>
      </c>
      <c r="GW141" s="3">
        <v>4</v>
      </c>
      <c r="GX141" s="3">
        <v>4</v>
      </c>
      <c r="GY141" s="3">
        <v>4</v>
      </c>
      <c r="GZ141" s="3">
        <v>4</v>
      </c>
      <c r="HA141" s="3">
        <v>4</v>
      </c>
      <c r="HB141" s="3">
        <v>4</v>
      </c>
      <c r="HC141" s="3">
        <v>4</v>
      </c>
      <c r="HD141" s="3">
        <v>4</v>
      </c>
      <c r="HE141" s="3">
        <v>2</v>
      </c>
      <c r="HF141" s="3">
        <v>4</v>
      </c>
      <c r="HG141" s="3">
        <v>4</v>
      </c>
      <c r="HH141" s="3">
        <v>4</v>
      </c>
      <c r="HI141" s="3">
        <v>2</v>
      </c>
      <c r="HJ141" s="3">
        <v>4</v>
      </c>
      <c r="HK141" s="3">
        <v>4</v>
      </c>
      <c r="HL141" s="3">
        <v>4</v>
      </c>
      <c r="HM141" s="3">
        <v>4</v>
      </c>
      <c r="HN141" s="3">
        <v>1</v>
      </c>
      <c r="HO141" s="3">
        <v>4</v>
      </c>
      <c r="HP141" s="3">
        <v>4</v>
      </c>
      <c r="HQ141" s="3">
        <v>4</v>
      </c>
      <c r="HR141" s="3">
        <v>4</v>
      </c>
      <c r="HS141" s="3">
        <v>4</v>
      </c>
      <c r="HT141" s="3">
        <v>4</v>
      </c>
      <c r="HU141" s="3">
        <v>4</v>
      </c>
      <c r="HV141" s="3">
        <v>4</v>
      </c>
      <c r="HW141" s="3">
        <v>2</v>
      </c>
      <c r="HX141" s="3">
        <v>4</v>
      </c>
      <c r="HY141" s="3">
        <v>3</v>
      </c>
      <c r="HZ141" s="3">
        <v>4</v>
      </c>
      <c r="IA141" s="3">
        <v>4</v>
      </c>
      <c r="IB141" s="3">
        <v>4</v>
      </c>
      <c r="IC141" s="3">
        <v>4</v>
      </c>
      <c r="ID141" s="3">
        <v>4</v>
      </c>
      <c r="IE141" s="12" t="s">
        <v>815</v>
      </c>
      <c r="IF141" s="3">
        <v>4</v>
      </c>
      <c r="IG141" s="3">
        <v>4</v>
      </c>
      <c r="IH141" s="3">
        <v>4</v>
      </c>
      <c r="II141" s="3">
        <v>4</v>
      </c>
      <c r="IJ141" s="3">
        <v>4</v>
      </c>
      <c r="IK141" s="3">
        <v>4</v>
      </c>
      <c r="IL141" s="3">
        <v>4</v>
      </c>
      <c r="IM141" s="3">
        <v>4</v>
      </c>
      <c r="IN141" s="12" t="s">
        <v>815</v>
      </c>
      <c r="IO141" s="12" t="s">
        <v>815</v>
      </c>
      <c r="IP141" s="3">
        <v>4</v>
      </c>
      <c r="IQ141" s="3">
        <v>4</v>
      </c>
      <c r="IR141" s="3" t="s">
        <v>1046</v>
      </c>
      <c r="IS141" s="3">
        <v>4</v>
      </c>
      <c r="IT141" s="3">
        <v>4</v>
      </c>
      <c r="IU141" s="3">
        <v>4</v>
      </c>
      <c r="IV141" s="3">
        <v>4</v>
      </c>
      <c r="IW141" s="3">
        <v>4</v>
      </c>
      <c r="IX141" s="3">
        <v>4</v>
      </c>
      <c r="IY141" s="3">
        <v>4</v>
      </c>
      <c r="IZ141" s="2" t="s">
        <v>816</v>
      </c>
    </row>
    <row r="142" spans="1:260" ht="13.2" x14ac:dyDescent="0.25">
      <c r="A142" s="10" t="s">
        <v>274</v>
      </c>
      <c r="B142" s="2" t="s">
        <v>1047</v>
      </c>
      <c r="C142" s="2" t="s">
        <v>276</v>
      </c>
      <c r="D142" s="2" t="s">
        <v>262</v>
      </c>
      <c r="E142" s="2">
        <v>70</v>
      </c>
      <c r="F142" s="11" t="s">
        <v>1048</v>
      </c>
      <c r="G142" s="11" t="s">
        <v>1049</v>
      </c>
      <c r="H142" s="2" t="s">
        <v>1050</v>
      </c>
      <c r="I142" s="3">
        <v>4</v>
      </c>
      <c r="J142" s="3">
        <v>1</v>
      </c>
      <c r="K142" s="3">
        <v>4</v>
      </c>
      <c r="L142" s="3">
        <v>1</v>
      </c>
      <c r="M142" s="3">
        <v>2</v>
      </c>
      <c r="N142" s="3">
        <v>2</v>
      </c>
      <c r="O142" s="3">
        <v>1</v>
      </c>
      <c r="P142" s="12" t="s">
        <v>815</v>
      </c>
      <c r="Q142" s="3">
        <v>1</v>
      </c>
      <c r="R142" s="3">
        <v>1</v>
      </c>
      <c r="S142" s="12" t="s">
        <v>815</v>
      </c>
      <c r="T142" s="12" t="s">
        <v>815</v>
      </c>
      <c r="U142" s="12" t="s">
        <v>815</v>
      </c>
      <c r="V142" s="3">
        <v>1</v>
      </c>
      <c r="W142" s="12" t="s">
        <v>815</v>
      </c>
      <c r="X142" s="12" t="s">
        <v>815</v>
      </c>
      <c r="Y142" s="3">
        <v>1</v>
      </c>
      <c r="Z142" s="3">
        <v>1</v>
      </c>
      <c r="AA142" s="12" t="s">
        <v>815</v>
      </c>
      <c r="AB142" s="3">
        <v>1</v>
      </c>
      <c r="AC142" s="3">
        <v>1</v>
      </c>
      <c r="AD142" s="3">
        <v>1</v>
      </c>
      <c r="AE142" s="3">
        <v>1</v>
      </c>
      <c r="AF142" s="12" t="s">
        <v>815</v>
      </c>
      <c r="AG142" s="12" t="s">
        <v>815</v>
      </c>
      <c r="AH142" s="12" t="s">
        <v>815</v>
      </c>
      <c r="AI142" s="12" t="s">
        <v>815</v>
      </c>
      <c r="AJ142" s="12" t="s">
        <v>815</v>
      </c>
      <c r="AK142" s="3">
        <v>1</v>
      </c>
      <c r="AL142" s="3">
        <v>1</v>
      </c>
      <c r="AM142" s="3">
        <v>1</v>
      </c>
      <c r="AN142" s="12" t="s">
        <v>815</v>
      </c>
      <c r="AO142" s="3">
        <v>1</v>
      </c>
      <c r="AP142" s="3">
        <v>1</v>
      </c>
      <c r="AQ142" s="3">
        <v>1</v>
      </c>
      <c r="AR142" s="3">
        <v>1</v>
      </c>
      <c r="AS142" s="3">
        <v>1</v>
      </c>
      <c r="AT142" s="3">
        <v>1</v>
      </c>
      <c r="AU142" s="12" t="s">
        <v>815</v>
      </c>
      <c r="AV142" s="12" t="s">
        <v>815</v>
      </c>
      <c r="AW142" s="12" t="s">
        <v>815</v>
      </c>
      <c r="AX142" s="12" t="s">
        <v>815</v>
      </c>
      <c r="AY142" s="12" t="s">
        <v>815</v>
      </c>
      <c r="AZ142" s="12" t="s">
        <v>815</v>
      </c>
      <c r="BA142" s="12" t="s">
        <v>815</v>
      </c>
      <c r="BB142" s="3">
        <v>3</v>
      </c>
      <c r="BC142" s="12" t="s">
        <v>815</v>
      </c>
      <c r="BD142" s="3">
        <v>3</v>
      </c>
      <c r="BE142" s="3">
        <v>2</v>
      </c>
      <c r="BF142" s="3">
        <v>1</v>
      </c>
      <c r="BG142" s="3">
        <v>1</v>
      </c>
      <c r="BH142" s="3">
        <v>1</v>
      </c>
      <c r="BI142" s="12" t="s">
        <v>815</v>
      </c>
      <c r="BJ142" s="3">
        <v>1</v>
      </c>
      <c r="BK142" s="12" t="s">
        <v>815</v>
      </c>
      <c r="BL142" s="12" t="s">
        <v>815</v>
      </c>
      <c r="BM142" s="3" t="s">
        <v>1051</v>
      </c>
      <c r="BN142" s="3">
        <v>3</v>
      </c>
      <c r="BO142" s="12" t="s">
        <v>815</v>
      </c>
      <c r="BP142" s="3">
        <v>1</v>
      </c>
      <c r="BQ142" s="3">
        <v>1</v>
      </c>
      <c r="BR142" s="3">
        <v>1</v>
      </c>
      <c r="BS142" s="3">
        <v>1</v>
      </c>
      <c r="BT142" s="3">
        <v>1</v>
      </c>
      <c r="BU142" s="2">
        <v>1</v>
      </c>
      <c r="BV142" s="11" t="s">
        <v>815</v>
      </c>
      <c r="BW142" s="2">
        <v>1</v>
      </c>
      <c r="BX142" s="11" t="s">
        <v>815</v>
      </c>
      <c r="BY142" s="11" t="s">
        <v>815</v>
      </c>
      <c r="BZ142" s="11" t="s">
        <v>815</v>
      </c>
      <c r="CA142" s="11" t="s">
        <v>815</v>
      </c>
      <c r="CB142" s="2">
        <v>1</v>
      </c>
      <c r="CC142" s="11" t="s">
        <v>815</v>
      </c>
      <c r="CD142" s="11" t="s">
        <v>815</v>
      </c>
      <c r="CE142" s="11" t="s">
        <v>815</v>
      </c>
      <c r="CF142" s="2">
        <v>1</v>
      </c>
      <c r="CG142" s="11" t="s">
        <v>815</v>
      </c>
      <c r="CH142" s="11" t="s">
        <v>815</v>
      </c>
      <c r="CI142" s="11" t="s">
        <v>815</v>
      </c>
      <c r="CJ142" s="11" t="s">
        <v>815</v>
      </c>
      <c r="CK142" s="11" t="s">
        <v>815</v>
      </c>
      <c r="CL142" s="2">
        <v>1</v>
      </c>
      <c r="CM142" s="11" t="s">
        <v>815</v>
      </c>
      <c r="CN142" s="11" t="s">
        <v>815</v>
      </c>
      <c r="CO142" s="11" t="s">
        <v>815</v>
      </c>
      <c r="CP142" s="11" t="s">
        <v>815</v>
      </c>
      <c r="CQ142" s="2">
        <v>1</v>
      </c>
      <c r="CR142" s="11" t="s">
        <v>815</v>
      </c>
      <c r="CS142" s="11" t="s">
        <v>815</v>
      </c>
      <c r="CT142" s="11" t="s">
        <v>815</v>
      </c>
      <c r="CU142" s="11" t="s">
        <v>815</v>
      </c>
      <c r="CV142" s="11" t="s">
        <v>815</v>
      </c>
      <c r="CW142" s="11" t="s">
        <v>815</v>
      </c>
      <c r="CX142" s="11" t="s">
        <v>815</v>
      </c>
      <c r="CY142" s="11" t="s">
        <v>815</v>
      </c>
      <c r="CZ142" s="11" t="s">
        <v>815</v>
      </c>
      <c r="DA142" s="11" t="s">
        <v>815</v>
      </c>
      <c r="DB142" s="11" t="s">
        <v>815</v>
      </c>
      <c r="DC142" s="11" t="s">
        <v>815</v>
      </c>
      <c r="DD142" s="11" t="s">
        <v>815</v>
      </c>
      <c r="DE142" s="11" t="s">
        <v>815</v>
      </c>
      <c r="DF142" s="11" t="s">
        <v>815</v>
      </c>
      <c r="DG142" s="2">
        <v>1</v>
      </c>
      <c r="DH142" s="11" t="s">
        <v>815</v>
      </c>
      <c r="DI142" s="11" t="s">
        <v>815</v>
      </c>
      <c r="DJ142" s="11" t="s">
        <v>815</v>
      </c>
      <c r="DK142" s="11" t="s">
        <v>815</v>
      </c>
      <c r="DL142" s="11" t="s">
        <v>815</v>
      </c>
      <c r="DM142" s="11" t="s">
        <v>815</v>
      </c>
      <c r="DN142" s="11" t="s">
        <v>815</v>
      </c>
      <c r="DO142" s="11" t="s">
        <v>815</v>
      </c>
      <c r="DP142" s="11" t="s">
        <v>815</v>
      </c>
      <c r="DQ142" s="11" t="s">
        <v>815</v>
      </c>
      <c r="DR142" s="11" t="s">
        <v>815</v>
      </c>
      <c r="DS142" s="11" t="s">
        <v>815</v>
      </c>
      <c r="DT142" s="11" t="s">
        <v>815</v>
      </c>
      <c r="DU142" s="11" t="s">
        <v>815</v>
      </c>
      <c r="DV142" s="11" t="s">
        <v>815</v>
      </c>
      <c r="DW142" s="11" t="s">
        <v>815</v>
      </c>
      <c r="DX142" s="11" t="s">
        <v>815</v>
      </c>
      <c r="DY142" s="11" t="s">
        <v>815</v>
      </c>
      <c r="DZ142" s="11" t="s">
        <v>815</v>
      </c>
      <c r="EA142" s="11" t="s">
        <v>815</v>
      </c>
      <c r="EB142" s="11" t="s">
        <v>815</v>
      </c>
      <c r="EC142" s="11" t="s">
        <v>815</v>
      </c>
      <c r="ED142" s="11" t="s">
        <v>815</v>
      </c>
      <c r="EE142" s="11" t="s">
        <v>815</v>
      </c>
      <c r="EF142" s="11" t="s">
        <v>815</v>
      </c>
      <c r="EG142" s="11" t="s">
        <v>815</v>
      </c>
      <c r="EH142" s="11" t="s">
        <v>815</v>
      </c>
      <c r="EI142" s="11" t="s">
        <v>815</v>
      </c>
      <c r="EJ142" s="11" t="s">
        <v>815</v>
      </c>
      <c r="EK142" s="2">
        <v>1</v>
      </c>
      <c r="EL142" s="11" t="s">
        <v>815</v>
      </c>
      <c r="EM142" s="11" t="s">
        <v>815</v>
      </c>
      <c r="EN142" s="11" t="s">
        <v>815</v>
      </c>
      <c r="EO142" s="11" t="s">
        <v>815</v>
      </c>
      <c r="EP142" s="11" t="s">
        <v>815</v>
      </c>
      <c r="EQ142" s="11" t="s">
        <v>815</v>
      </c>
      <c r="ER142" s="11" t="s">
        <v>815</v>
      </c>
      <c r="ES142" s="11" t="s">
        <v>815</v>
      </c>
      <c r="ET142" s="11" t="s">
        <v>815</v>
      </c>
      <c r="EU142" s="11" t="s">
        <v>815</v>
      </c>
      <c r="EV142" s="11" t="s">
        <v>815</v>
      </c>
      <c r="EW142" s="11" t="s">
        <v>815</v>
      </c>
      <c r="EX142" s="11" t="s">
        <v>815</v>
      </c>
      <c r="EY142" s="11" t="s">
        <v>815</v>
      </c>
      <c r="EZ142" s="11" t="s">
        <v>815</v>
      </c>
      <c r="FA142" s="11" t="s">
        <v>815</v>
      </c>
      <c r="FB142" s="11" t="s">
        <v>815</v>
      </c>
      <c r="FC142" s="11" t="s">
        <v>815</v>
      </c>
      <c r="FD142" s="11" t="s">
        <v>815</v>
      </c>
      <c r="FE142" s="11" t="s">
        <v>815</v>
      </c>
      <c r="FF142" s="11" t="s">
        <v>815</v>
      </c>
      <c r="FG142" s="11" t="s">
        <v>815</v>
      </c>
      <c r="FH142" s="11" t="s">
        <v>815</v>
      </c>
      <c r="FI142" s="11" t="s">
        <v>815</v>
      </c>
      <c r="FJ142" s="11" t="s">
        <v>815</v>
      </c>
      <c r="FK142" s="11" t="s">
        <v>815</v>
      </c>
      <c r="FL142" s="11" t="s">
        <v>815</v>
      </c>
      <c r="FM142" s="11" t="s">
        <v>815</v>
      </c>
      <c r="FN142" s="11" t="s">
        <v>815</v>
      </c>
      <c r="FO142" s="11" t="s">
        <v>815</v>
      </c>
      <c r="FP142" s="11" t="s">
        <v>815</v>
      </c>
      <c r="FQ142" s="11" t="s">
        <v>815</v>
      </c>
      <c r="FR142" s="11" t="s">
        <v>815</v>
      </c>
      <c r="FS142" s="11" t="s">
        <v>815</v>
      </c>
      <c r="FT142" s="11" t="s">
        <v>815</v>
      </c>
      <c r="FU142" s="11" t="s">
        <v>815</v>
      </c>
      <c r="FV142" s="11" t="s">
        <v>815</v>
      </c>
      <c r="FW142" s="2">
        <v>1</v>
      </c>
      <c r="FX142" s="11" t="s">
        <v>815</v>
      </c>
      <c r="FY142" s="11" t="s">
        <v>815</v>
      </c>
      <c r="FZ142" s="11" t="s">
        <v>815</v>
      </c>
      <c r="GA142" s="11" t="s">
        <v>815</v>
      </c>
      <c r="GB142" s="11" t="s">
        <v>815</v>
      </c>
      <c r="GC142" s="2" t="s">
        <v>1052</v>
      </c>
      <c r="GD142" s="11" t="s">
        <v>815</v>
      </c>
      <c r="GE142" s="11" t="s">
        <v>815</v>
      </c>
      <c r="GF142" s="11" t="s">
        <v>815</v>
      </c>
      <c r="GG142" s="2">
        <v>1</v>
      </c>
      <c r="GH142" s="11" t="s">
        <v>815</v>
      </c>
      <c r="GI142" s="11" t="s">
        <v>815</v>
      </c>
      <c r="GJ142" s="11" t="s">
        <v>815</v>
      </c>
      <c r="GK142" s="11" t="s">
        <v>815</v>
      </c>
      <c r="GL142" s="11" t="s">
        <v>815</v>
      </c>
      <c r="GM142" s="11" t="s">
        <v>815</v>
      </c>
      <c r="GN142" s="3">
        <v>1</v>
      </c>
      <c r="GO142" s="3">
        <v>1</v>
      </c>
      <c r="GP142" s="12" t="s">
        <v>815</v>
      </c>
      <c r="GQ142" s="3">
        <v>1</v>
      </c>
      <c r="GR142" s="3">
        <v>1</v>
      </c>
      <c r="GS142" s="12" t="s">
        <v>815</v>
      </c>
      <c r="GT142" s="12" t="s">
        <v>815</v>
      </c>
      <c r="GU142" s="12" t="s">
        <v>815</v>
      </c>
      <c r="GV142" s="3">
        <v>1</v>
      </c>
      <c r="GW142" s="3">
        <v>1</v>
      </c>
      <c r="GX142" s="12" t="s">
        <v>815</v>
      </c>
      <c r="GY142" s="12" t="s">
        <v>815</v>
      </c>
      <c r="GZ142" s="3">
        <v>1</v>
      </c>
      <c r="HA142" s="12" t="s">
        <v>815</v>
      </c>
      <c r="HB142" s="12" t="s">
        <v>815</v>
      </c>
      <c r="HC142" s="12" t="s">
        <v>815</v>
      </c>
      <c r="HD142" s="12" t="s">
        <v>815</v>
      </c>
      <c r="HE142" s="12" t="s">
        <v>815</v>
      </c>
      <c r="HF142" s="12" t="s">
        <v>815</v>
      </c>
      <c r="HG142" s="12" t="s">
        <v>815</v>
      </c>
      <c r="HH142" s="12" t="s">
        <v>815</v>
      </c>
      <c r="HI142" s="12" t="s">
        <v>815</v>
      </c>
      <c r="HJ142" s="12" t="s">
        <v>815</v>
      </c>
      <c r="HK142" s="12" t="s">
        <v>815</v>
      </c>
      <c r="HL142" s="12" t="s">
        <v>815</v>
      </c>
      <c r="HM142" s="12" t="s">
        <v>815</v>
      </c>
      <c r="HN142" s="12" t="s">
        <v>815</v>
      </c>
      <c r="HO142" s="12" t="s">
        <v>815</v>
      </c>
      <c r="HP142" s="12" t="s">
        <v>815</v>
      </c>
      <c r="HQ142" s="12" t="s">
        <v>815</v>
      </c>
      <c r="HR142" s="12" t="s">
        <v>815</v>
      </c>
      <c r="HS142" s="12" t="s">
        <v>815</v>
      </c>
      <c r="HT142" s="12" t="s">
        <v>815</v>
      </c>
      <c r="HU142" s="12" t="s">
        <v>815</v>
      </c>
      <c r="HV142" s="3">
        <v>1</v>
      </c>
      <c r="HW142" s="12" t="s">
        <v>815</v>
      </c>
      <c r="HX142" s="12" t="s">
        <v>815</v>
      </c>
      <c r="HY142" s="12" t="s">
        <v>815</v>
      </c>
      <c r="HZ142" s="12" t="s">
        <v>815</v>
      </c>
      <c r="IA142" s="12" t="s">
        <v>815</v>
      </c>
      <c r="IB142" s="12" t="s">
        <v>815</v>
      </c>
      <c r="IC142" s="12" t="s">
        <v>815</v>
      </c>
      <c r="ID142" s="3">
        <v>1</v>
      </c>
      <c r="IE142" s="12" t="s">
        <v>815</v>
      </c>
      <c r="IF142" s="3">
        <v>1</v>
      </c>
      <c r="IG142" s="12" t="s">
        <v>815</v>
      </c>
      <c r="IH142" s="12" t="s">
        <v>815</v>
      </c>
      <c r="II142" s="12" t="s">
        <v>815</v>
      </c>
      <c r="IJ142" s="12" t="s">
        <v>815</v>
      </c>
      <c r="IK142" s="12" t="s">
        <v>815</v>
      </c>
      <c r="IL142" s="12" t="s">
        <v>815</v>
      </c>
      <c r="IM142" s="12" t="s">
        <v>815</v>
      </c>
      <c r="IN142" s="12" t="s">
        <v>815</v>
      </c>
      <c r="IO142" s="3">
        <v>1</v>
      </c>
      <c r="IP142" s="12" t="s">
        <v>815</v>
      </c>
      <c r="IQ142" s="12" t="s">
        <v>815</v>
      </c>
      <c r="IR142" s="3" t="s">
        <v>1053</v>
      </c>
      <c r="IS142" s="12" t="s">
        <v>815</v>
      </c>
      <c r="IT142" s="12" t="s">
        <v>815</v>
      </c>
      <c r="IU142" s="12" t="s">
        <v>815</v>
      </c>
      <c r="IV142" s="12" t="s">
        <v>815</v>
      </c>
      <c r="IW142" s="12" t="s">
        <v>815</v>
      </c>
      <c r="IX142" s="12" t="s">
        <v>815</v>
      </c>
      <c r="IY142" s="12" t="s">
        <v>815</v>
      </c>
      <c r="IZ142" s="2" t="s">
        <v>816</v>
      </c>
    </row>
    <row r="143" spans="1:260" ht="13.2" x14ac:dyDescent="0.25">
      <c r="A143" s="10" t="s">
        <v>274</v>
      </c>
      <c r="B143" s="2" t="s">
        <v>1054</v>
      </c>
      <c r="C143" s="2" t="s">
        <v>261</v>
      </c>
      <c r="D143" s="2" t="s">
        <v>325</v>
      </c>
      <c r="E143" s="2">
        <v>37</v>
      </c>
      <c r="F143" s="11" t="s">
        <v>1055</v>
      </c>
      <c r="G143" s="11" t="s">
        <v>1056</v>
      </c>
      <c r="H143" s="2" t="s">
        <v>1057</v>
      </c>
      <c r="I143" s="3">
        <v>4</v>
      </c>
      <c r="J143" s="12" t="s">
        <v>815</v>
      </c>
      <c r="K143" s="3">
        <v>4</v>
      </c>
      <c r="L143" s="3">
        <v>1</v>
      </c>
      <c r="M143" s="3">
        <v>1</v>
      </c>
      <c r="N143" s="3">
        <v>1</v>
      </c>
      <c r="O143" s="3">
        <v>2</v>
      </c>
      <c r="P143" s="12" t="s">
        <v>815</v>
      </c>
      <c r="Q143" s="12" t="s">
        <v>815</v>
      </c>
      <c r="R143" s="3">
        <v>2</v>
      </c>
      <c r="S143" s="12" t="s">
        <v>815</v>
      </c>
      <c r="T143" s="12" t="s">
        <v>815</v>
      </c>
      <c r="U143" s="12" t="s">
        <v>815</v>
      </c>
      <c r="V143" s="12" t="s">
        <v>815</v>
      </c>
      <c r="W143" s="12" t="s">
        <v>815</v>
      </c>
      <c r="X143" s="12" t="s">
        <v>815</v>
      </c>
      <c r="Y143" s="3">
        <v>1</v>
      </c>
      <c r="Z143" s="12" t="s">
        <v>815</v>
      </c>
      <c r="AA143" s="12" t="s">
        <v>815</v>
      </c>
      <c r="AB143" s="12" t="s">
        <v>815</v>
      </c>
      <c r="AC143" s="12" t="s">
        <v>815</v>
      </c>
      <c r="AD143" s="12" t="s">
        <v>815</v>
      </c>
      <c r="AE143" s="3">
        <v>1</v>
      </c>
      <c r="AF143" s="12" t="s">
        <v>815</v>
      </c>
      <c r="AG143" s="12" t="s">
        <v>815</v>
      </c>
      <c r="AH143" s="12" t="s">
        <v>815</v>
      </c>
      <c r="AI143" s="12" t="s">
        <v>815</v>
      </c>
      <c r="AJ143" s="12" t="s">
        <v>815</v>
      </c>
      <c r="AK143" s="12" t="s">
        <v>815</v>
      </c>
      <c r="AL143" s="12" t="s">
        <v>815</v>
      </c>
      <c r="AM143" s="3">
        <v>2</v>
      </c>
      <c r="AN143" s="12" t="s">
        <v>815</v>
      </c>
      <c r="AO143" s="3">
        <v>2</v>
      </c>
      <c r="AP143" s="12" t="s">
        <v>815</v>
      </c>
      <c r="AQ143" s="12" t="s">
        <v>815</v>
      </c>
      <c r="AR143" s="12" t="s">
        <v>815</v>
      </c>
      <c r="AS143" s="12" t="s">
        <v>815</v>
      </c>
      <c r="AT143" s="12" t="s">
        <v>815</v>
      </c>
      <c r="AU143" s="12" t="s">
        <v>815</v>
      </c>
      <c r="AV143" s="12" t="s">
        <v>815</v>
      </c>
      <c r="AW143" s="3">
        <v>1</v>
      </c>
      <c r="AX143" s="12" t="s">
        <v>815</v>
      </c>
      <c r="AY143" s="3">
        <v>1</v>
      </c>
      <c r="AZ143" s="3">
        <v>1</v>
      </c>
      <c r="BA143" s="12" t="s">
        <v>815</v>
      </c>
      <c r="BB143" s="3">
        <v>3</v>
      </c>
      <c r="BC143" s="12" t="s">
        <v>815</v>
      </c>
      <c r="BD143" s="3">
        <v>2</v>
      </c>
      <c r="BE143" s="12" t="s">
        <v>815</v>
      </c>
      <c r="BF143" s="12" t="s">
        <v>815</v>
      </c>
      <c r="BG143" s="12" t="s">
        <v>815</v>
      </c>
      <c r="BH143" s="12" t="s">
        <v>815</v>
      </c>
      <c r="BI143" s="12" t="s">
        <v>815</v>
      </c>
      <c r="BJ143" s="12" t="s">
        <v>815</v>
      </c>
      <c r="BK143" s="12" t="s">
        <v>815</v>
      </c>
      <c r="BL143" s="12" t="s">
        <v>815</v>
      </c>
      <c r="BM143" s="3" t="s">
        <v>274</v>
      </c>
      <c r="BN143" s="3">
        <v>3</v>
      </c>
      <c r="BO143" s="12" t="s">
        <v>815</v>
      </c>
      <c r="BP143" s="3">
        <v>1</v>
      </c>
      <c r="BQ143" s="3">
        <v>1</v>
      </c>
      <c r="BR143" s="3">
        <v>1</v>
      </c>
      <c r="BS143" s="3">
        <v>1</v>
      </c>
      <c r="BT143" s="3" t="s">
        <v>274</v>
      </c>
      <c r="BU143" s="11" t="s">
        <v>815</v>
      </c>
      <c r="BV143" s="11" t="s">
        <v>815</v>
      </c>
      <c r="BW143" s="11" t="s">
        <v>815</v>
      </c>
      <c r="BX143" s="11" t="s">
        <v>815</v>
      </c>
      <c r="BY143" s="11" t="s">
        <v>815</v>
      </c>
      <c r="BZ143" s="11" t="s">
        <v>815</v>
      </c>
      <c r="CA143" s="11" t="s">
        <v>815</v>
      </c>
      <c r="CB143" s="11" t="s">
        <v>815</v>
      </c>
      <c r="CC143" s="11" t="s">
        <v>815</v>
      </c>
      <c r="CD143" s="11" t="s">
        <v>815</v>
      </c>
      <c r="CE143" s="11" t="s">
        <v>815</v>
      </c>
      <c r="CF143" s="11" t="s">
        <v>815</v>
      </c>
      <c r="CG143" s="11" t="s">
        <v>815</v>
      </c>
      <c r="CH143" s="11" t="s">
        <v>815</v>
      </c>
      <c r="CI143" s="11" t="s">
        <v>815</v>
      </c>
      <c r="CJ143" s="11" t="s">
        <v>815</v>
      </c>
      <c r="CK143" s="11" t="s">
        <v>815</v>
      </c>
      <c r="CL143" s="2">
        <v>1</v>
      </c>
      <c r="CM143" s="2">
        <v>1</v>
      </c>
      <c r="CN143" s="11" t="s">
        <v>815</v>
      </c>
      <c r="CO143" s="11" t="s">
        <v>815</v>
      </c>
      <c r="CP143" s="11" t="s">
        <v>815</v>
      </c>
      <c r="CQ143" s="11" t="s">
        <v>815</v>
      </c>
      <c r="CR143" s="11" t="s">
        <v>815</v>
      </c>
      <c r="CS143" s="2">
        <v>1</v>
      </c>
      <c r="CT143" s="11" t="s">
        <v>815</v>
      </c>
      <c r="CU143" s="11" t="s">
        <v>815</v>
      </c>
      <c r="CV143" s="11" t="s">
        <v>815</v>
      </c>
      <c r="CW143" s="11" t="s">
        <v>815</v>
      </c>
      <c r="CX143" s="11" t="s">
        <v>815</v>
      </c>
      <c r="CY143" s="11" t="s">
        <v>815</v>
      </c>
      <c r="CZ143" s="11" t="s">
        <v>815</v>
      </c>
      <c r="DA143" s="11" t="s">
        <v>815</v>
      </c>
      <c r="DB143" s="11" t="s">
        <v>815</v>
      </c>
      <c r="DC143" s="11" t="s">
        <v>815</v>
      </c>
      <c r="DD143" s="11" t="s">
        <v>815</v>
      </c>
      <c r="DE143" s="11" t="s">
        <v>815</v>
      </c>
      <c r="DF143" s="11" t="s">
        <v>815</v>
      </c>
      <c r="DG143" s="2">
        <v>2</v>
      </c>
      <c r="DH143" s="11" t="s">
        <v>815</v>
      </c>
      <c r="DI143" s="11" t="s">
        <v>815</v>
      </c>
      <c r="DJ143" s="11" t="s">
        <v>815</v>
      </c>
      <c r="DK143" s="11" t="s">
        <v>815</v>
      </c>
      <c r="DL143" s="11" t="s">
        <v>815</v>
      </c>
      <c r="DM143" s="11" t="s">
        <v>815</v>
      </c>
      <c r="DN143" s="11" t="s">
        <v>815</v>
      </c>
      <c r="DO143" s="11" t="s">
        <v>815</v>
      </c>
      <c r="DP143" s="11" t="s">
        <v>815</v>
      </c>
      <c r="DQ143" s="11" t="s">
        <v>815</v>
      </c>
      <c r="DR143" s="11" t="s">
        <v>815</v>
      </c>
      <c r="DS143" s="11" t="s">
        <v>815</v>
      </c>
      <c r="DT143" s="11" t="s">
        <v>815</v>
      </c>
      <c r="DU143" s="11" t="s">
        <v>815</v>
      </c>
      <c r="DV143" s="11" t="s">
        <v>815</v>
      </c>
      <c r="DW143" s="11" t="s">
        <v>815</v>
      </c>
      <c r="DX143" s="11" t="s">
        <v>815</v>
      </c>
      <c r="DY143" s="11" t="s">
        <v>815</v>
      </c>
      <c r="DZ143" s="11" t="s">
        <v>815</v>
      </c>
      <c r="EA143" s="11" t="s">
        <v>815</v>
      </c>
      <c r="EB143" s="11" t="s">
        <v>815</v>
      </c>
      <c r="EC143" s="11" t="s">
        <v>815</v>
      </c>
      <c r="ED143" s="11" t="s">
        <v>815</v>
      </c>
      <c r="EE143" s="11" t="s">
        <v>815</v>
      </c>
      <c r="EF143" s="11" t="s">
        <v>815</v>
      </c>
      <c r="EG143" s="11" t="s">
        <v>815</v>
      </c>
      <c r="EH143" s="11" t="s">
        <v>815</v>
      </c>
      <c r="EI143" s="11" t="s">
        <v>815</v>
      </c>
      <c r="EJ143" s="11" t="s">
        <v>815</v>
      </c>
      <c r="EK143" s="11" t="s">
        <v>815</v>
      </c>
      <c r="EL143" s="11" t="s">
        <v>815</v>
      </c>
      <c r="EM143" s="11" t="s">
        <v>815</v>
      </c>
      <c r="EN143" s="2">
        <v>2</v>
      </c>
      <c r="EO143" s="11" t="s">
        <v>815</v>
      </c>
      <c r="EP143" s="11" t="s">
        <v>815</v>
      </c>
      <c r="EQ143" s="11" t="s">
        <v>815</v>
      </c>
      <c r="ER143" s="11" t="s">
        <v>815</v>
      </c>
      <c r="ES143" s="11" t="s">
        <v>815</v>
      </c>
      <c r="ET143" s="11" t="s">
        <v>815</v>
      </c>
      <c r="EU143" s="11" t="s">
        <v>815</v>
      </c>
      <c r="EV143" s="11" t="s">
        <v>815</v>
      </c>
      <c r="EW143" s="2">
        <v>2</v>
      </c>
      <c r="EX143" s="11" t="s">
        <v>815</v>
      </c>
      <c r="EY143" s="11" t="s">
        <v>815</v>
      </c>
      <c r="EZ143" s="11" t="s">
        <v>815</v>
      </c>
      <c r="FA143" s="11" t="s">
        <v>815</v>
      </c>
      <c r="FB143" s="11" t="s">
        <v>815</v>
      </c>
      <c r="FC143" s="11" t="s">
        <v>815</v>
      </c>
      <c r="FD143" s="11" t="s">
        <v>815</v>
      </c>
      <c r="FE143" s="11" t="s">
        <v>815</v>
      </c>
      <c r="FF143" s="11" t="s">
        <v>815</v>
      </c>
      <c r="FG143" s="11" t="s">
        <v>815</v>
      </c>
      <c r="FH143" s="11" t="s">
        <v>815</v>
      </c>
      <c r="FI143" s="11" t="s">
        <v>815</v>
      </c>
      <c r="FJ143" s="11" t="s">
        <v>815</v>
      </c>
      <c r="FK143" s="11" t="s">
        <v>815</v>
      </c>
      <c r="FL143" s="11" t="s">
        <v>815</v>
      </c>
      <c r="FM143" s="11" t="s">
        <v>815</v>
      </c>
      <c r="FN143" s="11" t="s">
        <v>815</v>
      </c>
      <c r="FO143" s="11" t="s">
        <v>815</v>
      </c>
      <c r="FP143" s="11" t="s">
        <v>815</v>
      </c>
      <c r="FQ143" s="11" t="s">
        <v>815</v>
      </c>
      <c r="FR143" s="11" t="s">
        <v>815</v>
      </c>
      <c r="FS143" s="11" t="s">
        <v>815</v>
      </c>
      <c r="FT143" s="11" t="s">
        <v>815</v>
      </c>
      <c r="FU143" s="11" t="s">
        <v>815</v>
      </c>
      <c r="FV143" s="11" t="s">
        <v>815</v>
      </c>
      <c r="FW143" s="2">
        <v>2</v>
      </c>
      <c r="FX143" s="2">
        <v>1</v>
      </c>
      <c r="FY143" s="11" t="s">
        <v>815</v>
      </c>
      <c r="FZ143" s="11" t="s">
        <v>815</v>
      </c>
      <c r="GA143" s="11" t="s">
        <v>815</v>
      </c>
      <c r="GB143" s="11" t="s">
        <v>815</v>
      </c>
      <c r="GC143" s="2" t="s">
        <v>274</v>
      </c>
      <c r="GD143" s="11" t="s">
        <v>815</v>
      </c>
      <c r="GE143" s="2" t="s">
        <v>274</v>
      </c>
      <c r="GF143" s="11" t="s">
        <v>815</v>
      </c>
      <c r="GG143" s="2">
        <v>2</v>
      </c>
      <c r="GH143" s="11" t="s">
        <v>815</v>
      </c>
      <c r="GI143" s="11" t="s">
        <v>815</v>
      </c>
      <c r="GJ143" s="11" t="s">
        <v>815</v>
      </c>
      <c r="GK143" s="11" t="s">
        <v>815</v>
      </c>
      <c r="GL143" s="11" t="s">
        <v>815</v>
      </c>
      <c r="GM143" s="11" t="s">
        <v>815</v>
      </c>
      <c r="GN143" s="12" t="s">
        <v>815</v>
      </c>
      <c r="GO143" s="12" t="s">
        <v>815</v>
      </c>
      <c r="GP143" s="12" t="s">
        <v>815</v>
      </c>
      <c r="GQ143" s="3">
        <v>1</v>
      </c>
      <c r="GR143" s="12" t="s">
        <v>815</v>
      </c>
      <c r="GS143" s="12" t="s">
        <v>815</v>
      </c>
      <c r="GT143" s="3">
        <v>1</v>
      </c>
      <c r="GU143" s="12" t="s">
        <v>815</v>
      </c>
      <c r="GV143" s="3">
        <v>1</v>
      </c>
      <c r="GW143" s="12" t="s">
        <v>815</v>
      </c>
      <c r="GX143" s="12" t="s">
        <v>815</v>
      </c>
      <c r="GY143" s="12" t="s">
        <v>815</v>
      </c>
      <c r="GZ143" s="3">
        <v>1</v>
      </c>
      <c r="HA143" s="12" t="s">
        <v>815</v>
      </c>
      <c r="HB143" s="12" t="s">
        <v>815</v>
      </c>
      <c r="HC143" s="12" t="s">
        <v>815</v>
      </c>
      <c r="HD143" s="12" t="s">
        <v>815</v>
      </c>
      <c r="HE143" s="12" t="s">
        <v>815</v>
      </c>
      <c r="HF143" s="12" t="s">
        <v>815</v>
      </c>
      <c r="HG143" s="12" t="s">
        <v>815</v>
      </c>
      <c r="HH143" s="3">
        <v>1</v>
      </c>
      <c r="HI143" s="12" t="s">
        <v>815</v>
      </c>
      <c r="HJ143" s="12" t="s">
        <v>815</v>
      </c>
      <c r="HK143" s="3">
        <v>1</v>
      </c>
      <c r="HL143" s="12" t="s">
        <v>815</v>
      </c>
      <c r="HM143" s="12" t="s">
        <v>815</v>
      </c>
      <c r="HN143" s="12" t="s">
        <v>815</v>
      </c>
      <c r="HO143" s="12" t="s">
        <v>815</v>
      </c>
      <c r="HP143" s="12" t="s">
        <v>815</v>
      </c>
      <c r="HQ143" s="12" t="s">
        <v>815</v>
      </c>
      <c r="HR143" s="12" t="s">
        <v>815</v>
      </c>
      <c r="HS143" s="12" t="s">
        <v>815</v>
      </c>
      <c r="HT143" s="12" t="s">
        <v>815</v>
      </c>
      <c r="HU143" s="12" t="s">
        <v>815</v>
      </c>
      <c r="HV143" s="3">
        <v>1</v>
      </c>
      <c r="HW143" s="12" t="s">
        <v>815</v>
      </c>
      <c r="HX143" s="3">
        <v>1</v>
      </c>
      <c r="HY143" s="12" t="s">
        <v>815</v>
      </c>
      <c r="HZ143" s="12" t="s">
        <v>815</v>
      </c>
      <c r="IA143" s="12" t="s">
        <v>815</v>
      </c>
      <c r="IB143" s="12" t="s">
        <v>815</v>
      </c>
      <c r="IC143" s="12" t="s">
        <v>815</v>
      </c>
      <c r="ID143" s="3">
        <v>1</v>
      </c>
      <c r="IE143" s="12" t="s">
        <v>815</v>
      </c>
      <c r="IF143" s="12" t="s">
        <v>815</v>
      </c>
      <c r="IG143" s="12" t="s">
        <v>815</v>
      </c>
      <c r="IH143" s="12" t="s">
        <v>815</v>
      </c>
      <c r="II143" s="12" t="s">
        <v>815</v>
      </c>
      <c r="IJ143" s="12" t="s">
        <v>815</v>
      </c>
      <c r="IK143" s="12" t="s">
        <v>815</v>
      </c>
      <c r="IL143" s="12" t="s">
        <v>815</v>
      </c>
      <c r="IM143" s="12" t="s">
        <v>815</v>
      </c>
      <c r="IN143" s="12" t="s">
        <v>815</v>
      </c>
      <c r="IO143" s="12" t="s">
        <v>815</v>
      </c>
      <c r="IP143" s="12" t="s">
        <v>815</v>
      </c>
      <c r="IQ143" s="12" t="s">
        <v>815</v>
      </c>
      <c r="IR143" s="3" t="s">
        <v>274</v>
      </c>
      <c r="IS143" s="3">
        <v>3</v>
      </c>
      <c r="IT143" s="3">
        <v>1</v>
      </c>
      <c r="IU143" s="12" t="s">
        <v>815</v>
      </c>
      <c r="IV143" s="12" t="s">
        <v>815</v>
      </c>
      <c r="IW143" s="12" t="s">
        <v>815</v>
      </c>
      <c r="IX143" s="12" t="s">
        <v>815</v>
      </c>
      <c r="IY143" s="12" t="s">
        <v>815</v>
      </c>
      <c r="IZ143" s="2" t="s">
        <v>816</v>
      </c>
    </row>
    <row r="144" spans="1:260" ht="13.2" x14ac:dyDescent="0.25">
      <c r="A144" s="10" t="s">
        <v>274</v>
      </c>
      <c r="B144" s="2" t="s">
        <v>1058</v>
      </c>
      <c r="C144" s="2" t="s">
        <v>261</v>
      </c>
      <c r="D144" s="2" t="s">
        <v>373</v>
      </c>
      <c r="E144" s="2">
        <v>59</v>
      </c>
      <c r="F144" s="11" t="s">
        <v>1059</v>
      </c>
      <c r="G144" s="11" t="s">
        <v>1056</v>
      </c>
      <c r="H144" s="2" t="s">
        <v>1060</v>
      </c>
      <c r="I144" s="3">
        <v>2</v>
      </c>
      <c r="J144" s="3">
        <v>1</v>
      </c>
      <c r="K144" s="3">
        <v>4</v>
      </c>
      <c r="L144" s="3">
        <v>1</v>
      </c>
      <c r="M144" s="12" t="s">
        <v>815</v>
      </c>
      <c r="N144" s="3">
        <v>2</v>
      </c>
      <c r="O144" s="3">
        <v>2</v>
      </c>
      <c r="P144" s="3">
        <v>1</v>
      </c>
      <c r="Q144" s="12" t="s">
        <v>815</v>
      </c>
      <c r="R144" s="12" t="s">
        <v>815</v>
      </c>
      <c r="S144" s="12" t="s">
        <v>815</v>
      </c>
      <c r="T144" s="12" t="s">
        <v>815</v>
      </c>
      <c r="U144" s="12" t="s">
        <v>815</v>
      </c>
      <c r="V144" s="12" t="s">
        <v>815</v>
      </c>
      <c r="W144" s="12" t="s">
        <v>815</v>
      </c>
      <c r="X144" s="3">
        <v>1</v>
      </c>
      <c r="Y144" s="3">
        <v>3</v>
      </c>
      <c r="Z144" s="3">
        <v>3</v>
      </c>
      <c r="AA144" s="3">
        <v>1</v>
      </c>
      <c r="AB144" s="3">
        <v>1</v>
      </c>
      <c r="AC144" s="3">
        <v>2</v>
      </c>
      <c r="AD144" s="12" t="s">
        <v>815</v>
      </c>
      <c r="AE144" s="3">
        <v>1</v>
      </c>
      <c r="AF144" s="12" t="s">
        <v>815</v>
      </c>
      <c r="AG144" s="12" t="s">
        <v>815</v>
      </c>
      <c r="AH144" s="12" t="s">
        <v>815</v>
      </c>
      <c r="AI144" s="3">
        <v>2</v>
      </c>
      <c r="AJ144" s="3">
        <v>3</v>
      </c>
      <c r="AK144" s="3">
        <v>3</v>
      </c>
      <c r="AL144" s="3">
        <v>1</v>
      </c>
      <c r="AM144" s="12" t="s">
        <v>815</v>
      </c>
      <c r="AN144" s="12" t="s">
        <v>815</v>
      </c>
      <c r="AO144" s="3">
        <v>2</v>
      </c>
      <c r="AP144" s="12" t="s">
        <v>815</v>
      </c>
      <c r="AQ144" s="12" t="s">
        <v>815</v>
      </c>
      <c r="AR144" s="12" t="s">
        <v>815</v>
      </c>
      <c r="AS144" s="12" t="s">
        <v>815</v>
      </c>
      <c r="AT144" s="12" t="s">
        <v>815</v>
      </c>
      <c r="AU144" s="12" t="s">
        <v>815</v>
      </c>
      <c r="AV144" s="12" t="s">
        <v>815</v>
      </c>
      <c r="AW144" s="3">
        <v>3</v>
      </c>
      <c r="AX144" s="3">
        <v>1</v>
      </c>
      <c r="AY144" s="3">
        <v>3</v>
      </c>
      <c r="AZ144" s="3">
        <v>3</v>
      </c>
      <c r="BA144" s="3">
        <v>3</v>
      </c>
      <c r="BB144" s="3">
        <v>3</v>
      </c>
      <c r="BC144" s="12" t="s">
        <v>815</v>
      </c>
      <c r="BD144" s="3">
        <v>2</v>
      </c>
      <c r="BE144" s="3">
        <v>2</v>
      </c>
      <c r="BF144" s="12" t="s">
        <v>815</v>
      </c>
      <c r="BG144" s="3">
        <v>1</v>
      </c>
      <c r="BH144" s="3">
        <v>2</v>
      </c>
      <c r="BI144" s="3">
        <v>1</v>
      </c>
      <c r="BJ144" s="12" t="s">
        <v>815</v>
      </c>
      <c r="BK144" s="12" t="s">
        <v>815</v>
      </c>
      <c r="BL144" s="12" t="s">
        <v>815</v>
      </c>
      <c r="BM144" s="3" t="s">
        <v>274</v>
      </c>
      <c r="BN144" s="3">
        <v>3</v>
      </c>
      <c r="BO144" s="12" t="s">
        <v>815</v>
      </c>
      <c r="BP144" s="3">
        <v>3</v>
      </c>
      <c r="BQ144" s="3">
        <v>3</v>
      </c>
      <c r="BR144" s="3">
        <v>2</v>
      </c>
      <c r="BS144" s="3">
        <v>2</v>
      </c>
      <c r="BT144" s="3">
        <v>2</v>
      </c>
      <c r="BU144" s="11" t="s">
        <v>815</v>
      </c>
      <c r="BV144" s="11" t="s">
        <v>815</v>
      </c>
      <c r="BW144" s="2">
        <v>1</v>
      </c>
      <c r="BX144" s="11" t="s">
        <v>815</v>
      </c>
      <c r="BY144" s="11" t="s">
        <v>815</v>
      </c>
      <c r="BZ144" s="2">
        <v>2</v>
      </c>
      <c r="CA144" s="2">
        <v>3</v>
      </c>
      <c r="CB144" s="11" t="s">
        <v>815</v>
      </c>
      <c r="CC144" s="2">
        <v>4</v>
      </c>
      <c r="CD144" s="2">
        <v>1</v>
      </c>
      <c r="CE144" s="11" t="s">
        <v>815</v>
      </c>
      <c r="CF144" s="2">
        <v>2</v>
      </c>
      <c r="CG144" s="11" t="s">
        <v>815</v>
      </c>
      <c r="CH144" s="2">
        <v>2</v>
      </c>
      <c r="CI144" s="11" t="s">
        <v>815</v>
      </c>
      <c r="CJ144" s="11" t="s">
        <v>815</v>
      </c>
      <c r="CK144" s="11" t="s">
        <v>815</v>
      </c>
      <c r="CL144" s="11" t="s">
        <v>815</v>
      </c>
      <c r="CM144" s="11" t="s">
        <v>815</v>
      </c>
      <c r="CN144" s="11" t="s">
        <v>815</v>
      </c>
      <c r="CO144" s="11" t="s">
        <v>815</v>
      </c>
      <c r="CP144" s="11" t="s">
        <v>815</v>
      </c>
      <c r="CQ144" s="2">
        <v>1</v>
      </c>
      <c r="CR144" s="11" t="s">
        <v>815</v>
      </c>
      <c r="CS144" s="11" t="s">
        <v>815</v>
      </c>
      <c r="CT144" s="11" t="s">
        <v>815</v>
      </c>
      <c r="CU144" s="2">
        <v>2</v>
      </c>
      <c r="CV144" s="11" t="s">
        <v>815</v>
      </c>
      <c r="CW144" s="2">
        <v>1</v>
      </c>
      <c r="CX144" s="11" t="s">
        <v>815</v>
      </c>
      <c r="CY144" s="11" t="s">
        <v>815</v>
      </c>
      <c r="CZ144" s="2">
        <v>1</v>
      </c>
      <c r="DA144" s="2">
        <v>3</v>
      </c>
      <c r="DB144" s="11" t="s">
        <v>815</v>
      </c>
      <c r="DC144" s="11" t="s">
        <v>815</v>
      </c>
      <c r="DD144" s="11" t="s">
        <v>815</v>
      </c>
      <c r="DE144" s="2">
        <v>1</v>
      </c>
      <c r="DF144" s="11" t="s">
        <v>815</v>
      </c>
      <c r="DG144" s="11" t="s">
        <v>815</v>
      </c>
      <c r="DH144" s="2">
        <v>3</v>
      </c>
      <c r="DI144" s="2">
        <v>3</v>
      </c>
      <c r="DJ144" s="11" t="s">
        <v>815</v>
      </c>
      <c r="DK144" s="2">
        <v>2</v>
      </c>
      <c r="DL144" s="2">
        <v>2</v>
      </c>
      <c r="DM144" s="2">
        <v>1</v>
      </c>
      <c r="DN144" s="11" t="s">
        <v>815</v>
      </c>
      <c r="DO144" s="11" t="s">
        <v>815</v>
      </c>
      <c r="DP144" s="2">
        <v>1</v>
      </c>
      <c r="DQ144" s="2">
        <v>1</v>
      </c>
      <c r="DR144" s="11" t="s">
        <v>815</v>
      </c>
      <c r="DS144" s="2">
        <v>1</v>
      </c>
      <c r="DT144" s="11" t="s">
        <v>815</v>
      </c>
      <c r="DU144" s="11" t="s">
        <v>815</v>
      </c>
      <c r="DV144" s="11" t="s">
        <v>815</v>
      </c>
      <c r="DW144" s="2">
        <v>1</v>
      </c>
      <c r="DX144" s="2">
        <v>3</v>
      </c>
      <c r="DY144" s="2">
        <v>1</v>
      </c>
      <c r="DZ144" s="2">
        <v>3</v>
      </c>
      <c r="EA144" s="2">
        <v>1</v>
      </c>
      <c r="EB144" s="2">
        <v>1</v>
      </c>
      <c r="EC144" s="2">
        <v>1</v>
      </c>
      <c r="ED144" s="11" t="s">
        <v>815</v>
      </c>
      <c r="EE144" s="11" t="s">
        <v>815</v>
      </c>
      <c r="EF144" s="2">
        <v>1</v>
      </c>
      <c r="EG144" s="11" t="s">
        <v>815</v>
      </c>
      <c r="EH144" s="11" t="s">
        <v>815</v>
      </c>
      <c r="EI144" s="2">
        <v>3</v>
      </c>
      <c r="EJ144" s="2">
        <v>2</v>
      </c>
      <c r="EK144" s="2">
        <v>3</v>
      </c>
      <c r="EL144" s="11" t="s">
        <v>815</v>
      </c>
      <c r="EM144" s="2">
        <v>2</v>
      </c>
      <c r="EN144" s="11" t="s">
        <v>815</v>
      </c>
      <c r="EO144" s="11" t="s">
        <v>815</v>
      </c>
      <c r="EP144" s="11" t="s">
        <v>815</v>
      </c>
      <c r="EQ144" s="2">
        <v>3</v>
      </c>
      <c r="ER144" s="11" t="s">
        <v>815</v>
      </c>
      <c r="ES144" s="11" t="s">
        <v>815</v>
      </c>
      <c r="ET144" s="11" t="s">
        <v>815</v>
      </c>
      <c r="EU144" s="2">
        <v>3</v>
      </c>
      <c r="EV144" s="11" t="s">
        <v>815</v>
      </c>
      <c r="EW144" s="2">
        <v>2</v>
      </c>
      <c r="EX144" s="2">
        <v>3</v>
      </c>
      <c r="EY144" s="2">
        <v>3</v>
      </c>
      <c r="EZ144" s="2">
        <v>3</v>
      </c>
      <c r="FA144" s="11" t="s">
        <v>815</v>
      </c>
      <c r="FB144" s="2">
        <v>3</v>
      </c>
      <c r="FC144" s="11" t="s">
        <v>815</v>
      </c>
      <c r="FD144" s="11" t="s">
        <v>815</v>
      </c>
      <c r="FE144" s="11" t="s">
        <v>815</v>
      </c>
      <c r="FF144" s="11" t="s">
        <v>815</v>
      </c>
      <c r="FG144" s="2">
        <v>2</v>
      </c>
      <c r="FH144" s="11" t="s">
        <v>815</v>
      </c>
      <c r="FI144" s="11" t="s">
        <v>815</v>
      </c>
      <c r="FJ144" s="11" t="s">
        <v>815</v>
      </c>
      <c r="FK144" s="2">
        <v>3</v>
      </c>
      <c r="FL144" s="2">
        <v>3</v>
      </c>
      <c r="FM144" s="2">
        <v>3</v>
      </c>
      <c r="FN144" s="11" t="s">
        <v>815</v>
      </c>
      <c r="FO144" s="2">
        <v>3</v>
      </c>
      <c r="FP144" s="2">
        <v>3</v>
      </c>
      <c r="FQ144" s="2">
        <v>3</v>
      </c>
      <c r="FR144" s="2">
        <v>1</v>
      </c>
      <c r="FS144" s="11" t="s">
        <v>815</v>
      </c>
      <c r="FT144" s="11" t="s">
        <v>815</v>
      </c>
      <c r="FU144" s="11" t="s">
        <v>815</v>
      </c>
      <c r="FV144" s="2">
        <v>2</v>
      </c>
      <c r="FW144" s="11" t="s">
        <v>815</v>
      </c>
      <c r="FX144" s="11" t="s">
        <v>815</v>
      </c>
      <c r="FY144" s="11" t="s">
        <v>815</v>
      </c>
      <c r="FZ144" s="2">
        <v>2</v>
      </c>
      <c r="GA144" s="2">
        <v>2</v>
      </c>
      <c r="GB144" s="11" t="s">
        <v>815</v>
      </c>
      <c r="GC144" s="2" t="s">
        <v>274</v>
      </c>
      <c r="GD144" s="2">
        <v>1</v>
      </c>
      <c r="GE144" s="2">
        <v>1</v>
      </c>
      <c r="GF144" s="2">
        <v>2</v>
      </c>
      <c r="GG144" s="11" t="s">
        <v>815</v>
      </c>
      <c r="GH144" s="2">
        <v>2</v>
      </c>
      <c r="GI144" s="2">
        <v>1</v>
      </c>
      <c r="GJ144" s="11" t="s">
        <v>815</v>
      </c>
      <c r="GK144" s="2">
        <v>2</v>
      </c>
      <c r="GL144" s="2">
        <v>1</v>
      </c>
      <c r="GM144" s="2">
        <v>1</v>
      </c>
      <c r="GN144" s="3">
        <v>3</v>
      </c>
      <c r="GO144" s="3">
        <v>4</v>
      </c>
      <c r="GP144" s="3">
        <v>1</v>
      </c>
      <c r="GQ144" s="3">
        <v>3</v>
      </c>
      <c r="GR144" s="3">
        <v>3</v>
      </c>
      <c r="GS144" s="12" t="s">
        <v>815</v>
      </c>
      <c r="GT144" s="3">
        <v>1</v>
      </c>
      <c r="GU144" s="12" t="s">
        <v>815</v>
      </c>
      <c r="GV144" s="12" t="s">
        <v>815</v>
      </c>
      <c r="GW144" s="3">
        <v>1</v>
      </c>
      <c r="GX144" s="3">
        <v>1</v>
      </c>
      <c r="GY144" s="12" t="s">
        <v>815</v>
      </c>
      <c r="GZ144" s="3">
        <v>1</v>
      </c>
      <c r="HA144" s="3">
        <v>1</v>
      </c>
      <c r="HB144" s="12" t="s">
        <v>815</v>
      </c>
      <c r="HC144" s="12" t="s">
        <v>815</v>
      </c>
      <c r="HD144" s="12" t="s">
        <v>815</v>
      </c>
      <c r="HE144" s="12" t="s">
        <v>815</v>
      </c>
      <c r="HF144" s="12" t="s">
        <v>815</v>
      </c>
      <c r="HG144" s="12" t="s">
        <v>815</v>
      </c>
      <c r="HH144" s="3">
        <v>1</v>
      </c>
      <c r="HI144" s="12" t="s">
        <v>815</v>
      </c>
      <c r="HJ144" s="3">
        <v>1</v>
      </c>
      <c r="HK144" s="3">
        <v>1</v>
      </c>
      <c r="HL144" s="12" t="s">
        <v>815</v>
      </c>
      <c r="HM144" s="12" t="s">
        <v>815</v>
      </c>
      <c r="HN144" s="12" t="s">
        <v>815</v>
      </c>
      <c r="HO144" s="3">
        <v>1</v>
      </c>
      <c r="HP144" s="12" t="s">
        <v>815</v>
      </c>
      <c r="HQ144" s="3">
        <v>1</v>
      </c>
      <c r="HR144" s="3">
        <v>1</v>
      </c>
      <c r="HS144" s="12" t="s">
        <v>815</v>
      </c>
      <c r="HT144" s="3">
        <v>1</v>
      </c>
      <c r="HU144" s="12" t="s">
        <v>815</v>
      </c>
      <c r="HV144" s="3">
        <v>1</v>
      </c>
      <c r="HW144" s="12" t="s">
        <v>815</v>
      </c>
      <c r="HX144" s="12" t="s">
        <v>815</v>
      </c>
      <c r="HY144" s="12" t="s">
        <v>815</v>
      </c>
      <c r="HZ144" s="12" t="s">
        <v>815</v>
      </c>
      <c r="IA144" s="3">
        <v>1</v>
      </c>
      <c r="IB144" s="12" t="s">
        <v>815</v>
      </c>
      <c r="IC144" s="12" t="s">
        <v>815</v>
      </c>
      <c r="ID144" s="3">
        <v>1</v>
      </c>
      <c r="IE144" s="12" t="s">
        <v>815</v>
      </c>
      <c r="IF144" s="12" t="s">
        <v>815</v>
      </c>
      <c r="IG144" s="3">
        <v>1</v>
      </c>
      <c r="IH144" s="12" t="s">
        <v>815</v>
      </c>
      <c r="II144" s="12" t="s">
        <v>815</v>
      </c>
      <c r="IJ144" s="12" t="s">
        <v>815</v>
      </c>
      <c r="IK144" s="12" t="s">
        <v>815</v>
      </c>
      <c r="IL144" s="12" t="s">
        <v>815</v>
      </c>
      <c r="IM144" s="3">
        <v>3</v>
      </c>
      <c r="IN144" s="12" t="s">
        <v>815</v>
      </c>
      <c r="IO144" s="12" t="s">
        <v>815</v>
      </c>
      <c r="IP144" s="12" t="s">
        <v>815</v>
      </c>
      <c r="IQ144" s="12" t="s">
        <v>815</v>
      </c>
      <c r="IR144" s="3" t="s">
        <v>274</v>
      </c>
      <c r="IS144" s="3">
        <v>1</v>
      </c>
      <c r="IT144" s="3">
        <v>1</v>
      </c>
      <c r="IU144" s="12" t="s">
        <v>815</v>
      </c>
      <c r="IV144" s="3">
        <v>1</v>
      </c>
      <c r="IW144" s="3">
        <v>1</v>
      </c>
      <c r="IX144" s="12" t="s">
        <v>815</v>
      </c>
      <c r="IY144" s="3">
        <v>1</v>
      </c>
      <c r="IZ144" s="2" t="s">
        <v>816</v>
      </c>
    </row>
    <row r="145" spans="1:260" ht="13.2" x14ac:dyDescent="0.25">
      <c r="A145" s="10" t="s">
        <v>274</v>
      </c>
      <c r="B145" s="2" t="s">
        <v>1061</v>
      </c>
      <c r="C145" s="2" t="s">
        <v>261</v>
      </c>
      <c r="D145" s="2" t="s">
        <v>325</v>
      </c>
      <c r="E145" s="2">
        <v>40</v>
      </c>
      <c r="F145" s="11" t="s">
        <v>1062</v>
      </c>
      <c r="G145" s="11" t="s">
        <v>1063</v>
      </c>
      <c r="H145" s="2" t="s">
        <v>1064</v>
      </c>
      <c r="I145" s="3">
        <v>2</v>
      </c>
      <c r="J145" s="3">
        <v>2</v>
      </c>
      <c r="K145" s="3">
        <v>2</v>
      </c>
      <c r="L145" s="3">
        <v>4</v>
      </c>
      <c r="M145" s="3">
        <v>4</v>
      </c>
      <c r="N145" s="3">
        <v>1</v>
      </c>
      <c r="O145" s="3">
        <v>1</v>
      </c>
      <c r="P145" s="3">
        <v>1</v>
      </c>
      <c r="Q145" s="3">
        <v>3</v>
      </c>
      <c r="R145" s="3">
        <v>3</v>
      </c>
      <c r="S145" s="3">
        <v>3</v>
      </c>
      <c r="T145" s="3">
        <v>3</v>
      </c>
      <c r="U145" s="3">
        <v>3</v>
      </c>
      <c r="V145" s="3">
        <v>1</v>
      </c>
      <c r="W145" s="3">
        <v>3</v>
      </c>
      <c r="X145" s="3">
        <v>3</v>
      </c>
      <c r="Y145" s="3">
        <v>3</v>
      </c>
      <c r="Z145" s="3">
        <v>3</v>
      </c>
      <c r="AA145" s="3">
        <v>1</v>
      </c>
      <c r="AB145" s="3">
        <v>1</v>
      </c>
      <c r="AC145" s="3">
        <v>1</v>
      </c>
      <c r="AD145" s="3">
        <v>1</v>
      </c>
      <c r="AE145" s="3">
        <v>4</v>
      </c>
      <c r="AF145" s="3">
        <v>2</v>
      </c>
      <c r="AG145" s="3">
        <v>2</v>
      </c>
      <c r="AH145" s="3">
        <v>2</v>
      </c>
      <c r="AI145" s="3">
        <v>3</v>
      </c>
      <c r="AJ145" s="3">
        <v>3</v>
      </c>
      <c r="AK145" s="3">
        <v>3</v>
      </c>
      <c r="AL145" s="3">
        <v>3</v>
      </c>
      <c r="AM145" s="3">
        <v>2</v>
      </c>
      <c r="AN145" s="3">
        <v>2</v>
      </c>
      <c r="AO145" s="3">
        <v>3</v>
      </c>
      <c r="AP145" s="3">
        <v>3</v>
      </c>
      <c r="AQ145" s="3">
        <v>3</v>
      </c>
      <c r="AR145" s="3">
        <v>3</v>
      </c>
      <c r="AS145" s="3">
        <v>3</v>
      </c>
      <c r="AT145" s="3">
        <v>3</v>
      </c>
      <c r="AU145" s="3">
        <v>3</v>
      </c>
      <c r="AV145" s="3">
        <v>3</v>
      </c>
      <c r="AW145" s="3">
        <v>3</v>
      </c>
      <c r="AX145" s="3">
        <v>3</v>
      </c>
      <c r="AY145" s="3">
        <v>3</v>
      </c>
      <c r="AZ145" s="3">
        <v>3</v>
      </c>
      <c r="BA145" s="3">
        <v>3</v>
      </c>
      <c r="BB145" s="3">
        <v>3</v>
      </c>
      <c r="BC145" s="3">
        <v>3</v>
      </c>
      <c r="BD145" s="3">
        <v>3</v>
      </c>
      <c r="BE145" s="3">
        <v>3</v>
      </c>
      <c r="BF145" s="3">
        <v>3</v>
      </c>
      <c r="BG145" s="3">
        <v>3</v>
      </c>
      <c r="BH145" s="3">
        <v>3</v>
      </c>
      <c r="BI145" s="3">
        <v>3</v>
      </c>
      <c r="BJ145" s="3">
        <v>3</v>
      </c>
      <c r="BK145" s="3">
        <v>3</v>
      </c>
      <c r="BL145" s="3">
        <v>3</v>
      </c>
      <c r="BM145" s="3" t="s">
        <v>1065</v>
      </c>
      <c r="BN145" s="3">
        <v>4</v>
      </c>
      <c r="BO145" s="3">
        <v>4</v>
      </c>
      <c r="BP145" s="3">
        <v>4</v>
      </c>
      <c r="BQ145" s="3">
        <v>4</v>
      </c>
      <c r="BR145" s="3">
        <v>4</v>
      </c>
      <c r="BS145" s="3">
        <v>4</v>
      </c>
      <c r="BT145" s="3">
        <v>4</v>
      </c>
      <c r="BU145" s="2">
        <v>3</v>
      </c>
      <c r="BV145" s="2">
        <v>2</v>
      </c>
      <c r="BW145" s="2">
        <v>3</v>
      </c>
      <c r="BX145" s="2">
        <v>2</v>
      </c>
      <c r="BY145" s="11" t="s">
        <v>815</v>
      </c>
      <c r="BZ145" s="2">
        <v>1</v>
      </c>
      <c r="CA145" s="2">
        <v>1</v>
      </c>
      <c r="CB145" s="2">
        <v>3</v>
      </c>
      <c r="CC145" s="2">
        <v>3</v>
      </c>
      <c r="CD145" s="2">
        <v>3</v>
      </c>
      <c r="CE145" s="2">
        <v>2</v>
      </c>
      <c r="CF145" s="2">
        <v>2</v>
      </c>
      <c r="CG145" s="2">
        <v>1</v>
      </c>
      <c r="CH145" s="2">
        <v>2</v>
      </c>
      <c r="CI145" s="2">
        <v>3</v>
      </c>
      <c r="CJ145" s="2">
        <v>3</v>
      </c>
      <c r="CK145" s="2">
        <v>3</v>
      </c>
      <c r="CL145" s="2">
        <v>3</v>
      </c>
      <c r="CM145" s="2">
        <v>3</v>
      </c>
      <c r="CN145" s="2">
        <v>3</v>
      </c>
      <c r="CO145" s="2">
        <v>1</v>
      </c>
      <c r="CP145" s="2">
        <v>3</v>
      </c>
      <c r="CQ145" s="2">
        <v>2</v>
      </c>
      <c r="CR145" s="2">
        <v>2</v>
      </c>
      <c r="CS145" s="2">
        <v>2</v>
      </c>
      <c r="CT145" s="2">
        <v>2</v>
      </c>
      <c r="CU145" s="2">
        <v>2</v>
      </c>
      <c r="CV145" s="2">
        <v>3</v>
      </c>
      <c r="CW145" s="2">
        <v>3</v>
      </c>
      <c r="CX145" s="2">
        <v>2</v>
      </c>
      <c r="CY145" s="2">
        <v>2</v>
      </c>
      <c r="CZ145" s="2">
        <v>2</v>
      </c>
      <c r="DA145" s="2">
        <v>3</v>
      </c>
      <c r="DB145" s="2">
        <v>1</v>
      </c>
      <c r="DC145" s="11" t="s">
        <v>815</v>
      </c>
      <c r="DD145" s="11" t="s">
        <v>815</v>
      </c>
      <c r="DE145" s="2">
        <v>3</v>
      </c>
      <c r="DF145" s="2">
        <v>3</v>
      </c>
      <c r="DG145" s="2">
        <v>3</v>
      </c>
      <c r="DH145" s="2">
        <v>2</v>
      </c>
      <c r="DI145" s="2">
        <v>3</v>
      </c>
      <c r="DJ145" s="2">
        <v>2</v>
      </c>
      <c r="DK145" s="2">
        <v>2</v>
      </c>
      <c r="DL145" s="2">
        <v>2</v>
      </c>
      <c r="DM145" s="2">
        <v>2</v>
      </c>
      <c r="DN145" s="2">
        <v>1</v>
      </c>
      <c r="DO145" s="2">
        <v>2</v>
      </c>
      <c r="DP145" s="2">
        <v>1</v>
      </c>
      <c r="DQ145" s="2">
        <v>1</v>
      </c>
      <c r="DR145" s="2">
        <v>1</v>
      </c>
      <c r="DS145" s="2">
        <v>1</v>
      </c>
      <c r="DT145" s="2">
        <v>1</v>
      </c>
      <c r="DU145" s="11" t="s">
        <v>815</v>
      </c>
      <c r="DV145" s="11" t="s">
        <v>815</v>
      </c>
      <c r="DW145" s="11" t="s">
        <v>815</v>
      </c>
      <c r="DX145" s="2">
        <v>4</v>
      </c>
      <c r="DY145" s="2">
        <v>4</v>
      </c>
      <c r="DZ145" s="2">
        <v>4</v>
      </c>
      <c r="EA145" s="2">
        <v>3</v>
      </c>
      <c r="EB145" s="2">
        <v>3</v>
      </c>
      <c r="EC145" s="2">
        <v>2</v>
      </c>
      <c r="ED145" s="2">
        <v>2</v>
      </c>
      <c r="EE145" s="2">
        <v>2</v>
      </c>
      <c r="EF145" s="2">
        <v>2</v>
      </c>
      <c r="EG145" s="2">
        <v>2</v>
      </c>
      <c r="EH145" s="2">
        <v>2</v>
      </c>
      <c r="EI145" s="2">
        <v>3</v>
      </c>
      <c r="EJ145" s="2">
        <v>3</v>
      </c>
      <c r="EK145" s="2">
        <v>2</v>
      </c>
      <c r="EL145" s="2">
        <v>2</v>
      </c>
      <c r="EM145" s="2">
        <v>2</v>
      </c>
      <c r="EN145" s="2">
        <v>1</v>
      </c>
      <c r="EO145" s="2">
        <v>1</v>
      </c>
      <c r="EP145" s="11" t="s">
        <v>815</v>
      </c>
      <c r="EQ145" s="2">
        <v>1</v>
      </c>
      <c r="ER145" s="2">
        <v>1</v>
      </c>
      <c r="ES145" s="11" t="s">
        <v>815</v>
      </c>
      <c r="ET145" s="11" t="s">
        <v>815</v>
      </c>
      <c r="EU145" s="2">
        <v>2</v>
      </c>
      <c r="EV145" s="2">
        <v>2</v>
      </c>
      <c r="EW145" s="2">
        <v>2</v>
      </c>
      <c r="EX145" s="2">
        <v>2</v>
      </c>
      <c r="EY145" s="2">
        <v>2</v>
      </c>
      <c r="EZ145" s="2">
        <v>2</v>
      </c>
      <c r="FA145" s="2">
        <v>3</v>
      </c>
      <c r="FB145" s="2">
        <v>1</v>
      </c>
      <c r="FC145" s="2">
        <v>3</v>
      </c>
      <c r="FD145" s="2">
        <v>2</v>
      </c>
      <c r="FE145" s="2">
        <v>2</v>
      </c>
      <c r="FF145" s="2">
        <v>2</v>
      </c>
      <c r="FG145" s="2">
        <v>2</v>
      </c>
      <c r="FH145" s="2">
        <v>2</v>
      </c>
      <c r="FI145" s="2">
        <v>2</v>
      </c>
      <c r="FJ145" s="2">
        <v>2</v>
      </c>
      <c r="FK145" s="2">
        <v>3</v>
      </c>
      <c r="FL145" s="2">
        <v>3</v>
      </c>
      <c r="FM145" s="2">
        <v>3</v>
      </c>
      <c r="FN145" s="2">
        <v>2</v>
      </c>
      <c r="FO145" s="2">
        <v>1</v>
      </c>
      <c r="FP145" s="11" t="s">
        <v>815</v>
      </c>
      <c r="FQ145" s="2">
        <v>3</v>
      </c>
      <c r="FR145" s="2">
        <v>3</v>
      </c>
      <c r="FS145" s="2">
        <v>3</v>
      </c>
      <c r="FT145" s="2">
        <v>1</v>
      </c>
      <c r="FU145" s="2">
        <v>1</v>
      </c>
      <c r="FV145" s="2">
        <v>3</v>
      </c>
      <c r="FW145" s="2">
        <v>3</v>
      </c>
      <c r="FX145" s="2">
        <v>3</v>
      </c>
      <c r="FY145" s="2">
        <v>3</v>
      </c>
      <c r="FZ145" s="2">
        <v>3</v>
      </c>
      <c r="GA145" s="2">
        <v>3</v>
      </c>
      <c r="GB145" s="2">
        <v>3</v>
      </c>
      <c r="GC145" s="2" t="s">
        <v>1066</v>
      </c>
      <c r="GD145" s="2">
        <v>4</v>
      </c>
      <c r="GE145" s="2">
        <v>4</v>
      </c>
      <c r="GF145" s="2">
        <v>4</v>
      </c>
      <c r="GG145" s="2">
        <v>4</v>
      </c>
      <c r="GH145" s="2">
        <v>4</v>
      </c>
      <c r="GI145" s="2">
        <v>4</v>
      </c>
      <c r="GJ145" s="2">
        <v>4</v>
      </c>
      <c r="GK145" s="2">
        <v>4</v>
      </c>
      <c r="GL145" s="2">
        <v>4</v>
      </c>
      <c r="GM145" s="2">
        <v>4</v>
      </c>
      <c r="GN145" s="3">
        <v>3</v>
      </c>
      <c r="GO145" s="3">
        <v>3</v>
      </c>
      <c r="GP145" s="3">
        <v>3</v>
      </c>
      <c r="GQ145" s="3">
        <v>3</v>
      </c>
      <c r="GR145" s="3">
        <v>3</v>
      </c>
      <c r="GS145" s="3">
        <v>1</v>
      </c>
      <c r="GT145" s="3">
        <v>3</v>
      </c>
      <c r="GU145" s="3">
        <v>2</v>
      </c>
      <c r="GV145" s="3">
        <v>2</v>
      </c>
      <c r="GW145" s="3">
        <v>3</v>
      </c>
      <c r="GX145" s="3">
        <v>3</v>
      </c>
      <c r="GY145" s="3">
        <v>1</v>
      </c>
      <c r="GZ145" s="3">
        <v>3</v>
      </c>
      <c r="HA145" s="3">
        <v>3</v>
      </c>
      <c r="HB145" s="3">
        <v>3</v>
      </c>
      <c r="HC145" s="3">
        <v>3</v>
      </c>
      <c r="HD145" s="3">
        <v>1</v>
      </c>
      <c r="HE145" s="3">
        <v>1</v>
      </c>
      <c r="HF145" s="3">
        <v>2</v>
      </c>
      <c r="HG145" s="3">
        <v>1</v>
      </c>
      <c r="HH145" s="3">
        <v>3</v>
      </c>
      <c r="HI145" s="3">
        <v>1</v>
      </c>
      <c r="HJ145" s="3">
        <v>3</v>
      </c>
      <c r="HK145" s="3">
        <v>3</v>
      </c>
      <c r="HL145" s="3">
        <v>1</v>
      </c>
      <c r="HM145" s="3">
        <v>3</v>
      </c>
      <c r="HN145" s="12" t="s">
        <v>815</v>
      </c>
      <c r="HO145" s="3">
        <v>4</v>
      </c>
      <c r="HP145" s="3">
        <v>1</v>
      </c>
      <c r="HQ145" s="3">
        <v>3</v>
      </c>
      <c r="HR145" s="3">
        <v>3</v>
      </c>
      <c r="HS145" s="3">
        <v>2</v>
      </c>
      <c r="HT145" s="3">
        <v>2</v>
      </c>
      <c r="HU145" s="3">
        <v>2</v>
      </c>
      <c r="HV145" s="3">
        <v>3</v>
      </c>
      <c r="HW145" s="3">
        <v>1</v>
      </c>
      <c r="HX145" s="3">
        <v>2</v>
      </c>
      <c r="HY145" s="3">
        <v>2</v>
      </c>
      <c r="HZ145" s="3">
        <v>1</v>
      </c>
      <c r="IA145" s="3">
        <v>3</v>
      </c>
      <c r="IB145" s="3">
        <v>1</v>
      </c>
      <c r="IC145" s="3">
        <v>3</v>
      </c>
      <c r="ID145" s="3">
        <v>3</v>
      </c>
      <c r="IE145" s="3">
        <v>1</v>
      </c>
      <c r="IF145" s="3">
        <v>3</v>
      </c>
      <c r="IG145" s="3">
        <v>3</v>
      </c>
      <c r="IH145" s="3">
        <v>1</v>
      </c>
      <c r="II145" s="12" t="s">
        <v>815</v>
      </c>
      <c r="IJ145" s="3">
        <v>1</v>
      </c>
      <c r="IK145" s="3">
        <v>2</v>
      </c>
      <c r="IL145" s="3">
        <v>1</v>
      </c>
      <c r="IM145" s="3">
        <v>3</v>
      </c>
      <c r="IN145" s="3">
        <v>3</v>
      </c>
      <c r="IO145" s="3">
        <v>3</v>
      </c>
      <c r="IP145" s="3">
        <v>3</v>
      </c>
      <c r="IQ145" s="3">
        <v>3</v>
      </c>
      <c r="IR145" s="3" t="s">
        <v>1067</v>
      </c>
      <c r="IS145" s="3">
        <v>4</v>
      </c>
      <c r="IT145" s="3">
        <v>4</v>
      </c>
      <c r="IU145" s="12" t="s">
        <v>815</v>
      </c>
      <c r="IV145" s="12" t="s">
        <v>815</v>
      </c>
      <c r="IW145" s="3">
        <v>4</v>
      </c>
      <c r="IX145" s="3">
        <v>4</v>
      </c>
      <c r="IY145" s="3">
        <v>4</v>
      </c>
      <c r="IZ145" s="2" t="s">
        <v>816</v>
      </c>
    </row>
    <row r="146" spans="1:260" ht="13.2" x14ac:dyDescent="0.25">
      <c r="A146" s="10" t="s">
        <v>274</v>
      </c>
      <c r="B146" s="2" t="s">
        <v>381</v>
      </c>
      <c r="C146" s="2" t="s">
        <v>276</v>
      </c>
      <c r="D146" s="2" t="s">
        <v>270</v>
      </c>
      <c r="E146" s="2">
        <v>19</v>
      </c>
      <c r="F146" s="11" t="s">
        <v>271</v>
      </c>
      <c r="G146" s="11" t="s">
        <v>1068</v>
      </c>
      <c r="H146" s="2" t="s">
        <v>1069</v>
      </c>
      <c r="I146" s="3">
        <v>2</v>
      </c>
      <c r="J146" s="3">
        <v>2</v>
      </c>
      <c r="K146" s="3">
        <v>3</v>
      </c>
      <c r="L146" s="3">
        <v>4</v>
      </c>
      <c r="M146" s="3">
        <v>4</v>
      </c>
      <c r="N146" s="3">
        <v>3</v>
      </c>
      <c r="O146" s="3">
        <v>3</v>
      </c>
      <c r="P146" s="3">
        <v>3</v>
      </c>
      <c r="Q146" s="3">
        <v>2</v>
      </c>
      <c r="R146" s="3">
        <v>2</v>
      </c>
      <c r="S146" s="3">
        <v>4</v>
      </c>
      <c r="T146" s="3">
        <v>2</v>
      </c>
      <c r="U146" s="3">
        <v>3</v>
      </c>
      <c r="V146" s="3">
        <v>2</v>
      </c>
      <c r="W146" s="3">
        <v>4</v>
      </c>
      <c r="X146" s="3">
        <v>3</v>
      </c>
      <c r="Y146" s="3">
        <v>4</v>
      </c>
      <c r="Z146" s="3">
        <v>3</v>
      </c>
      <c r="AA146" s="3">
        <v>2</v>
      </c>
      <c r="AB146" s="3">
        <v>1</v>
      </c>
      <c r="AC146" s="3">
        <v>2</v>
      </c>
      <c r="AD146" s="3">
        <v>1</v>
      </c>
      <c r="AE146" s="3">
        <v>4</v>
      </c>
      <c r="AF146" s="3">
        <v>3</v>
      </c>
      <c r="AG146" s="12" t="s">
        <v>815</v>
      </c>
      <c r="AH146" s="12" t="s">
        <v>815</v>
      </c>
      <c r="AI146" s="3">
        <v>3</v>
      </c>
      <c r="AJ146" s="3">
        <v>2</v>
      </c>
      <c r="AK146" s="3">
        <v>4</v>
      </c>
      <c r="AL146" s="3">
        <v>3</v>
      </c>
      <c r="AM146" s="12" t="s">
        <v>815</v>
      </c>
      <c r="AN146" s="3">
        <v>1</v>
      </c>
      <c r="AO146" s="3">
        <v>2</v>
      </c>
      <c r="AP146" s="3">
        <v>3</v>
      </c>
      <c r="AQ146" s="3">
        <v>3</v>
      </c>
      <c r="AR146" s="3">
        <v>1</v>
      </c>
      <c r="AS146" s="3">
        <v>2</v>
      </c>
      <c r="AT146" s="3">
        <v>3</v>
      </c>
      <c r="AU146" s="3">
        <v>4</v>
      </c>
      <c r="AV146" s="3">
        <v>4</v>
      </c>
      <c r="AW146" s="3">
        <v>1</v>
      </c>
      <c r="AX146" s="3">
        <v>1</v>
      </c>
      <c r="AY146" s="3">
        <v>2</v>
      </c>
      <c r="AZ146" s="12" t="s">
        <v>815</v>
      </c>
      <c r="BA146" s="3">
        <v>2</v>
      </c>
      <c r="BB146" s="3">
        <v>2</v>
      </c>
      <c r="BC146" s="12" t="s">
        <v>815</v>
      </c>
      <c r="BD146" s="3">
        <v>3</v>
      </c>
      <c r="BE146" s="3">
        <v>2</v>
      </c>
      <c r="BF146" s="3">
        <v>4</v>
      </c>
      <c r="BG146" s="3">
        <v>4</v>
      </c>
      <c r="BH146" s="3">
        <v>2</v>
      </c>
      <c r="BI146" s="12" t="s">
        <v>815</v>
      </c>
      <c r="BJ146" s="3">
        <v>2</v>
      </c>
      <c r="BK146" s="3">
        <v>4</v>
      </c>
      <c r="BL146" s="3">
        <v>1</v>
      </c>
      <c r="BM146" s="3" t="s">
        <v>1070</v>
      </c>
      <c r="BN146" s="3">
        <v>2</v>
      </c>
      <c r="BO146" s="3">
        <v>2</v>
      </c>
      <c r="BP146" s="3">
        <v>4</v>
      </c>
      <c r="BQ146" s="3">
        <v>2</v>
      </c>
      <c r="BR146" s="12" t="s">
        <v>815</v>
      </c>
      <c r="BS146" s="3">
        <v>3</v>
      </c>
      <c r="BT146" s="3">
        <v>4</v>
      </c>
      <c r="BU146" s="2">
        <v>3</v>
      </c>
      <c r="BV146" s="2">
        <v>2</v>
      </c>
      <c r="BW146" s="2">
        <v>3</v>
      </c>
      <c r="BX146" s="2">
        <v>2</v>
      </c>
      <c r="BY146" s="2">
        <v>3</v>
      </c>
      <c r="BZ146" s="2">
        <v>3</v>
      </c>
      <c r="CA146" s="2">
        <v>1</v>
      </c>
      <c r="CB146" s="2">
        <v>4</v>
      </c>
      <c r="CC146" s="2">
        <v>3</v>
      </c>
      <c r="CD146" s="2">
        <v>3</v>
      </c>
      <c r="CE146" s="2">
        <v>2</v>
      </c>
      <c r="CF146" s="2">
        <v>3</v>
      </c>
      <c r="CG146" s="2">
        <v>3</v>
      </c>
      <c r="CH146" s="2">
        <v>3</v>
      </c>
      <c r="CI146" s="2">
        <v>2</v>
      </c>
      <c r="CJ146" s="2">
        <v>3</v>
      </c>
      <c r="CK146" s="2">
        <v>2</v>
      </c>
      <c r="CL146" s="2">
        <v>3</v>
      </c>
      <c r="CM146" s="2">
        <v>1</v>
      </c>
      <c r="CN146" s="11" t="s">
        <v>815</v>
      </c>
      <c r="CO146" s="2">
        <v>1</v>
      </c>
      <c r="CP146" s="11" t="s">
        <v>815</v>
      </c>
      <c r="CQ146" s="2">
        <v>1</v>
      </c>
      <c r="CR146" s="11" t="s">
        <v>815</v>
      </c>
      <c r="CS146" s="2">
        <v>1</v>
      </c>
      <c r="CT146" s="11" t="s">
        <v>815</v>
      </c>
      <c r="CU146" s="11" t="s">
        <v>815</v>
      </c>
      <c r="CV146" s="2">
        <v>2</v>
      </c>
      <c r="CW146" s="2">
        <v>2</v>
      </c>
      <c r="CX146" s="2">
        <v>1</v>
      </c>
      <c r="CY146" s="11" t="s">
        <v>815</v>
      </c>
      <c r="CZ146" s="2">
        <v>2</v>
      </c>
      <c r="DA146" s="2">
        <v>2</v>
      </c>
      <c r="DB146" s="2">
        <v>2</v>
      </c>
      <c r="DC146" s="2">
        <v>1</v>
      </c>
      <c r="DD146" s="2">
        <v>2</v>
      </c>
      <c r="DE146" s="2">
        <v>3</v>
      </c>
      <c r="DF146" s="2">
        <v>3</v>
      </c>
      <c r="DG146" s="2">
        <v>2</v>
      </c>
      <c r="DH146" s="2">
        <v>2</v>
      </c>
      <c r="DI146" s="2">
        <v>1</v>
      </c>
      <c r="DJ146" s="2">
        <v>2</v>
      </c>
      <c r="DK146" s="2">
        <v>2</v>
      </c>
      <c r="DL146" s="2">
        <v>3</v>
      </c>
      <c r="DM146" s="2">
        <v>2</v>
      </c>
      <c r="DN146" s="2">
        <v>1</v>
      </c>
      <c r="DO146" s="2">
        <v>1</v>
      </c>
      <c r="DP146" s="2">
        <v>3</v>
      </c>
      <c r="DQ146" s="2">
        <v>2</v>
      </c>
      <c r="DR146" s="2">
        <v>1</v>
      </c>
      <c r="DS146" s="2">
        <v>3</v>
      </c>
      <c r="DT146" s="2">
        <v>2</v>
      </c>
      <c r="DU146" s="2">
        <v>1</v>
      </c>
      <c r="DV146" s="2">
        <v>1</v>
      </c>
      <c r="DW146" s="11" t="s">
        <v>815</v>
      </c>
      <c r="DX146" s="2">
        <v>2</v>
      </c>
      <c r="DY146" s="2">
        <v>3</v>
      </c>
      <c r="DZ146" s="2">
        <v>2</v>
      </c>
      <c r="EA146" s="11" t="s">
        <v>815</v>
      </c>
      <c r="EB146" s="11" t="s">
        <v>815</v>
      </c>
      <c r="EC146" s="2">
        <v>1</v>
      </c>
      <c r="ED146" s="11" t="s">
        <v>815</v>
      </c>
      <c r="EE146" s="2">
        <v>1</v>
      </c>
      <c r="EF146" s="11" t="s">
        <v>815</v>
      </c>
      <c r="EG146" s="11" t="s">
        <v>815</v>
      </c>
      <c r="EH146" s="11" t="s">
        <v>815</v>
      </c>
      <c r="EI146" s="2">
        <v>2</v>
      </c>
      <c r="EJ146" s="2">
        <v>3</v>
      </c>
      <c r="EK146" s="2">
        <v>1</v>
      </c>
      <c r="EL146" s="2">
        <v>3</v>
      </c>
      <c r="EM146" s="2">
        <v>1</v>
      </c>
      <c r="EN146" s="11" t="s">
        <v>815</v>
      </c>
      <c r="EO146" s="2">
        <v>1</v>
      </c>
      <c r="EP146" s="11" t="s">
        <v>815</v>
      </c>
      <c r="EQ146" s="2">
        <v>2</v>
      </c>
      <c r="ER146" s="2">
        <v>1</v>
      </c>
      <c r="ES146" s="2">
        <v>2</v>
      </c>
      <c r="ET146" s="2">
        <v>2</v>
      </c>
      <c r="EU146" s="2">
        <v>2</v>
      </c>
      <c r="EV146" s="2">
        <v>3</v>
      </c>
      <c r="EW146" s="2">
        <v>1</v>
      </c>
      <c r="EX146" s="2">
        <v>3</v>
      </c>
      <c r="EY146" s="2">
        <v>2</v>
      </c>
      <c r="EZ146" s="2">
        <v>2</v>
      </c>
      <c r="FA146" s="2">
        <v>2</v>
      </c>
      <c r="FB146" s="2">
        <v>1</v>
      </c>
      <c r="FC146" s="2">
        <v>3</v>
      </c>
      <c r="FD146" s="2">
        <v>1</v>
      </c>
      <c r="FE146" s="2">
        <v>2</v>
      </c>
      <c r="FF146" s="2">
        <v>3</v>
      </c>
      <c r="FG146" s="2">
        <v>3</v>
      </c>
      <c r="FH146" s="2">
        <v>1</v>
      </c>
      <c r="FI146" s="2">
        <v>2</v>
      </c>
      <c r="FJ146" s="2">
        <v>2</v>
      </c>
      <c r="FK146" s="2">
        <v>1</v>
      </c>
      <c r="FL146" s="2">
        <v>1</v>
      </c>
      <c r="FM146" s="2">
        <v>1</v>
      </c>
      <c r="FN146" s="2">
        <v>1</v>
      </c>
      <c r="FO146" s="2">
        <v>1</v>
      </c>
      <c r="FP146" s="11" t="s">
        <v>815</v>
      </c>
      <c r="FQ146" s="2">
        <v>2</v>
      </c>
      <c r="FR146" s="2">
        <v>2</v>
      </c>
      <c r="FS146" s="2">
        <v>2</v>
      </c>
      <c r="FT146" s="2">
        <v>1</v>
      </c>
      <c r="FU146" s="2">
        <v>2</v>
      </c>
      <c r="FV146" s="2">
        <v>3</v>
      </c>
      <c r="FW146" s="2">
        <v>1</v>
      </c>
      <c r="FX146" s="2">
        <v>3</v>
      </c>
      <c r="FY146" s="2">
        <v>4</v>
      </c>
      <c r="FZ146" s="2">
        <v>1</v>
      </c>
      <c r="GA146" s="2">
        <v>2</v>
      </c>
      <c r="GB146" s="2">
        <v>1</v>
      </c>
      <c r="GC146" s="2" t="s">
        <v>1071</v>
      </c>
      <c r="GD146" s="2">
        <v>2</v>
      </c>
      <c r="GE146" s="2">
        <v>1</v>
      </c>
      <c r="GF146" s="2">
        <v>3</v>
      </c>
      <c r="GG146" s="2">
        <v>1</v>
      </c>
      <c r="GH146" s="2">
        <v>3</v>
      </c>
      <c r="GI146" s="2">
        <v>2</v>
      </c>
      <c r="GJ146" s="2">
        <v>2</v>
      </c>
      <c r="GK146" s="2">
        <v>1</v>
      </c>
      <c r="GL146" s="2">
        <v>2</v>
      </c>
      <c r="GM146" s="2">
        <v>1</v>
      </c>
      <c r="GN146" s="3">
        <v>2</v>
      </c>
      <c r="GO146" s="3">
        <v>2</v>
      </c>
      <c r="GP146" s="3">
        <v>2</v>
      </c>
      <c r="GQ146" s="3">
        <v>3</v>
      </c>
      <c r="GR146" s="3">
        <v>2</v>
      </c>
      <c r="GS146" s="3">
        <v>2</v>
      </c>
      <c r="GT146" s="3">
        <v>1</v>
      </c>
      <c r="GU146" s="3">
        <v>3</v>
      </c>
      <c r="GV146" s="3">
        <v>1</v>
      </c>
      <c r="GW146" s="3">
        <v>2</v>
      </c>
      <c r="GX146" s="12" t="s">
        <v>815</v>
      </c>
      <c r="GY146" s="3">
        <v>2</v>
      </c>
      <c r="GZ146" s="3">
        <v>2</v>
      </c>
      <c r="HA146" s="12" t="s">
        <v>815</v>
      </c>
      <c r="HB146" s="3">
        <v>1</v>
      </c>
      <c r="HC146" s="3">
        <v>2</v>
      </c>
      <c r="HD146" s="12" t="s">
        <v>815</v>
      </c>
      <c r="HE146" s="3">
        <v>1</v>
      </c>
      <c r="HF146" s="3">
        <v>1</v>
      </c>
      <c r="HG146" s="12" t="s">
        <v>815</v>
      </c>
      <c r="HH146" s="3">
        <v>2</v>
      </c>
      <c r="HI146" s="3">
        <v>1</v>
      </c>
      <c r="HJ146" s="12" t="s">
        <v>815</v>
      </c>
      <c r="HK146" s="3">
        <v>3</v>
      </c>
      <c r="HL146" s="12" t="s">
        <v>815</v>
      </c>
      <c r="HM146" s="12" t="s">
        <v>815</v>
      </c>
      <c r="HN146" s="12" t="s">
        <v>815</v>
      </c>
      <c r="HO146" s="3">
        <v>3</v>
      </c>
      <c r="HP146" s="3">
        <v>2</v>
      </c>
      <c r="HQ146" s="3">
        <v>4</v>
      </c>
      <c r="HR146" s="12" t="s">
        <v>815</v>
      </c>
      <c r="HS146" s="12" t="s">
        <v>815</v>
      </c>
      <c r="HT146" s="3">
        <v>1</v>
      </c>
      <c r="HU146" s="12" t="s">
        <v>815</v>
      </c>
      <c r="HV146" s="3">
        <v>2</v>
      </c>
      <c r="HW146" s="3">
        <v>2</v>
      </c>
      <c r="HX146" s="3">
        <v>2</v>
      </c>
      <c r="HY146" s="12" t="s">
        <v>815</v>
      </c>
      <c r="HZ146" s="3">
        <v>2</v>
      </c>
      <c r="IA146" s="3">
        <v>1</v>
      </c>
      <c r="IB146" s="3">
        <v>3</v>
      </c>
      <c r="IC146" s="12" t="s">
        <v>815</v>
      </c>
      <c r="ID146" s="3">
        <v>2</v>
      </c>
      <c r="IE146" s="3">
        <v>2</v>
      </c>
      <c r="IF146" s="3">
        <v>2</v>
      </c>
      <c r="IG146" s="3">
        <v>1</v>
      </c>
      <c r="IH146" s="12" t="s">
        <v>815</v>
      </c>
      <c r="II146" s="3">
        <v>2</v>
      </c>
      <c r="IJ146" s="3">
        <v>3</v>
      </c>
      <c r="IK146" s="3">
        <v>1</v>
      </c>
      <c r="IL146" s="12" t="s">
        <v>815</v>
      </c>
      <c r="IM146" s="12" t="s">
        <v>815</v>
      </c>
      <c r="IN146" s="12" t="s">
        <v>815</v>
      </c>
      <c r="IO146" s="3">
        <v>1</v>
      </c>
      <c r="IP146" s="3">
        <v>1</v>
      </c>
      <c r="IQ146" s="3">
        <v>2</v>
      </c>
      <c r="IR146" s="3" t="s">
        <v>1072</v>
      </c>
      <c r="IS146" s="3">
        <v>1</v>
      </c>
      <c r="IT146" s="3">
        <v>3</v>
      </c>
      <c r="IU146" s="3">
        <v>3</v>
      </c>
      <c r="IV146" s="3">
        <v>3</v>
      </c>
      <c r="IW146" s="3">
        <v>3</v>
      </c>
      <c r="IX146" s="3">
        <v>1</v>
      </c>
      <c r="IY146" s="12" t="s">
        <v>815</v>
      </c>
      <c r="IZ146" s="2" t="s">
        <v>816</v>
      </c>
    </row>
    <row r="147" spans="1:260" ht="13.2" x14ac:dyDescent="0.25">
      <c r="A147" s="10" t="s">
        <v>274</v>
      </c>
      <c r="B147" s="2" t="s">
        <v>1073</v>
      </c>
      <c r="C147" s="2" t="s">
        <v>276</v>
      </c>
      <c r="D147" s="2" t="s">
        <v>270</v>
      </c>
      <c r="E147" s="2">
        <v>23</v>
      </c>
      <c r="F147" s="11" t="s">
        <v>1074</v>
      </c>
      <c r="G147" s="11" t="s">
        <v>1068</v>
      </c>
      <c r="H147" s="2" t="s">
        <v>316</v>
      </c>
      <c r="I147" s="3">
        <v>4</v>
      </c>
      <c r="J147" s="3">
        <v>2</v>
      </c>
      <c r="K147" s="3">
        <v>3</v>
      </c>
      <c r="L147" s="3">
        <v>3</v>
      </c>
      <c r="M147" s="3">
        <v>3</v>
      </c>
      <c r="N147" s="3">
        <v>3</v>
      </c>
      <c r="O147" s="3">
        <v>2</v>
      </c>
      <c r="P147" s="3">
        <v>1</v>
      </c>
      <c r="Q147" s="3">
        <v>1</v>
      </c>
      <c r="R147" s="3">
        <v>3</v>
      </c>
      <c r="S147" s="12" t="s">
        <v>815</v>
      </c>
      <c r="T147" s="3">
        <v>1</v>
      </c>
      <c r="U147" s="12" t="s">
        <v>815</v>
      </c>
      <c r="V147" s="12" t="s">
        <v>815</v>
      </c>
      <c r="W147" s="3">
        <v>1</v>
      </c>
      <c r="X147" s="3">
        <v>1</v>
      </c>
      <c r="Y147" s="12" t="s">
        <v>815</v>
      </c>
      <c r="Z147" s="3">
        <v>1</v>
      </c>
      <c r="AA147" s="3">
        <v>4</v>
      </c>
      <c r="AB147" s="3">
        <v>2</v>
      </c>
      <c r="AC147" s="3">
        <v>2</v>
      </c>
      <c r="AD147" s="3">
        <v>2</v>
      </c>
      <c r="AE147" s="3">
        <v>3</v>
      </c>
      <c r="AF147" s="12" t="s">
        <v>815</v>
      </c>
      <c r="AG147" s="12" t="s">
        <v>815</v>
      </c>
      <c r="AH147" s="12" t="s">
        <v>815</v>
      </c>
      <c r="AI147" s="3">
        <v>2</v>
      </c>
      <c r="AJ147" s="3">
        <v>2</v>
      </c>
      <c r="AK147" s="3">
        <v>2</v>
      </c>
      <c r="AL147" s="3">
        <v>2</v>
      </c>
      <c r="AM147" s="12" t="s">
        <v>815</v>
      </c>
      <c r="AN147" s="12" t="s">
        <v>815</v>
      </c>
      <c r="AO147" s="3">
        <v>3</v>
      </c>
      <c r="AP147" s="3">
        <v>2</v>
      </c>
      <c r="AQ147" s="12" t="s">
        <v>815</v>
      </c>
      <c r="AR147" s="3">
        <v>2</v>
      </c>
      <c r="AS147" s="3">
        <v>2</v>
      </c>
      <c r="AT147" s="3">
        <v>1</v>
      </c>
      <c r="AU147" s="12" t="s">
        <v>815</v>
      </c>
      <c r="AV147" s="3">
        <v>1</v>
      </c>
      <c r="AW147" s="12" t="s">
        <v>815</v>
      </c>
      <c r="AX147" s="12" t="s">
        <v>815</v>
      </c>
      <c r="AY147" s="12" t="s">
        <v>815</v>
      </c>
      <c r="AZ147" s="12" t="s">
        <v>815</v>
      </c>
      <c r="BA147" s="12" t="s">
        <v>815</v>
      </c>
      <c r="BB147" s="3">
        <v>3</v>
      </c>
      <c r="BC147" s="12" t="s">
        <v>815</v>
      </c>
      <c r="BD147" s="3">
        <v>3</v>
      </c>
      <c r="BE147" s="3">
        <v>3</v>
      </c>
      <c r="BF147" s="12" t="s">
        <v>815</v>
      </c>
      <c r="BG147" s="3">
        <v>1</v>
      </c>
      <c r="BH147" s="12" t="s">
        <v>815</v>
      </c>
      <c r="BI147" s="3">
        <v>1</v>
      </c>
      <c r="BJ147" s="3">
        <v>2</v>
      </c>
      <c r="BK147" s="12" t="s">
        <v>815</v>
      </c>
      <c r="BL147" s="12" t="s">
        <v>815</v>
      </c>
      <c r="BM147" s="3" t="s">
        <v>1075</v>
      </c>
      <c r="BN147" s="3">
        <v>4</v>
      </c>
      <c r="BO147" s="3">
        <v>2</v>
      </c>
      <c r="BP147" s="3">
        <v>2</v>
      </c>
      <c r="BQ147" s="3">
        <v>1</v>
      </c>
      <c r="BR147" s="3">
        <v>1</v>
      </c>
      <c r="BS147" s="3">
        <v>2</v>
      </c>
      <c r="BT147" s="3">
        <v>2</v>
      </c>
      <c r="BU147" s="2">
        <v>2</v>
      </c>
      <c r="BV147" s="11" t="s">
        <v>815</v>
      </c>
      <c r="BW147" s="11" t="s">
        <v>815</v>
      </c>
      <c r="BX147" s="11" t="s">
        <v>815</v>
      </c>
      <c r="BY147" s="2">
        <v>1</v>
      </c>
      <c r="BZ147" s="11" t="s">
        <v>815</v>
      </c>
      <c r="CA147" s="11" t="s">
        <v>815</v>
      </c>
      <c r="CB147" s="2">
        <v>2</v>
      </c>
      <c r="CC147" s="11" t="s">
        <v>815</v>
      </c>
      <c r="CD147" s="2">
        <v>2</v>
      </c>
      <c r="CE147" s="11" t="s">
        <v>815</v>
      </c>
      <c r="CF147" s="11" t="s">
        <v>815</v>
      </c>
      <c r="CG147" s="11" t="s">
        <v>815</v>
      </c>
      <c r="CH147" s="11" t="s">
        <v>815</v>
      </c>
      <c r="CI147" s="2">
        <v>1</v>
      </c>
      <c r="CJ147" s="11" t="s">
        <v>815</v>
      </c>
      <c r="CK147" s="11" t="s">
        <v>815</v>
      </c>
      <c r="CL147" s="11" t="s">
        <v>815</v>
      </c>
      <c r="CM147" s="11" t="s">
        <v>815</v>
      </c>
      <c r="CN147" s="11" t="s">
        <v>815</v>
      </c>
      <c r="CO147" s="11" t="s">
        <v>815</v>
      </c>
      <c r="CP147" s="11" t="s">
        <v>815</v>
      </c>
      <c r="CQ147" s="11" t="s">
        <v>815</v>
      </c>
      <c r="CR147" s="11" t="s">
        <v>815</v>
      </c>
      <c r="CS147" s="11" t="s">
        <v>815</v>
      </c>
      <c r="CT147" s="11" t="s">
        <v>815</v>
      </c>
      <c r="CU147" s="11" t="s">
        <v>815</v>
      </c>
      <c r="CV147" s="2">
        <v>2</v>
      </c>
      <c r="CW147" s="11" t="s">
        <v>815</v>
      </c>
      <c r="CX147" s="11" t="s">
        <v>815</v>
      </c>
      <c r="CY147" s="11" t="s">
        <v>815</v>
      </c>
      <c r="CZ147" s="11" t="s">
        <v>815</v>
      </c>
      <c r="DA147" s="11" t="s">
        <v>815</v>
      </c>
      <c r="DB147" s="11" t="s">
        <v>815</v>
      </c>
      <c r="DC147" s="2">
        <v>2</v>
      </c>
      <c r="DD147" s="11" t="s">
        <v>815</v>
      </c>
      <c r="DE147" s="2">
        <v>3</v>
      </c>
      <c r="DF147" s="2">
        <v>2</v>
      </c>
      <c r="DG147" s="11" t="s">
        <v>815</v>
      </c>
      <c r="DH147" s="11" t="s">
        <v>815</v>
      </c>
      <c r="DI147" s="11" t="s">
        <v>815</v>
      </c>
      <c r="DJ147" s="2">
        <v>2</v>
      </c>
      <c r="DK147" s="11" t="s">
        <v>815</v>
      </c>
      <c r="DL147" s="2">
        <v>1</v>
      </c>
      <c r="DM147" s="11" t="s">
        <v>815</v>
      </c>
      <c r="DN147" s="2">
        <v>2</v>
      </c>
      <c r="DO147" s="11" t="s">
        <v>815</v>
      </c>
      <c r="DP147" s="2">
        <v>3</v>
      </c>
      <c r="DQ147" s="2">
        <v>3</v>
      </c>
      <c r="DR147" s="11" t="s">
        <v>815</v>
      </c>
      <c r="DS147" s="2">
        <v>2</v>
      </c>
      <c r="DT147" s="11" t="s">
        <v>815</v>
      </c>
      <c r="DU147" s="2">
        <v>2</v>
      </c>
      <c r="DV147" s="11" t="s">
        <v>815</v>
      </c>
      <c r="DW147" s="11" t="s">
        <v>815</v>
      </c>
      <c r="DX147" s="11" t="s">
        <v>815</v>
      </c>
      <c r="DY147" s="11" t="s">
        <v>815</v>
      </c>
      <c r="DZ147" s="11" t="s">
        <v>815</v>
      </c>
      <c r="EA147" s="11" t="s">
        <v>815</v>
      </c>
      <c r="EB147" s="11" t="s">
        <v>815</v>
      </c>
      <c r="EC147" s="11" t="s">
        <v>815</v>
      </c>
      <c r="ED147" s="11" t="s">
        <v>815</v>
      </c>
      <c r="EE147" s="11" t="s">
        <v>815</v>
      </c>
      <c r="EF147" s="11" t="s">
        <v>815</v>
      </c>
      <c r="EG147" s="11" t="s">
        <v>815</v>
      </c>
      <c r="EH147" s="11" t="s">
        <v>815</v>
      </c>
      <c r="EI147" s="11" t="s">
        <v>815</v>
      </c>
      <c r="EJ147" s="2">
        <v>2</v>
      </c>
      <c r="EK147" s="11" t="s">
        <v>815</v>
      </c>
      <c r="EL147" s="2">
        <v>1</v>
      </c>
      <c r="EM147" s="2">
        <v>1</v>
      </c>
      <c r="EN147" s="11" t="s">
        <v>815</v>
      </c>
      <c r="EO147" s="11" t="s">
        <v>815</v>
      </c>
      <c r="EP147" s="11" t="s">
        <v>815</v>
      </c>
      <c r="EQ147" s="11" t="s">
        <v>815</v>
      </c>
      <c r="ER147" s="11" t="s">
        <v>815</v>
      </c>
      <c r="ES147" s="11" t="s">
        <v>815</v>
      </c>
      <c r="ET147" s="2">
        <v>1</v>
      </c>
      <c r="EU147" s="11" t="s">
        <v>815</v>
      </c>
      <c r="EV147" s="2">
        <v>1</v>
      </c>
      <c r="EW147" s="11" t="s">
        <v>815</v>
      </c>
      <c r="EX147" s="11" t="s">
        <v>815</v>
      </c>
      <c r="EY147" s="11" t="s">
        <v>815</v>
      </c>
      <c r="EZ147" s="11" t="s">
        <v>815</v>
      </c>
      <c r="FA147" s="2">
        <v>1</v>
      </c>
      <c r="FB147" s="11" t="s">
        <v>815</v>
      </c>
      <c r="FC147" s="2">
        <v>1</v>
      </c>
      <c r="FD147" s="11" t="s">
        <v>815</v>
      </c>
      <c r="FE147" s="11" t="s">
        <v>815</v>
      </c>
      <c r="FF147" s="2">
        <v>1</v>
      </c>
      <c r="FG147" s="2">
        <v>1</v>
      </c>
      <c r="FH147" s="11" t="s">
        <v>815</v>
      </c>
      <c r="FI147" s="11" t="s">
        <v>815</v>
      </c>
      <c r="FJ147" s="11" t="s">
        <v>815</v>
      </c>
      <c r="FK147" s="11" t="s">
        <v>815</v>
      </c>
      <c r="FL147" s="11" t="s">
        <v>815</v>
      </c>
      <c r="FM147" s="11" t="s">
        <v>815</v>
      </c>
      <c r="FN147" s="11" t="s">
        <v>815</v>
      </c>
      <c r="FO147" s="11" t="s">
        <v>815</v>
      </c>
      <c r="FP147" s="11" t="s">
        <v>815</v>
      </c>
      <c r="FQ147" s="2">
        <v>3</v>
      </c>
      <c r="FR147" s="11" t="s">
        <v>815</v>
      </c>
      <c r="FS147" s="11" t="s">
        <v>815</v>
      </c>
      <c r="FT147" s="2">
        <v>2</v>
      </c>
      <c r="FU147" s="11" t="s">
        <v>815</v>
      </c>
      <c r="FV147" s="11" t="s">
        <v>815</v>
      </c>
      <c r="FW147" s="11" t="s">
        <v>815</v>
      </c>
      <c r="FX147" s="11" t="s">
        <v>815</v>
      </c>
      <c r="FY147" s="11" t="s">
        <v>815</v>
      </c>
      <c r="FZ147" s="2">
        <v>2</v>
      </c>
      <c r="GA147" s="11" t="s">
        <v>815</v>
      </c>
      <c r="GB147" s="11" t="s">
        <v>815</v>
      </c>
      <c r="GC147" s="2" t="s">
        <v>274</v>
      </c>
      <c r="GD147" s="2">
        <v>2</v>
      </c>
      <c r="GE147" s="11" t="s">
        <v>815</v>
      </c>
      <c r="GF147" s="2">
        <v>1</v>
      </c>
      <c r="GG147" s="2">
        <v>1</v>
      </c>
      <c r="GH147" s="11" t="s">
        <v>815</v>
      </c>
      <c r="GI147" s="11" t="s">
        <v>815</v>
      </c>
      <c r="GJ147" s="11" t="s">
        <v>815</v>
      </c>
      <c r="GK147" s="2">
        <v>2</v>
      </c>
      <c r="GL147" s="11" t="s">
        <v>815</v>
      </c>
      <c r="GM147" s="11" t="s">
        <v>815</v>
      </c>
      <c r="GN147" s="3">
        <v>2</v>
      </c>
      <c r="GO147" s="12" t="s">
        <v>815</v>
      </c>
      <c r="GP147" s="3">
        <v>2</v>
      </c>
      <c r="GQ147" s="3">
        <v>2</v>
      </c>
      <c r="GR147" s="12" t="s">
        <v>815</v>
      </c>
      <c r="GS147" s="12" t="s">
        <v>815</v>
      </c>
      <c r="GT147" s="3">
        <v>1</v>
      </c>
      <c r="GU147" s="12" t="s">
        <v>815</v>
      </c>
      <c r="GV147" s="3">
        <v>1</v>
      </c>
      <c r="GW147" s="12" t="s">
        <v>815</v>
      </c>
      <c r="GX147" s="3">
        <v>2</v>
      </c>
      <c r="GY147" s="12" t="s">
        <v>815</v>
      </c>
      <c r="GZ147" s="12" t="s">
        <v>815</v>
      </c>
      <c r="HA147" s="3">
        <v>2</v>
      </c>
      <c r="HB147" s="12" t="s">
        <v>815</v>
      </c>
      <c r="HC147" s="12" t="s">
        <v>815</v>
      </c>
      <c r="HD147" s="12" t="s">
        <v>815</v>
      </c>
      <c r="HE147" s="12" t="s">
        <v>815</v>
      </c>
      <c r="HF147" s="12" t="s">
        <v>815</v>
      </c>
      <c r="HG147" s="12" t="s">
        <v>815</v>
      </c>
      <c r="HH147" s="12" t="s">
        <v>815</v>
      </c>
      <c r="HI147" s="12" t="s">
        <v>815</v>
      </c>
      <c r="HJ147" s="3">
        <v>2</v>
      </c>
      <c r="HK147" s="3">
        <v>2</v>
      </c>
      <c r="HL147" s="12" t="s">
        <v>815</v>
      </c>
      <c r="HM147" s="3">
        <v>2</v>
      </c>
      <c r="HN147" s="12" t="s">
        <v>815</v>
      </c>
      <c r="HO147" s="12" t="s">
        <v>815</v>
      </c>
      <c r="HP147" s="12" t="s">
        <v>815</v>
      </c>
      <c r="HQ147" s="12" t="s">
        <v>815</v>
      </c>
      <c r="HR147" s="12" t="s">
        <v>815</v>
      </c>
      <c r="HS147" s="12" t="s">
        <v>815</v>
      </c>
      <c r="HT147" s="12" t="s">
        <v>815</v>
      </c>
      <c r="HU147" s="12" t="s">
        <v>815</v>
      </c>
      <c r="HV147" s="3">
        <v>2</v>
      </c>
      <c r="HW147" s="12" t="s">
        <v>815</v>
      </c>
      <c r="HX147" s="12" t="s">
        <v>815</v>
      </c>
      <c r="HY147" s="12" t="s">
        <v>815</v>
      </c>
      <c r="HZ147" s="12" t="s">
        <v>815</v>
      </c>
      <c r="IA147" s="3">
        <v>1</v>
      </c>
      <c r="IB147" s="12" t="s">
        <v>815</v>
      </c>
      <c r="IC147" s="12" t="s">
        <v>815</v>
      </c>
      <c r="ID147" s="3">
        <v>2</v>
      </c>
      <c r="IE147" s="12" t="s">
        <v>815</v>
      </c>
      <c r="IF147" s="12" t="s">
        <v>815</v>
      </c>
      <c r="IG147" s="3">
        <v>1</v>
      </c>
      <c r="IH147" s="12" t="s">
        <v>815</v>
      </c>
      <c r="II147" s="12" t="s">
        <v>815</v>
      </c>
      <c r="IJ147" s="12" t="s">
        <v>815</v>
      </c>
      <c r="IK147" s="3">
        <v>2</v>
      </c>
      <c r="IL147" s="3">
        <v>3</v>
      </c>
      <c r="IM147" s="12" t="s">
        <v>815</v>
      </c>
      <c r="IN147" s="12" t="s">
        <v>815</v>
      </c>
      <c r="IO147" s="12" t="s">
        <v>815</v>
      </c>
      <c r="IP147" s="12" t="s">
        <v>815</v>
      </c>
      <c r="IQ147" s="12" t="s">
        <v>815</v>
      </c>
      <c r="IR147" s="3" t="s">
        <v>1076</v>
      </c>
      <c r="IS147" s="3">
        <v>3</v>
      </c>
      <c r="IT147" s="3">
        <v>2</v>
      </c>
      <c r="IU147" s="12" t="s">
        <v>815</v>
      </c>
      <c r="IV147" s="3">
        <v>1</v>
      </c>
      <c r="IW147" s="12" t="s">
        <v>815</v>
      </c>
      <c r="IX147" s="3">
        <v>2</v>
      </c>
      <c r="IY147" s="3">
        <v>2</v>
      </c>
      <c r="IZ147" s="2" t="s">
        <v>816</v>
      </c>
    </row>
    <row r="148" spans="1:260" ht="13.2" x14ac:dyDescent="0.25">
      <c r="A148" s="10" t="s">
        <v>274</v>
      </c>
      <c r="B148" s="2" t="s">
        <v>1077</v>
      </c>
      <c r="C148" s="2" t="s">
        <v>261</v>
      </c>
      <c r="D148" s="2" t="s">
        <v>270</v>
      </c>
      <c r="E148" s="2">
        <v>27</v>
      </c>
      <c r="F148" s="11" t="s">
        <v>1078</v>
      </c>
      <c r="G148" s="11" t="s">
        <v>1079</v>
      </c>
      <c r="H148" s="2" t="s">
        <v>1080</v>
      </c>
      <c r="I148" s="3">
        <v>3</v>
      </c>
      <c r="J148" s="3">
        <v>3</v>
      </c>
      <c r="K148" s="3">
        <v>4</v>
      </c>
      <c r="L148" s="3">
        <v>4</v>
      </c>
      <c r="M148" s="3">
        <v>4</v>
      </c>
      <c r="N148" s="3">
        <v>4</v>
      </c>
      <c r="O148" s="3">
        <v>3</v>
      </c>
      <c r="P148" s="3">
        <v>4</v>
      </c>
      <c r="Q148" s="3">
        <v>3</v>
      </c>
      <c r="R148" s="3">
        <v>2</v>
      </c>
      <c r="S148" s="3">
        <v>2</v>
      </c>
      <c r="T148" s="3">
        <v>2</v>
      </c>
      <c r="U148" s="3">
        <v>3</v>
      </c>
      <c r="V148" s="3">
        <v>2</v>
      </c>
      <c r="W148" s="3">
        <v>3</v>
      </c>
      <c r="X148" s="3">
        <v>3</v>
      </c>
      <c r="Y148" s="3">
        <v>4</v>
      </c>
      <c r="Z148" s="3">
        <v>4</v>
      </c>
      <c r="AA148" s="3">
        <v>4</v>
      </c>
      <c r="AB148" s="3">
        <v>4</v>
      </c>
      <c r="AC148" s="3">
        <v>4</v>
      </c>
      <c r="AD148" s="3">
        <v>4</v>
      </c>
      <c r="AE148" s="3">
        <v>4</v>
      </c>
      <c r="AF148" s="3">
        <v>2</v>
      </c>
      <c r="AG148" s="3">
        <v>2</v>
      </c>
      <c r="AH148" s="3">
        <v>2</v>
      </c>
      <c r="AI148" s="3">
        <v>2</v>
      </c>
      <c r="AJ148" s="3">
        <v>3</v>
      </c>
      <c r="AK148" s="3">
        <v>3</v>
      </c>
      <c r="AL148" s="3">
        <v>3</v>
      </c>
      <c r="AM148" s="3">
        <v>2</v>
      </c>
      <c r="AN148" s="3">
        <v>2</v>
      </c>
      <c r="AO148" s="3">
        <v>3</v>
      </c>
      <c r="AP148" s="3">
        <v>2</v>
      </c>
      <c r="AQ148" s="3">
        <v>2</v>
      </c>
      <c r="AR148" s="3">
        <v>2</v>
      </c>
      <c r="AS148" s="3">
        <v>2</v>
      </c>
      <c r="AT148" s="3">
        <v>1</v>
      </c>
      <c r="AU148" s="3">
        <v>3</v>
      </c>
      <c r="AV148" s="3">
        <v>2</v>
      </c>
      <c r="AW148" s="3">
        <v>3</v>
      </c>
      <c r="AX148" s="3">
        <v>2</v>
      </c>
      <c r="AY148" s="3">
        <v>2</v>
      </c>
      <c r="AZ148" s="3">
        <v>2</v>
      </c>
      <c r="BA148" s="3">
        <v>2</v>
      </c>
      <c r="BB148" s="3">
        <v>4</v>
      </c>
      <c r="BC148" s="3">
        <v>3</v>
      </c>
      <c r="BD148" s="3">
        <v>4</v>
      </c>
      <c r="BE148" s="3">
        <v>2</v>
      </c>
      <c r="BF148" s="3">
        <v>2</v>
      </c>
      <c r="BG148" s="3">
        <v>3</v>
      </c>
      <c r="BH148" s="3">
        <v>3</v>
      </c>
      <c r="BI148" s="3">
        <v>3</v>
      </c>
      <c r="BJ148" s="3">
        <v>3</v>
      </c>
      <c r="BK148" s="3">
        <v>3</v>
      </c>
      <c r="BL148" s="3">
        <v>3</v>
      </c>
      <c r="BM148" s="3" t="s">
        <v>1081</v>
      </c>
      <c r="BN148" s="3">
        <v>4</v>
      </c>
      <c r="BO148" s="3">
        <v>2</v>
      </c>
      <c r="BP148" s="3">
        <v>3</v>
      </c>
      <c r="BQ148" s="3">
        <v>4</v>
      </c>
      <c r="BR148" s="3">
        <v>4</v>
      </c>
      <c r="BS148" s="3">
        <v>4</v>
      </c>
      <c r="BT148" s="3">
        <v>4</v>
      </c>
      <c r="BU148" s="2">
        <v>3</v>
      </c>
      <c r="BV148" s="2">
        <v>3</v>
      </c>
      <c r="BW148" s="2">
        <v>3</v>
      </c>
      <c r="BX148" s="2">
        <v>2</v>
      </c>
      <c r="BY148" s="2">
        <v>2</v>
      </c>
      <c r="BZ148" s="2">
        <v>3</v>
      </c>
      <c r="CA148" s="2">
        <v>3</v>
      </c>
      <c r="CB148" s="2">
        <v>2</v>
      </c>
      <c r="CC148" s="2">
        <v>3</v>
      </c>
      <c r="CD148" s="2">
        <v>3</v>
      </c>
      <c r="CE148" s="2">
        <v>3</v>
      </c>
      <c r="CF148" s="2">
        <v>3</v>
      </c>
      <c r="CG148" s="2">
        <v>3</v>
      </c>
      <c r="CH148" s="2">
        <v>2</v>
      </c>
      <c r="CI148" s="2">
        <v>3</v>
      </c>
      <c r="CJ148" s="2">
        <v>3</v>
      </c>
      <c r="CK148" s="2">
        <v>2</v>
      </c>
      <c r="CL148" s="2">
        <v>3</v>
      </c>
      <c r="CM148" s="2">
        <v>3</v>
      </c>
      <c r="CN148" s="2">
        <v>2</v>
      </c>
      <c r="CO148" s="2">
        <v>3</v>
      </c>
      <c r="CP148" s="2">
        <v>2</v>
      </c>
      <c r="CQ148" s="2">
        <v>2</v>
      </c>
      <c r="CR148" s="2">
        <v>2</v>
      </c>
      <c r="CS148" s="2">
        <v>2</v>
      </c>
      <c r="CT148" s="2">
        <v>3</v>
      </c>
      <c r="CU148" s="2">
        <v>2</v>
      </c>
      <c r="CV148" s="2">
        <v>2</v>
      </c>
      <c r="CW148" s="2">
        <v>2</v>
      </c>
      <c r="CX148" s="2">
        <v>3</v>
      </c>
      <c r="CY148" s="2">
        <v>2</v>
      </c>
      <c r="CZ148" s="2">
        <v>3</v>
      </c>
      <c r="DA148" s="2">
        <v>3</v>
      </c>
      <c r="DB148" s="2">
        <v>3</v>
      </c>
      <c r="DC148" s="2">
        <v>2</v>
      </c>
      <c r="DD148" s="2">
        <v>2</v>
      </c>
      <c r="DE148" s="2">
        <v>3</v>
      </c>
      <c r="DF148" s="2">
        <v>3</v>
      </c>
      <c r="DG148" s="2">
        <v>3</v>
      </c>
      <c r="DH148" s="2">
        <v>3</v>
      </c>
      <c r="DI148" s="2">
        <v>3</v>
      </c>
      <c r="DJ148" s="2">
        <v>3</v>
      </c>
      <c r="DK148" s="2">
        <v>3</v>
      </c>
      <c r="DL148" s="2">
        <v>3</v>
      </c>
      <c r="DM148" s="2">
        <v>3</v>
      </c>
      <c r="DN148" s="2">
        <v>2</v>
      </c>
      <c r="DO148" s="2">
        <v>2</v>
      </c>
      <c r="DP148" s="2">
        <v>3</v>
      </c>
      <c r="DQ148" s="2">
        <v>3</v>
      </c>
      <c r="DR148" s="2">
        <v>4</v>
      </c>
      <c r="DS148" s="2">
        <v>3</v>
      </c>
      <c r="DT148" s="2">
        <v>3</v>
      </c>
      <c r="DU148" s="2">
        <v>3</v>
      </c>
      <c r="DV148" s="2">
        <v>3</v>
      </c>
      <c r="DW148" s="2">
        <v>3</v>
      </c>
      <c r="DX148" s="2">
        <v>3</v>
      </c>
      <c r="DY148" s="2">
        <v>2</v>
      </c>
      <c r="DZ148" s="2">
        <v>2</v>
      </c>
      <c r="EA148" s="2">
        <v>2</v>
      </c>
      <c r="EB148" s="2">
        <v>2</v>
      </c>
      <c r="EC148" s="2">
        <v>2</v>
      </c>
      <c r="ED148" s="2">
        <v>2</v>
      </c>
      <c r="EE148" s="2">
        <v>2</v>
      </c>
      <c r="EF148" s="2">
        <v>2</v>
      </c>
      <c r="EG148" s="2">
        <v>2</v>
      </c>
      <c r="EH148" s="2">
        <v>2</v>
      </c>
      <c r="EI148" s="2">
        <v>2</v>
      </c>
      <c r="EJ148" s="2">
        <v>2</v>
      </c>
      <c r="EK148" s="2">
        <v>2</v>
      </c>
      <c r="EL148" s="2">
        <v>2</v>
      </c>
      <c r="EM148" s="2">
        <v>2</v>
      </c>
      <c r="EN148" s="2">
        <v>2</v>
      </c>
      <c r="EO148" s="2">
        <v>2</v>
      </c>
      <c r="EP148" s="2">
        <v>2</v>
      </c>
      <c r="EQ148" s="2">
        <v>3</v>
      </c>
      <c r="ER148" s="2">
        <v>2</v>
      </c>
      <c r="ES148" s="2">
        <v>2</v>
      </c>
      <c r="ET148" s="2">
        <v>3</v>
      </c>
      <c r="EU148" s="2">
        <v>3</v>
      </c>
      <c r="EV148" s="2">
        <v>2</v>
      </c>
      <c r="EW148" s="2">
        <v>3</v>
      </c>
      <c r="EX148" s="2">
        <v>2</v>
      </c>
      <c r="EY148" s="2">
        <v>2</v>
      </c>
      <c r="EZ148" s="2">
        <v>2</v>
      </c>
      <c r="FA148" s="2">
        <v>2</v>
      </c>
      <c r="FB148" s="2">
        <v>2</v>
      </c>
      <c r="FC148" s="2">
        <v>2</v>
      </c>
      <c r="FD148" s="2">
        <v>2</v>
      </c>
      <c r="FE148" s="2">
        <v>2</v>
      </c>
      <c r="FF148" s="2">
        <v>3</v>
      </c>
      <c r="FG148" s="2">
        <v>2</v>
      </c>
      <c r="FH148" s="2">
        <v>2</v>
      </c>
      <c r="FI148" s="2">
        <v>2</v>
      </c>
      <c r="FJ148" s="2">
        <v>2</v>
      </c>
      <c r="FK148" s="2">
        <v>2</v>
      </c>
      <c r="FL148" s="2">
        <v>1</v>
      </c>
      <c r="FM148" s="2">
        <v>1</v>
      </c>
      <c r="FN148" s="2">
        <v>1</v>
      </c>
      <c r="FO148" s="2">
        <v>1</v>
      </c>
      <c r="FP148" s="11" t="s">
        <v>815</v>
      </c>
      <c r="FQ148" s="2">
        <v>3</v>
      </c>
      <c r="FR148" s="2">
        <v>3</v>
      </c>
      <c r="FS148" s="2">
        <v>3</v>
      </c>
      <c r="FT148" s="2">
        <v>2</v>
      </c>
      <c r="FU148" s="2">
        <v>3</v>
      </c>
      <c r="FV148" s="2">
        <v>3</v>
      </c>
      <c r="FW148" s="2">
        <v>3</v>
      </c>
      <c r="FX148" s="2">
        <v>3</v>
      </c>
      <c r="FY148" s="2">
        <v>2</v>
      </c>
      <c r="FZ148" s="2">
        <v>2</v>
      </c>
      <c r="GA148" s="2">
        <v>2</v>
      </c>
      <c r="GB148" s="2">
        <v>3</v>
      </c>
      <c r="GC148" s="2" t="s">
        <v>1081</v>
      </c>
      <c r="GD148" s="2">
        <v>3</v>
      </c>
      <c r="GE148" s="2">
        <v>3</v>
      </c>
      <c r="GF148" s="2">
        <v>3</v>
      </c>
      <c r="GG148" s="2">
        <v>2</v>
      </c>
      <c r="GH148" s="2">
        <v>3</v>
      </c>
      <c r="GI148" s="2">
        <v>3</v>
      </c>
      <c r="GJ148" s="2">
        <v>3</v>
      </c>
      <c r="GK148" s="2">
        <v>2</v>
      </c>
      <c r="GL148" s="2">
        <v>3</v>
      </c>
      <c r="GM148" s="2">
        <v>3</v>
      </c>
      <c r="GN148" s="3">
        <v>4</v>
      </c>
      <c r="GO148" s="3">
        <v>4</v>
      </c>
      <c r="GP148" s="3">
        <v>4</v>
      </c>
      <c r="GQ148" s="3">
        <v>4</v>
      </c>
      <c r="GR148" s="3">
        <v>4</v>
      </c>
      <c r="GS148" s="3">
        <v>3</v>
      </c>
      <c r="GT148" s="3">
        <v>3</v>
      </c>
      <c r="GU148" s="3">
        <v>4</v>
      </c>
      <c r="GV148" s="3">
        <v>3</v>
      </c>
      <c r="GW148" s="3">
        <v>3</v>
      </c>
      <c r="GX148" s="3">
        <v>3</v>
      </c>
      <c r="GY148" s="3">
        <v>3</v>
      </c>
      <c r="GZ148" s="3">
        <v>3</v>
      </c>
      <c r="HA148" s="3">
        <v>3</v>
      </c>
      <c r="HB148" s="3">
        <v>2</v>
      </c>
      <c r="HC148" s="3">
        <v>4</v>
      </c>
      <c r="HD148" s="3">
        <v>2</v>
      </c>
      <c r="HE148" s="3">
        <v>3</v>
      </c>
      <c r="HF148" s="3">
        <v>3</v>
      </c>
      <c r="HG148" s="3">
        <v>2</v>
      </c>
      <c r="HH148" s="3">
        <v>2</v>
      </c>
      <c r="HI148" s="3">
        <v>3</v>
      </c>
      <c r="HJ148" s="3">
        <v>2</v>
      </c>
      <c r="HK148" s="3">
        <v>4</v>
      </c>
      <c r="HL148" s="3">
        <v>4</v>
      </c>
      <c r="HM148" s="3">
        <v>3</v>
      </c>
      <c r="HN148" s="3">
        <v>4</v>
      </c>
      <c r="HO148" s="3">
        <v>4</v>
      </c>
      <c r="HP148" s="3">
        <v>3</v>
      </c>
      <c r="HQ148" s="3">
        <v>4</v>
      </c>
      <c r="HR148" s="3">
        <v>3</v>
      </c>
      <c r="HS148" s="3">
        <v>3</v>
      </c>
      <c r="HT148" s="3">
        <v>3</v>
      </c>
      <c r="HU148" s="3">
        <v>2</v>
      </c>
      <c r="HV148" s="3">
        <v>3</v>
      </c>
      <c r="HW148" s="3">
        <v>3</v>
      </c>
      <c r="HX148" s="3">
        <v>3</v>
      </c>
      <c r="HY148" s="3">
        <v>4</v>
      </c>
      <c r="HZ148" s="3">
        <v>3</v>
      </c>
      <c r="IA148" s="3">
        <v>4</v>
      </c>
      <c r="IB148" s="3">
        <v>4</v>
      </c>
      <c r="IC148" s="3">
        <v>3</v>
      </c>
      <c r="ID148" s="3">
        <v>4</v>
      </c>
      <c r="IE148" s="3">
        <v>3</v>
      </c>
      <c r="IF148" s="3">
        <v>3</v>
      </c>
      <c r="IG148" s="3">
        <v>3</v>
      </c>
      <c r="IH148" s="3">
        <v>2</v>
      </c>
      <c r="II148" s="3">
        <v>3</v>
      </c>
      <c r="IJ148" s="3">
        <v>3</v>
      </c>
      <c r="IK148" s="3">
        <v>3</v>
      </c>
      <c r="IL148" s="3">
        <v>3</v>
      </c>
      <c r="IM148" s="3">
        <v>1</v>
      </c>
      <c r="IN148" s="3">
        <v>3</v>
      </c>
      <c r="IO148" s="3">
        <v>3</v>
      </c>
      <c r="IP148" s="3">
        <v>4</v>
      </c>
      <c r="IQ148" s="3">
        <v>3</v>
      </c>
      <c r="IR148" s="3" t="s">
        <v>274</v>
      </c>
      <c r="IS148" s="3">
        <v>4</v>
      </c>
      <c r="IT148" s="3">
        <v>4</v>
      </c>
      <c r="IU148" s="3">
        <v>4</v>
      </c>
      <c r="IV148" s="3">
        <v>4</v>
      </c>
      <c r="IW148" s="3">
        <v>4</v>
      </c>
      <c r="IX148" s="3">
        <v>4</v>
      </c>
      <c r="IY148" s="3">
        <v>4</v>
      </c>
      <c r="IZ148" s="2" t="s">
        <v>816</v>
      </c>
    </row>
    <row r="149" spans="1:260" ht="13.2" x14ac:dyDescent="0.25">
      <c r="A149" s="10" t="s">
        <v>274</v>
      </c>
      <c r="B149" s="2" t="s">
        <v>1082</v>
      </c>
      <c r="C149" s="2" t="s">
        <v>276</v>
      </c>
      <c r="D149" s="2" t="s">
        <v>325</v>
      </c>
      <c r="E149" s="2">
        <v>31</v>
      </c>
      <c r="F149" s="11" t="s">
        <v>1083</v>
      </c>
      <c r="G149" s="11" t="s">
        <v>1084</v>
      </c>
      <c r="H149" s="2" t="s">
        <v>1085</v>
      </c>
      <c r="I149" s="3">
        <v>1</v>
      </c>
      <c r="J149" s="3">
        <v>2</v>
      </c>
      <c r="K149" s="3">
        <v>4</v>
      </c>
      <c r="L149" s="3">
        <v>4</v>
      </c>
      <c r="M149" s="3">
        <v>3</v>
      </c>
      <c r="N149" s="3">
        <v>4</v>
      </c>
      <c r="O149" s="3">
        <v>4</v>
      </c>
      <c r="P149" s="3">
        <v>3</v>
      </c>
      <c r="Q149" s="3">
        <v>4</v>
      </c>
      <c r="R149" s="12" t="s">
        <v>815</v>
      </c>
      <c r="S149" s="3">
        <v>1</v>
      </c>
      <c r="T149" s="3">
        <v>2</v>
      </c>
      <c r="U149" s="3">
        <v>3</v>
      </c>
      <c r="V149" s="3">
        <v>4</v>
      </c>
      <c r="W149" s="3">
        <v>4</v>
      </c>
      <c r="X149" s="3">
        <v>4</v>
      </c>
      <c r="Y149" s="3">
        <v>3</v>
      </c>
      <c r="Z149" s="3">
        <v>3</v>
      </c>
      <c r="AA149" s="3">
        <v>2</v>
      </c>
      <c r="AB149" s="3">
        <v>3</v>
      </c>
      <c r="AC149" s="3">
        <v>1</v>
      </c>
      <c r="AD149" s="3">
        <v>4</v>
      </c>
      <c r="AE149" s="3">
        <v>4</v>
      </c>
      <c r="AF149" s="3">
        <v>4</v>
      </c>
      <c r="AG149" s="3">
        <v>4</v>
      </c>
      <c r="AH149" s="3">
        <v>2</v>
      </c>
      <c r="AI149" s="3">
        <v>4</v>
      </c>
      <c r="AJ149" s="3">
        <v>4</v>
      </c>
      <c r="AK149" s="3">
        <v>4</v>
      </c>
      <c r="AL149" s="3">
        <v>4</v>
      </c>
      <c r="AM149" s="3">
        <v>2</v>
      </c>
      <c r="AN149" s="3">
        <v>2</v>
      </c>
      <c r="AO149" s="3">
        <v>4</v>
      </c>
      <c r="AP149" s="3">
        <v>4</v>
      </c>
      <c r="AQ149" s="3">
        <v>2</v>
      </c>
      <c r="AR149" s="3">
        <v>3</v>
      </c>
      <c r="AS149" s="3">
        <v>4</v>
      </c>
      <c r="AT149" s="3">
        <v>4</v>
      </c>
      <c r="AU149" s="3">
        <v>4</v>
      </c>
      <c r="AV149" s="3">
        <v>3</v>
      </c>
      <c r="AW149" s="3">
        <v>4</v>
      </c>
      <c r="AX149" s="3">
        <v>4</v>
      </c>
      <c r="AY149" s="3">
        <v>4</v>
      </c>
      <c r="AZ149" s="3">
        <v>4</v>
      </c>
      <c r="BA149" s="3">
        <v>4</v>
      </c>
      <c r="BB149" s="3">
        <v>3</v>
      </c>
      <c r="BC149" s="12" t="s">
        <v>815</v>
      </c>
      <c r="BD149" s="3">
        <v>4</v>
      </c>
      <c r="BE149" s="3">
        <v>4</v>
      </c>
      <c r="BF149" s="3">
        <v>4</v>
      </c>
      <c r="BG149" s="3">
        <v>4</v>
      </c>
      <c r="BH149" s="3">
        <v>4</v>
      </c>
      <c r="BI149" s="3">
        <v>4</v>
      </c>
      <c r="BJ149" s="3">
        <v>4</v>
      </c>
      <c r="BK149" s="3">
        <v>4</v>
      </c>
      <c r="BL149" s="3">
        <v>3</v>
      </c>
      <c r="BM149" s="3" t="s">
        <v>274</v>
      </c>
      <c r="BN149" s="3">
        <v>4</v>
      </c>
      <c r="BO149" s="3">
        <v>3</v>
      </c>
      <c r="BP149" s="3">
        <v>3</v>
      </c>
      <c r="BQ149" s="3">
        <v>3</v>
      </c>
      <c r="BR149" s="3">
        <v>4</v>
      </c>
      <c r="BS149" s="3">
        <v>4</v>
      </c>
      <c r="BT149" s="3">
        <v>3</v>
      </c>
      <c r="BU149" s="2">
        <v>3</v>
      </c>
      <c r="BV149" s="2">
        <v>3</v>
      </c>
      <c r="BW149" s="2">
        <v>3</v>
      </c>
      <c r="BX149" s="2">
        <v>4</v>
      </c>
      <c r="BY149" s="2">
        <v>4</v>
      </c>
      <c r="BZ149" s="2">
        <v>3</v>
      </c>
      <c r="CA149" s="2">
        <v>4</v>
      </c>
      <c r="CB149" s="2">
        <v>4</v>
      </c>
      <c r="CC149" s="2">
        <v>1</v>
      </c>
      <c r="CD149" s="2">
        <v>3</v>
      </c>
      <c r="CE149" s="2">
        <v>2</v>
      </c>
      <c r="CF149" s="2">
        <v>4</v>
      </c>
      <c r="CG149" s="2">
        <v>4</v>
      </c>
      <c r="CH149" s="2">
        <v>3</v>
      </c>
      <c r="CI149" s="2">
        <v>4</v>
      </c>
      <c r="CJ149" s="2">
        <v>1</v>
      </c>
      <c r="CK149" s="2">
        <v>4</v>
      </c>
      <c r="CL149" s="2">
        <v>2</v>
      </c>
      <c r="CM149" s="2">
        <v>4</v>
      </c>
      <c r="CN149" s="2">
        <v>4</v>
      </c>
      <c r="CO149" s="2">
        <v>4</v>
      </c>
      <c r="CP149" s="2">
        <v>4</v>
      </c>
      <c r="CQ149" s="2">
        <v>3</v>
      </c>
      <c r="CR149" s="2">
        <v>3</v>
      </c>
      <c r="CS149" s="2">
        <v>1</v>
      </c>
      <c r="CT149" s="2">
        <v>4</v>
      </c>
      <c r="CU149" s="2">
        <v>2</v>
      </c>
      <c r="CV149" s="2">
        <v>3</v>
      </c>
      <c r="CW149" s="2">
        <v>2</v>
      </c>
      <c r="CX149" s="2">
        <v>1</v>
      </c>
      <c r="CY149" s="2">
        <v>2</v>
      </c>
      <c r="CZ149" s="2">
        <v>3</v>
      </c>
      <c r="DA149" s="2">
        <v>3</v>
      </c>
      <c r="DB149" s="2">
        <v>3</v>
      </c>
      <c r="DC149" s="2">
        <v>3</v>
      </c>
      <c r="DD149" s="2">
        <v>1</v>
      </c>
      <c r="DE149" s="2">
        <v>4</v>
      </c>
      <c r="DF149" s="2">
        <v>4</v>
      </c>
      <c r="DG149" s="2">
        <v>3</v>
      </c>
      <c r="DH149" s="2">
        <v>1</v>
      </c>
      <c r="DI149" s="2">
        <v>2</v>
      </c>
      <c r="DJ149" s="2">
        <v>4</v>
      </c>
      <c r="DK149" s="2">
        <v>4</v>
      </c>
      <c r="DL149" s="2">
        <v>1</v>
      </c>
      <c r="DM149" s="2">
        <v>2</v>
      </c>
      <c r="DN149" s="2">
        <v>3</v>
      </c>
      <c r="DO149" s="2">
        <v>3</v>
      </c>
      <c r="DP149" s="2">
        <v>2</v>
      </c>
      <c r="DQ149" s="2">
        <v>1</v>
      </c>
      <c r="DR149" s="2">
        <v>1</v>
      </c>
      <c r="DS149" s="2">
        <v>1</v>
      </c>
      <c r="DT149" s="2">
        <v>1</v>
      </c>
      <c r="DU149" s="2">
        <v>3</v>
      </c>
      <c r="DV149" s="2">
        <v>1</v>
      </c>
      <c r="DW149" s="2">
        <v>3</v>
      </c>
      <c r="DX149" s="2">
        <v>4</v>
      </c>
      <c r="DY149" s="2">
        <v>4</v>
      </c>
      <c r="DZ149" s="2">
        <v>4</v>
      </c>
      <c r="EA149" s="2">
        <v>4</v>
      </c>
      <c r="EB149" s="2">
        <v>2</v>
      </c>
      <c r="EC149" s="2">
        <v>2</v>
      </c>
      <c r="ED149" s="2">
        <v>1</v>
      </c>
      <c r="EE149" s="2">
        <v>2</v>
      </c>
      <c r="EF149" s="2">
        <v>2</v>
      </c>
      <c r="EG149" s="2">
        <v>2</v>
      </c>
      <c r="EH149" s="11" t="s">
        <v>815</v>
      </c>
      <c r="EI149" s="2">
        <v>2</v>
      </c>
      <c r="EJ149" s="2">
        <v>4</v>
      </c>
      <c r="EK149" s="2">
        <v>2</v>
      </c>
      <c r="EL149" s="2">
        <v>3</v>
      </c>
      <c r="EM149" s="2">
        <v>4</v>
      </c>
      <c r="EN149" s="11" t="s">
        <v>815</v>
      </c>
      <c r="EO149" s="2">
        <v>1</v>
      </c>
      <c r="EP149" s="2">
        <v>2</v>
      </c>
      <c r="EQ149" s="2">
        <v>2</v>
      </c>
      <c r="ER149" s="11" t="s">
        <v>815</v>
      </c>
      <c r="ES149" s="11" t="s">
        <v>815</v>
      </c>
      <c r="ET149" s="11" t="s">
        <v>815</v>
      </c>
      <c r="EU149" s="2">
        <v>2</v>
      </c>
      <c r="EV149" s="2">
        <v>3</v>
      </c>
      <c r="EW149" s="11" t="s">
        <v>815</v>
      </c>
      <c r="EX149" s="2">
        <v>3</v>
      </c>
      <c r="EY149" s="2">
        <v>3</v>
      </c>
      <c r="EZ149" s="11" t="s">
        <v>815</v>
      </c>
      <c r="FA149" s="2">
        <v>4</v>
      </c>
      <c r="FB149" s="2">
        <v>4</v>
      </c>
      <c r="FC149" s="2">
        <v>2</v>
      </c>
      <c r="FD149" s="11" t="s">
        <v>815</v>
      </c>
      <c r="FE149" s="2">
        <v>4</v>
      </c>
      <c r="FF149" s="2">
        <v>2</v>
      </c>
      <c r="FG149" s="2">
        <v>2</v>
      </c>
      <c r="FH149" s="11" t="s">
        <v>815</v>
      </c>
      <c r="FI149" s="2">
        <v>2</v>
      </c>
      <c r="FJ149" s="11" t="s">
        <v>815</v>
      </c>
      <c r="FK149" s="2">
        <v>4</v>
      </c>
      <c r="FL149" s="2">
        <v>4</v>
      </c>
      <c r="FM149" s="2">
        <v>4</v>
      </c>
      <c r="FN149" s="2">
        <v>4</v>
      </c>
      <c r="FO149" s="2">
        <v>4</v>
      </c>
      <c r="FP149" s="2">
        <v>4</v>
      </c>
      <c r="FQ149" s="2">
        <v>4</v>
      </c>
      <c r="FR149" s="2">
        <v>3</v>
      </c>
      <c r="FS149" s="2">
        <v>3</v>
      </c>
      <c r="FT149" s="2">
        <v>3</v>
      </c>
      <c r="FU149" s="2">
        <v>3</v>
      </c>
      <c r="FV149" s="2">
        <v>3</v>
      </c>
      <c r="FW149" s="2">
        <v>2</v>
      </c>
      <c r="FX149" s="2">
        <v>4</v>
      </c>
      <c r="FY149" s="2">
        <v>4</v>
      </c>
      <c r="FZ149" s="2">
        <v>4</v>
      </c>
      <c r="GA149" s="2">
        <v>1</v>
      </c>
      <c r="GB149" s="11" t="s">
        <v>815</v>
      </c>
      <c r="GC149" s="2" t="s">
        <v>1086</v>
      </c>
      <c r="GD149" s="2">
        <v>3</v>
      </c>
      <c r="GE149" s="2">
        <v>3</v>
      </c>
      <c r="GF149" s="2">
        <v>4</v>
      </c>
      <c r="GG149" s="2">
        <v>2</v>
      </c>
      <c r="GH149" s="2">
        <v>4</v>
      </c>
      <c r="GI149" s="2">
        <v>4</v>
      </c>
      <c r="GJ149" s="2">
        <v>4</v>
      </c>
      <c r="GK149" s="2">
        <v>3</v>
      </c>
      <c r="GL149" s="2">
        <v>2</v>
      </c>
      <c r="GM149" s="2">
        <v>4</v>
      </c>
      <c r="GN149" s="3">
        <v>4</v>
      </c>
      <c r="GO149" s="3">
        <v>4</v>
      </c>
      <c r="GP149" s="3">
        <v>1</v>
      </c>
      <c r="GQ149" s="3">
        <v>3</v>
      </c>
      <c r="GR149" s="3">
        <v>3</v>
      </c>
      <c r="GS149" s="3">
        <v>4</v>
      </c>
      <c r="GT149" s="3">
        <v>3</v>
      </c>
      <c r="GU149" s="3">
        <v>3</v>
      </c>
      <c r="GV149" s="3">
        <v>3</v>
      </c>
      <c r="GW149" s="3">
        <v>3</v>
      </c>
      <c r="GX149" s="3">
        <v>1</v>
      </c>
      <c r="GY149" s="12" t="s">
        <v>815</v>
      </c>
      <c r="GZ149" s="3">
        <v>2</v>
      </c>
      <c r="HA149" s="12" t="s">
        <v>815</v>
      </c>
      <c r="HB149" s="3">
        <v>3</v>
      </c>
      <c r="HC149" s="3">
        <v>3</v>
      </c>
      <c r="HD149" s="3">
        <v>2</v>
      </c>
      <c r="HE149" s="12" t="s">
        <v>815</v>
      </c>
      <c r="HF149" s="3">
        <v>2</v>
      </c>
      <c r="HG149" s="3">
        <v>3</v>
      </c>
      <c r="HH149" s="3">
        <v>4</v>
      </c>
      <c r="HI149" s="3">
        <v>3</v>
      </c>
      <c r="HJ149" s="12" t="s">
        <v>815</v>
      </c>
      <c r="HK149" s="3">
        <v>4</v>
      </c>
      <c r="HL149" s="3">
        <v>4</v>
      </c>
      <c r="HM149" s="3">
        <v>2</v>
      </c>
      <c r="HN149" s="3">
        <v>2</v>
      </c>
      <c r="HO149" s="3">
        <v>4</v>
      </c>
      <c r="HP149" s="3">
        <v>3</v>
      </c>
      <c r="HQ149" s="3">
        <v>2</v>
      </c>
      <c r="HR149" s="3">
        <v>3</v>
      </c>
      <c r="HS149" s="3">
        <v>2</v>
      </c>
      <c r="HT149" s="3">
        <v>2</v>
      </c>
      <c r="HU149" s="12" t="s">
        <v>815</v>
      </c>
      <c r="HV149" s="3">
        <v>4</v>
      </c>
      <c r="HW149" s="3">
        <v>4</v>
      </c>
      <c r="HX149" s="3">
        <v>1</v>
      </c>
      <c r="HY149" s="3">
        <v>1</v>
      </c>
      <c r="HZ149" s="3">
        <v>2</v>
      </c>
      <c r="IA149" s="3">
        <v>2</v>
      </c>
      <c r="IB149" s="3">
        <v>4</v>
      </c>
      <c r="IC149" s="3">
        <v>2</v>
      </c>
      <c r="ID149" s="3">
        <v>4</v>
      </c>
      <c r="IE149" s="12" t="s">
        <v>815</v>
      </c>
      <c r="IF149" s="3">
        <v>2</v>
      </c>
      <c r="IG149" s="3">
        <v>1</v>
      </c>
      <c r="IH149" s="3">
        <v>2</v>
      </c>
      <c r="II149" s="12" t="s">
        <v>815</v>
      </c>
      <c r="IJ149" s="3">
        <v>1</v>
      </c>
      <c r="IK149" s="3">
        <v>2</v>
      </c>
      <c r="IL149" s="12" t="s">
        <v>815</v>
      </c>
      <c r="IM149" s="3">
        <v>2</v>
      </c>
      <c r="IN149" s="3">
        <v>4</v>
      </c>
      <c r="IO149" s="3">
        <v>4</v>
      </c>
      <c r="IP149" s="12" t="s">
        <v>815</v>
      </c>
      <c r="IQ149" s="3">
        <v>4</v>
      </c>
      <c r="IR149" s="3" t="s">
        <v>1087</v>
      </c>
      <c r="IS149" s="3">
        <v>4</v>
      </c>
      <c r="IT149" s="3">
        <v>4</v>
      </c>
      <c r="IU149" s="3">
        <v>2</v>
      </c>
      <c r="IV149" s="3">
        <v>3</v>
      </c>
      <c r="IW149" s="3">
        <v>1</v>
      </c>
      <c r="IX149" s="3">
        <v>1</v>
      </c>
      <c r="IY149" s="12" t="s">
        <v>815</v>
      </c>
      <c r="IZ149" s="2" t="s">
        <v>816</v>
      </c>
    </row>
    <row r="150" spans="1:260" ht="13.2" x14ac:dyDescent="0.25">
      <c r="A150" s="10" t="s">
        <v>274</v>
      </c>
      <c r="B150" s="2" t="s">
        <v>1088</v>
      </c>
      <c r="C150" s="2" t="s">
        <v>261</v>
      </c>
      <c r="D150" s="2" t="s">
        <v>325</v>
      </c>
      <c r="E150" s="2">
        <v>27</v>
      </c>
      <c r="F150" s="11" t="s">
        <v>1089</v>
      </c>
      <c r="G150" s="11" t="s">
        <v>1090</v>
      </c>
      <c r="H150" s="2" t="s">
        <v>1091</v>
      </c>
      <c r="I150" s="3">
        <v>1</v>
      </c>
      <c r="J150" s="3">
        <v>1</v>
      </c>
      <c r="K150" s="3">
        <v>2</v>
      </c>
      <c r="L150" s="3">
        <v>1</v>
      </c>
      <c r="M150" s="12" t="s">
        <v>815</v>
      </c>
      <c r="N150" s="3">
        <v>1</v>
      </c>
      <c r="O150" s="3">
        <v>1</v>
      </c>
      <c r="P150" s="12" t="s">
        <v>815</v>
      </c>
      <c r="Q150" s="3">
        <v>1</v>
      </c>
      <c r="R150" s="12" t="s">
        <v>815</v>
      </c>
      <c r="S150" s="3">
        <v>1</v>
      </c>
      <c r="T150" s="12" t="s">
        <v>815</v>
      </c>
      <c r="U150" s="12" t="s">
        <v>815</v>
      </c>
      <c r="V150" s="12" t="s">
        <v>815</v>
      </c>
      <c r="W150" s="12" t="s">
        <v>815</v>
      </c>
      <c r="X150" s="3">
        <v>1</v>
      </c>
      <c r="Y150" s="3">
        <v>1</v>
      </c>
      <c r="Z150" s="12" t="s">
        <v>815</v>
      </c>
      <c r="AA150" s="12" t="s">
        <v>815</v>
      </c>
      <c r="AB150" s="3">
        <v>1</v>
      </c>
      <c r="AC150" s="12" t="s">
        <v>815</v>
      </c>
      <c r="AD150" s="12" t="s">
        <v>815</v>
      </c>
      <c r="AE150" s="3">
        <v>1</v>
      </c>
      <c r="AF150" s="12" t="s">
        <v>815</v>
      </c>
      <c r="AG150" s="12" t="s">
        <v>815</v>
      </c>
      <c r="AH150" s="12" t="s">
        <v>815</v>
      </c>
      <c r="AI150" s="3">
        <v>1</v>
      </c>
      <c r="AJ150" s="3">
        <v>1</v>
      </c>
      <c r="AK150" s="12" t="s">
        <v>815</v>
      </c>
      <c r="AL150" s="12" t="s">
        <v>815</v>
      </c>
      <c r="AM150" s="12" t="s">
        <v>815</v>
      </c>
      <c r="AN150" s="3">
        <v>1</v>
      </c>
      <c r="AO150" s="3">
        <v>1</v>
      </c>
      <c r="AP150" s="12" t="s">
        <v>815</v>
      </c>
      <c r="AQ150" s="12" t="s">
        <v>815</v>
      </c>
      <c r="AR150" s="12" t="s">
        <v>815</v>
      </c>
      <c r="AS150" s="3">
        <v>1</v>
      </c>
      <c r="AT150" s="12" t="s">
        <v>815</v>
      </c>
      <c r="AU150" s="12" t="s">
        <v>815</v>
      </c>
      <c r="AV150" s="12" t="s">
        <v>815</v>
      </c>
      <c r="AW150" s="3">
        <v>1</v>
      </c>
      <c r="AX150" s="12" t="s">
        <v>815</v>
      </c>
      <c r="AY150" s="12" t="s">
        <v>815</v>
      </c>
      <c r="AZ150" s="3">
        <v>1</v>
      </c>
      <c r="BA150" s="12" t="s">
        <v>815</v>
      </c>
      <c r="BB150" s="12" t="s">
        <v>815</v>
      </c>
      <c r="BC150" s="12" t="s">
        <v>815</v>
      </c>
      <c r="BD150" s="12" t="s">
        <v>815</v>
      </c>
      <c r="BE150" s="12" t="s">
        <v>815</v>
      </c>
      <c r="BF150" s="12" t="s">
        <v>815</v>
      </c>
      <c r="BG150" s="12" t="s">
        <v>815</v>
      </c>
      <c r="BH150" s="12" t="s">
        <v>815</v>
      </c>
      <c r="BI150" s="12" t="s">
        <v>815</v>
      </c>
      <c r="BJ150" s="3">
        <v>1</v>
      </c>
      <c r="BK150" s="12" t="s">
        <v>815</v>
      </c>
      <c r="BL150" s="12" t="s">
        <v>815</v>
      </c>
      <c r="BM150" s="3" t="s">
        <v>1092</v>
      </c>
      <c r="BN150" s="3">
        <v>1</v>
      </c>
      <c r="BO150" s="12" t="s">
        <v>815</v>
      </c>
      <c r="BP150" s="3">
        <v>1</v>
      </c>
      <c r="BQ150" s="3">
        <v>1</v>
      </c>
      <c r="BR150" s="3">
        <v>1</v>
      </c>
      <c r="BS150" s="3">
        <v>1</v>
      </c>
      <c r="BT150" s="12" t="s">
        <v>815</v>
      </c>
      <c r="BU150" s="2">
        <v>1</v>
      </c>
      <c r="BV150" s="11" t="s">
        <v>815</v>
      </c>
      <c r="BW150" s="2">
        <v>1</v>
      </c>
      <c r="BX150" s="11" t="s">
        <v>815</v>
      </c>
      <c r="BY150" s="11" t="s">
        <v>815</v>
      </c>
      <c r="BZ150" s="11" t="s">
        <v>815</v>
      </c>
      <c r="CA150" s="11" t="s">
        <v>815</v>
      </c>
      <c r="CB150" s="11" t="s">
        <v>815</v>
      </c>
      <c r="CC150" s="2">
        <v>1</v>
      </c>
      <c r="CD150" s="11" t="s">
        <v>815</v>
      </c>
      <c r="CE150" s="11" t="s">
        <v>815</v>
      </c>
      <c r="CF150" s="2">
        <v>1</v>
      </c>
      <c r="CG150" s="2">
        <v>1</v>
      </c>
      <c r="CH150" s="11" t="s">
        <v>815</v>
      </c>
      <c r="CI150" s="11" t="s">
        <v>815</v>
      </c>
      <c r="CJ150" s="2">
        <v>1</v>
      </c>
      <c r="CK150" s="11" t="s">
        <v>815</v>
      </c>
      <c r="CL150" s="11" t="s">
        <v>815</v>
      </c>
      <c r="CM150" s="11" t="s">
        <v>815</v>
      </c>
      <c r="CN150" s="2">
        <v>1</v>
      </c>
      <c r="CO150" s="11" t="s">
        <v>815</v>
      </c>
      <c r="CP150" s="11" t="s">
        <v>815</v>
      </c>
      <c r="CQ150" s="11" t="s">
        <v>815</v>
      </c>
      <c r="CR150" s="11" t="s">
        <v>815</v>
      </c>
      <c r="CS150" s="11" t="s">
        <v>815</v>
      </c>
      <c r="CT150" s="2">
        <v>1</v>
      </c>
      <c r="CU150" s="2">
        <v>1</v>
      </c>
      <c r="CV150" s="11" t="s">
        <v>815</v>
      </c>
      <c r="CW150" s="2">
        <v>1</v>
      </c>
      <c r="CX150" s="11" t="s">
        <v>815</v>
      </c>
      <c r="CY150" s="11" t="s">
        <v>815</v>
      </c>
      <c r="CZ150" s="11" t="s">
        <v>815</v>
      </c>
      <c r="DA150" s="2">
        <v>1</v>
      </c>
      <c r="DB150" s="11" t="s">
        <v>815</v>
      </c>
      <c r="DC150" s="11" t="s">
        <v>815</v>
      </c>
      <c r="DD150" s="11" t="s">
        <v>815</v>
      </c>
      <c r="DE150" s="11" t="s">
        <v>815</v>
      </c>
      <c r="DF150" s="11" t="s">
        <v>815</v>
      </c>
      <c r="DG150" s="11" t="s">
        <v>815</v>
      </c>
      <c r="DH150" s="2">
        <v>1</v>
      </c>
      <c r="DI150" s="11" t="s">
        <v>815</v>
      </c>
      <c r="DJ150" s="11" t="s">
        <v>815</v>
      </c>
      <c r="DK150" s="11" t="s">
        <v>815</v>
      </c>
      <c r="DL150" s="11" t="s">
        <v>815</v>
      </c>
      <c r="DM150" s="11" t="s">
        <v>815</v>
      </c>
      <c r="DN150" s="11" t="s">
        <v>815</v>
      </c>
      <c r="DO150" s="11" t="s">
        <v>815</v>
      </c>
      <c r="DP150" s="11" t="s">
        <v>815</v>
      </c>
      <c r="DQ150" s="2">
        <v>1</v>
      </c>
      <c r="DR150" s="11" t="s">
        <v>815</v>
      </c>
      <c r="DS150" s="11" t="s">
        <v>815</v>
      </c>
      <c r="DT150" s="11" t="s">
        <v>815</v>
      </c>
      <c r="DU150" s="11" t="s">
        <v>815</v>
      </c>
      <c r="DV150" s="11" t="s">
        <v>815</v>
      </c>
      <c r="DW150" s="11" t="s">
        <v>815</v>
      </c>
      <c r="DX150" s="11" t="s">
        <v>815</v>
      </c>
      <c r="DY150" s="2">
        <v>1</v>
      </c>
      <c r="DZ150" s="11" t="s">
        <v>815</v>
      </c>
      <c r="EA150" s="11" t="s">
        <v>815</v>
      </c>
      <c r="EB150" s="2">
        <v>1</v>
      </c>
      <c r="EC150" s="11" t="s">
        <v>815</v>
      </c>
      <c r="ED150" s="11" t="s">
        <v>815</v>
      </c>
      <c r="EE150" s="11" t="s">
        <v>815</v>
      </c>
      <c r="EF150" s="11" t="s">
        <v>815</v>
      </c>
      <c r="EG150" s="11" t="s">
        <v>815</v>
      </c>
      <c r="EH150" s="11" t="s">
        <v>815</v>
      </c>
      <c r="EI150" s="2">
        <v>1</v>
      </c>
      <c r="EJ150" s="11" t="s">
        <v>815</v>
      </c>
      <c r="EK150" s="11" t="s">
        <v>815</v>
      </c>
      <c r="EL150" s="11" t="s">
        <v>815</v>
      </c>
      <c r="EM150" s="2">
        <v>1</v>
      </c>
      <c r="EN150" s="11" t="s">
        <v>815</v>
      </c>
      <c r="EO150" s="11" t="s">
        <v>815</v>
      </c>
      <c r="EP150" s="11" t="s">
        <v>815</v>
      </c>
      <c r="EQ150" s="11" t="s">
        <v>815</v>
      </c>
      <c r="ER150" s="11" t="s">
        <v>815</v>
      </c>
      <c r="ES150" s="11" t="s">
        <v>815</v>
      </c>
      <c r="ET150" s="11" t="s">
        <v>815</v>
      </c>
      <c r="EU150" s="11" t="s">
        <v>815</v>
      </c>
      <c r="EV150" s="11" t="s">
        <v>815</v>
      </c>
      <c r="EW150" s="11" t="s">
        <v>815</v>
      </c>
      <c r="EX150" s="2">
        <v>1</v>
      </c>
      <c r="EY150" s="11" t="s">
        <v>815</v>
      </c>
      <c r="EZ150" s="2">
        <v>1</v>
      </c>
      <c r="FA150" s="11" t="s">
        <v>815</v>
      </c>
      <c r="FB150" s="11" t="s">
        <v>815</v>
      </c>
      <c r="FC150" s="11" t="s">
        <v>815</v>
      </c>
      <c r="FD150" s="11" t="s">
        <v>815</v>
      </c>
      <c r="FE150" s="11" t="s">
        <v>815</v>
      </c>
      <c r="FF150" s="11" t="s">
        <v>815</v>
      </c>
      <c r="FG150" s="11" t="s">
        <v>815</v>
      </c>
      <c r="FH150" s="11" t="s">
        <v>815</v>
      </c>
      <c r="FI150" s="11" t="s">
        <v>815</v>
      </c>
      <c r="FJ150" s="11" t="s">
        <v>815</v>
      </c>
      <c r="FK150" s="2">
        <v>1</v>
      </c>
      <c r="FL150" s="2">
        <v>1</v>
      </c>
      <c r="FM150" s="11" t="s">
        <v>815</v>
      </c>
      <c r="FN150" s="2">
        <v>1</v>
      </c>
      <c r="FO150" s="11" t="s">
        <v>815</v>
      </c>
      <c r="FP150" s="11" t="s">
        <v>815</v>
      </c>
      <c r="FQ150" s="11" t="s">
        <v>815</v>
      </c>
      <c r="FR150" s="11" t="s">
        <v>815</v>
      </c>
      <c r="FS150" s="11" t="s">
        <v>815</v>
      </c>
      <c r="FT150" s="11" t="s">
        <v>815</v>
      </c>
      <c r="FU150" s="11" t="s">
        <v>815</v>
      </c>
      <c r="FV150" s="11" t="s">
        <v>815</v>
      </c>
      <c r="FW150" s="11" t="s">
        <v>815</v>
      </c>
      <c r="FX150" s="2">
        <v>1</v>
      </c>
      <c r="FY150" s="11" t="s">
        <v>815</v>
      </c>
      <c r="FZ150" s="11" t="s">
        <v>815</v>
      </c>
      <c r="GA150" s="11" t="s">
        <v>815</v>
      </c>
      <c r="GB150" s="11" t="s">
        <v>815</v>
      </c>
      <c r="GC150" s="2" t="s">
        <v>1092</v>
      </c>
      <c r="GD150" s="11" t="s">
        <v>815</v>
      </c>
      <c r="GE150" s="2">
        <v>1</v>
      </c>
      <c r="GF150" s="11" t="s">
        <v>815</v>
      </c>
      <c r="GG150" s="11" t="s">
        <v>815</v>
      </c>
      <c r="GH150" s="2">
        <v>1</v>
      </c>
      <c r="GI150" s="2">
        <v>1</v>
      </c>
      <c r="GJ150" s="11" t="s">
        <v>815</v>
      </c>
      <c r="GK150" s="11" t="s">
        <v>815</v>
      </c>
      <c r="GL150" s="2">
        <v>1</v>
      </c>
      <c r="GM150" s="2">
        <v>1</v>
      </c>
      <c r="GN150" s="3">
        <v>1</v>
      </c>
      <c r="GO150" s="3">
        <v>1</v>
      </c>
      <c r="GP150" s="12" t="s">
        <v>815</v>
      </c>
      <c r="GQ150" s="12" t="s">
        <v>815</v>
      </c>
      <c r="GR150" s="12" t="s">
        <v>815</v>
      </c>
      <c r="GS150" s="3">
        <v>2</v>
      </c>
      <c r="GT150" s="3">
        <v>1</v>
      </c>
      <c r="GU150" s="12" t="s">
        <v>815</v>
      </c>
      <c r="GV150" s="12" t="s">
        <v>815</v>
      </c>
      <c r="GW150" s="3">
        <v>1</v>
      </c>
      <c r="GX150" s="3">
        <v>1</v>
      </c>
      <c r="GY150" s="12" t="s">
        <v>815</v>
      </c>
      <c r="GZ150" s="3">
        <v>1</v>
      </c>
      <c r="HA150" s="3">
        <v>1</v>
      </c>
      <c r="HB150" s="12" t="s">
        <v>815</v>
      </c>
      <c r="HC150" s="12" t="s">
        <v>815</v>
      </c>
      <c r="HD150" s="12" t="s">
        <v>815</v>
      </c>
      <c r="HE150" s="12" t="s">
        <v>815</v>
      </c>
      <c r="HF150" s="12" t="s">
        <v>815</v>
      </c>
      <c r="HG150" s="12" t="s">
        <v>815</v>
      </c>
      <c r="HH150" s="12" t="s">
        <v>815</v>
      </c>
      <c r="HI150" s="12" t="s">
        <v>815</v>
      </c>
      <c r="HJ150" s="12" t="s">
        <v>815</v>
      </c>
      <c r="HK150" s="3">
        <v>1</v>
      </c>
      <c r="HL150" s="12" t="s">
        <v>815</v>
      </c>
      <c r="HM150" s="3">
        <v>1</v>
      </c>
      <c r="HN150" s="12" t="s">
        <v>815</v>
      </c>
      <c r="HO150" s="12" t="s">
        <v>815</v>
      </c>
      <c r="HP150" s="12" t="s">
        <v>815</v>
      </c>
      <c r="HQ150" s="12" t="s">
        <v>815</v>
      </c>
      <c r="HR150" s="12" t="s">
        <v>815</v>
      </c>
      <c r="HS150" s="12" t="s">
        <v>815</v>
      </c>
      <c r="HT150" s="12" t="s">
        <v>815</v>
      </c>
      <c r="HU150" s="12" t="s">
        <v>815</v>
      </c>
      <c r="HV150" s="12" t="s">
        <v>815</v>
      </c>
      <c r="HW150" s="12" t="s">
        <v>815</v>
      </c>
      <c r="HX150" s="12" t="s">
        <v>815</v>
      </c>
      <c r="HY150" s="12" t="s">
        <v>815</v>
      </c>
      <c r="HZ150" s="12" t="s">
        <v>815</v>
      </c>
      <c r="IA150" s="3">
        <v>1</v>
      </c>
      <c r="IB150" s="12" t="s">
        <v>815</v>
      </c>
      <c r="IC150" s="12" t="s">
        <v>815</v>
      </c>
      <c r="ID150" s="12" t="s">
        <v>815</v>
      </c>
      <c r="IE150" s="12" t="s">
        <v>815</v>
      </c>
      <c r="IF150" s="12" t="s">
        <v>815</v>
      </c>
      <c r="IG150" s="12" t="s">
        <v>815</v>
      </c>
      <c r="IH150" s="12" t="s">
        <v>815</v>
      </c>
      <c r="II150" s="12" t="s">
        <v>815</v>
      </c>
      <c r="IJ150" s="12" t="s">
        <v>815</v>
      </c>
      <c r="IK150" s="12" t="s">
        <v>815</v>
      </c>
      <c r="IL150" s="12" t="s">
        <v>815</v>
      </c>
      <c r="IM150" s="12" t="s">
        <v>815</v>
      </c>
      <c r="IN150" s="12" t="s">
        <v>815</v>
      </c>
      <c r="IO150" s="12" t="s">
        <v>815</v>
      </c>
      <c r="IP150" s="12" t="s">
        <v>815</v>
      </c>
      <c r="IQ150" s="3">
        <v>1</v>
      </c>
      <c r="IR150" s="3" t="s">
        <v>677</v>
      </c>
      <c r="IS150" s="3">
        <v>2</v>
      </c>
      <c r="IT150" s="3">
        <v>2</v>
      </c>
      <c r="IU150" s="12" t="s">
        <v>815</v>
      </c>
      <c r="IV150" s="3">
        <v>2</v>
      </c>
      <c r="IW150" s="3">
        <v>1</v>
      </c>
      <c r="IX150" s="3">
        <v>2</v>
      </c>
      <c r="IY150" s="3">
        <v>3</v>
      </c>
      <c r="IZ150" s="2" t="s">
        <v>816</v>
      </c>
    </row>
    <row r="151" spans="1:260" ht="13.2" x14ac:dyDescent="0.25">
      <c r="A151" s="10" t="s">
        <v>274</v>
      </c>
      <c r="B151" s="2" t="s">
        <v>1093</v>
      </c>
      <c r="C151" s="2" t="s">
        <v>276</v>
      </c>
      <c r="D151" s="2" t="s">
        <v>270</v>
      </c>
      <c r="E151" s="2">
        <v>48</v>
      </c>
      <c r="F151" s="11" t="s">
        <v>1094</v>
      </c>
      <c r="G151" s="11" t="s">
        <v>1095</v>
      </c>
      <c r="H151" s="2" t="s">
        <v>1096</v>
      </c>
      <c r="I151" s="3">
        <v>3</v>
      </c>
      <c r="J151" s="3">
        <v>3</v>
      </c>
      <c r="K151" s="3">
        <v>4</v>
      </c>
      <c r="L151" s="3">
        <v>2</v>
      </c>
      <c r="M151" s="3">
        <v>2</v>
      </c>
      <c r="N151" s="3">
        <v>3</v>
      </c>
      <c r="O151" s="3">
        <v>2</v>
      </c>
      <c r="P151" s="3">
        <v>3</v>
      </c>
      <c r="Q151" s="3">
        <v>3</v>
      </c>
      <c r="R151" s="12" t="s">
        <v>815</v>
      </c>
      <c r="S151" s="12" t="s">
        <v>815</v>
      </c>
      <c r="T151" s="12" t="s">
        <v>815</v>
      </c>
      <c r="U151" s="12" t="s">
        <v>815</v>
      </c>
      <c r="V151" s="12" t="s">
        <v>815</v>
      </c>
      <c r="W151" s="3">
        <v>1</v>
      </c>
      <c r="X151" s="12" t="s">
        <v>815</v>
      </c>
      <c r="Y151" s="3">
        <v>2</v>
      </c>
      <c r="Z151" s="12" t="s">
        <v>815</v>
      </c>
      <c r="AA151" s="12" t="s">
        <v>815</v>
      </c>
      <c r="AB151" s="12" t="s">
        <v>815</v>
      </c>
      <c r="AC151" s="12" t="s">
        <v>815</v>
      </c>
      <c r="AD151" s="12" t="s">
        <v>815</v>
      </c>
      <c r="AE151" s="12" t="s">
        <v>815</v>
      </c>
      <c r="AF151" s="12" t="s">
        <v>815</v>
      </c>
      <c r="AG151" s="12" t="s">
        <v>815</v>
      </c>
      <c r="AH151" s="12" t="s">
        <v>815</v>
      </c>
      <c r="AI151" s="3">
        <v>2</v>
      </c>
      <c r="AJ151" s="3">
        <v>1</v>
      </c>
      <c r="AK151" s="3">
        <v>2</v>
      </c>
      <c r="AL151" s="12" t="s">
        <v>815</v>
      </c>
      <c r="AM151" s="3">
        <v>1</v>
      </c>
      <c r="AN151" s="12" t="s">
        <v>815</v>
      </c>
      <c r="AO151" s="12" t="s">
        <v>815</v>
      </c>
      <c r="AP151" s="12" t="s">
        <v>815</v>
      </c>
      <c r="AQ151" s="12" t="s">
        <v>815</v>
      </c>
      <c r="AR151" s="12" t="s">
        <v>815</v>
      </c>
      <c r="AS151" s="3">
        <v>2</v>
      </c>
      <c r="AT151" s="12" t="s">
        <v>815</v>
      </c>
      <c r="AU151" s="3">
        <v>1</v>
      </c>
      <c r="AV151" s="3">
        <v>1</v>
      </c>
      <c r="AW151" s="3">
        <v>2</v>
      </c>
      <c r="AX151" s="12" t="s">
        <v>815</v>
      </c>
      <c r="AY151" s="12" t="s">
        <v>815</v>
      </c>
      <c r="AZ151" s="3">
        <v>1</v>
      </c>
      <c r="BA151" s="12" t="s">
        <v>815</v>
      </c>
      <c r="BB151" s="3">
        <v>3</v>
      </c>
      <c r="BC151" s="12" t="s">
        <v>815</v>
      </c>
      <c r="BD151" s="3">
        <v>3</v>
      </c>
      <c r="BE151" s="3">
        <v>2</v>
      </c>
      <c r="BF151" s="12" t="s">
        <v>815</v>
      </c>
      <c r="BG151" s="12" t="s">
        <v>815</v>
      </c>
      <c r="BH151" s="12" t="s">
        <v>815</v>
      </c>
      <c r="BI151" s="12" t="s">
        <v>815</v>
      </c>
      <c r="BJ151" s="3">
        <v>2</v>
      </c>
      <c r="BK151" s="12" t="s">
        <v>815</v>
      </c>
      <c r="BL151" s="12" t="s">
        <v>815</v>
      </c>
      <c r="BM151" s="3" t="s">
        <v>1097</v>
      </c>
      <c r="BN151" s="3">
        <v>2</v>
      </c>
      <c r="BO151" s="12" t="s">
        <v>815</v>
      </c>
      <c r="BP151" s="3">
        <v>1</v>
      </c>
      <c r="BQ151" s="3">
        <v>1</v>
      </c>
      <c r="BR151" s="12" t="s">
        <v>815</v>
      </c>
      <c r="BS151" s="3">
        <v>2</v>
      </c>
      <c r="BT151" s="12" t="s">
        <v>815</v>
      </c>
      <c r="BU151" s="2">
        <v>3</v>
      </c>
      <c r="BV151" s="2">
        <v>2</v>
      </c>
      <c r="BW151" s="2">
        <v>2</v>
      </c>
      <c r="BX151" s="2">
        <v>1</v>
      </c>
      <c r="BY151" s="2">
        <v>1</v>
      </c>
      <c r="BZ151" s="2">
        <v>1</v>
      </c>
      <c r="CA151" s="11" t="s">
        <v>815</v>
      </c>
      <c r="CB151" s="2">
        <v>2</v>
      </c>
      <c r="CC151" s="11" t="s">
        <v>815</v>
      </c>
      <c r="CD151" s="2">
        <v>1</v>
      </c>
      <c r="CE151" s="11" t="s">
        <v>815</v>
      </c>
      <c r="CF151" s="11" t="s">
        <v>815</v>
      </c>
      <c r="CG151" s="11" t="s">
        <v>815</v>
      </c>
      <c r="CH151" s="11" t="s">
        <v>815</v>
      </c>
      <c r="CI151" s="11" t="s">
        <v>815</v>
      </c>
      <c r="CJ151" s="11" t="s">
        <v>815</v>
      </c>
      <c r="CK151" s="11" t="s">
        <v>815</v>
      </c>
      <c r="CL151" s="2">
        <v>1</v>
      </c>
      <c r="CM151" s="11" t="s">
        <v>815</v>
      </c>
      <c r="CN151" s="11" t="s">
        <v>815</v>
      </c>
      <c r="CO151" s="11" t="s">
        <v>815</v>
      </c>
      <c r="CP151" s="11" t="s">
        <v>815</v>
      </c>
      <c r="CQ151" s="2">
        <v>1</v>
      </c>
      <c r="CR151" s="11" t="s">
        <v>815</v>
      </c>
      <c r="CS151" s="2">
        <v>2</v>
      </c>
      <c r="CT151" s="11" t="s">
        <v>815</v>
      </c>
      <c r="CU151" s="11" t="s">
        <v>815</v>
      </c>
      <c r="CV151" s="11" t="s">
        <v>815</v>
      </c>
      <c r="CW151" s="11" t="s">
        <v>815</v>
      </c>
      <c r="CX151" s="11" t="s">
        <v>815</v>
      </c>
      <c r="CY151" s="11" t="s">
        <v>815</v>
      </c>
      <c r="CZ151" s="11" t="s">
        <v>815</v>
      </c>
      <c r="DA151" s="11" t="s">
        <v>815</v>
      </c>
      <c r="DB151" s="11" t="s">
        <v>815</v>
      </c>
      <c r="DC151" s="11" t="s">
        <v>815</v>
      </c>
      <c r="DD151" s="11" t="s">
        <v>815</v>
      </c>
      <c r="DE151" s="11" t="s">
        <v>815</v>
      </c>
      <c r="DF151" s="2">
        <v>2</v>
      </c>
      <c r="DG151" s="2">
        <v>2</v>
      </c>
      <c r="DH151" s="2">
        <v>2</v>
      </c>
      <c r="DI151" s="2">
        <v>2</v>
      </c>
      <c r="DJ151" s="11" t="s">
        <v>815</v>
      </c>
      <c r="DK151" s="2">
        <v>2</v>
      </c>
      <c r="DL151" s="2">
        <v>2</v>
      </c>
      <c r="DM151" s="2">
        <v>1</v>
      </c>
      <c r="DN151" s="11" t="s">
        <v>815</v>
      </c>
      <c r="DO151" s="11" t="s">
        <v>815</v>
      </c>
      <c r="DP151" s="2">
        <v>2</v>
      </c>
      <c r="DQ151" s="2">
        <v>1</v>
      </c>
      <c r="DR151" s="11" t="s">
        <v>815</v>
      </c>
      <c r="DS151" s="11" t="s">
        <v>815</v>
      </c>
      <c r="DT151" s="11" t="s">
        <v>815</v>
      </c>
      <c r="DU151" s="11" t="s">
        <v>815</v>
      </c>
      <c r="DV151" s="11" t="s">
        <v>815</v>
      </c>
      <c r="DW151" s="11" t="s">
        <v>815</v>
      </c>
      <c r="DX151" s="2">
        <v>1</v>
      </c>
      <c r="DY151" s="11" t="s">
        <v>815</v>
      </c>
      <c r="DZ151" s="11" t="s">
        <v>815</v>
      </c>
      <c r="EA151" s="11" t="s">
        <v>815</v>
      </c>
      <c r="EB151" s="11" t="s">
        <v>815</v>
      </c>
      <c r="EC151" s="11" t="s">
        <v>815</v>
      </c>
      <c r="ED151" s="11" t="s">
        <v>815</v>
      </c>
      <c r="EE151" s="11" t="s">
        <v>815</v>
      </c>
      <c r="EF151" s="11" t="s">
        <v>815</v>
      </c>
      <c r="EG151" s="11" t="s">
        <v>815</v>
      </c>
      <c r="EH151" s="11" t="s">
        <v>815</v>
      </c>
      <c r="EI151" s="11" t="s">
        <v>815</v>
      </c>
      <c r="EJ151" s="2">
        <v>1</v>
      </c>
      <c r="EK151" s="2">
        <v>1</v>
      </c>
      <c r="EL151" s="11" t="s">
        <v>815</v>
      </c>
      <c r="EM151" s="11" t="s">
        <v>815</v>
      </c>
      <c r="EN151" s="11" t="s">
        <v>815</v>
      </c>
      <c r="EO151" s="11" t="s">
        <v>815</v>
      </c>
      <c r="EP151" s="11" t="s">
        <v>815</v>
      </c>
      <c r="EQ151" s="11" t="s">
        <v>815</v>
      </c>
      <c r="ER151" s="11" t="s">
        <v>815</v>
      </c>
      <c r="ES151" s="11" t="s">
        <v>815</v>
      </c>
      <c r="ET151" s="11" t="s">
        <v>815</v>
      </c>
      <c r="EU151" s="11" t="s">
        <v>815</v>
      </c>
      <c r="EV151" s="11" t="s">
        <v>815</v>
      </c>
      <c r="EW151" s="11" t="s">
        <v>815</v>
      </c>
      <c r="EX151" s="11" t="s">
        <v>815</v>
      </c>
      <c r="EY151" s="11" t="s">
        <v>815</v>
      </c>
      <c r="EZ151" s="11" t="s">
        <v>815</v>
      </c>
      <c r="FA151" s="11" t="s">
        <v>815</v>
      </c>
      <c r="FB151" s="11" t="s">
        <v>815</v>
      </c>
      <c r="FC151" s="11" t="s">
        <v>815</v>
      </c>
      <c r="FD151" s="11" t="s">
        <v>815</v>
      </c>
      <c r="FE151" s="11" t="s">
        <v>815</v>
      </c>
      <c r="FF151" s="2">
        <v>1</v>
      </c>
      <c r="FG151" s="2">
        <v>1</v>
      </c>
      <c r="FH151" s="11" t="s">
        <v>815</v>
      </c>
      <c r="FI151" s="11" t="s">
        <v>815</v>
      </c>
      <c r="FJ151" s="11" t="s">
        <v>815</v>
      </c>
      <c r="FK151" s="2">
        <v>3</v>
      </c>
      <c r="FL151" s="2">
        <v>1</v>
      </c>
      <c r="FM151" s="2">
        <v>1</v>
      </c>
      <c r="FN151" s="11" t="s">
        <v>815</v>
      </c>
      <c r="FO151" s="11" t="s">
        <v>815</v>
      </c>
      <c r="FP151" s="11" t="s">
        <v>815</v>
      </c>
      <c r="FQ151" s="11" t="s">
        <v>815</v>
      </c>
      <c r="FR151" s="2">
        <v>2</v>
      </c>
      <c r="FS151" s="2">
        <v>1</v>
      </c>
      <c r="FT151" s="11" t="s">
        <v>815</v>
      </c>
      <c r="FU151" s="2">
        <v>1</v>
      </c>
      <c r="FV151" s="11" t="s">
        <v>815</v>
      </c>
      <c r="FW151" s="2">
        <v>3</v>
      </c>
      <c r="FX151" s="11" t="s">
        <v>815</v>
      </c>
      <c r="FY151" s="11" t="s">
        <v>815</v>
      </c>
      <c r="FZ151" s="11" t="s">
        <v>815</v>
      </c>
      <c r="GA151" s="11" t="s">
        <v>815</v>
      </c>
      <c r="GB151" s="2">
        <v>2</v>
      </c>
      <c r="GC151" s="2" t="s">
        <v>1098</v>
      </c>
      <c r="GD151" s="2">
        <v>2</v>
      </c>
      <c r="GE151" s="11" t="s">
        <v>815</v>
      </c>
      <c r="GF151" s="11" t="s">
        <v>815</v>
      </c>
      <c r="GG151" s="2">
        <v>2</v>
      </c>
      <c r="GH151" s="2">
        <v>2</v>
      </c>
      <c r="GI151" s="11" t="s">
        <v>815</v>
      </c>
      <c r="GJ151" s="11" t="s">
        <v>815</v>
      </c>
      <c r="GK151" s="2">
        <v>1</v>
      </c>
      <c r="GL151" s="11" t="s">
        <v>815</v>
      </c>
      <c r="GM151" s="11" t="s">
        <v>815</v>
      </c>
      <c r="GN151" s="3">
        <v>2</v>
      </c>
      <c r="GO151" s="12" t="s">
        <v>815</v>
      </c>
      <c r="GP151" s="3">
        <v>2</v>
      </c>
      <c r="GQ151" s="3">
        <v>2</v>
      </c>
      <c r="GR151" s="3">
        <v>1</v>
      </c>
      <c r="GS151" s="12" t="s">
        <v>815</v>
      </c>
      <c r="GT151" s="3">
        <v>1</v>
      </c>
      <c r="GU151" s="12" t="s">
        <v>815</v>
      </c>
      <c r="GV151" s="12" t="s">
        <v>815</v>
      </c>
      <c r="GW151" s="3">
        <v>2</v>
      </c>
      <c r="GX151" s="3">
        <v>1</v>
      </c>
      <c r="GY151" s="12" t="s">
        <v>815</v>
      </c>
      <c r="GZ151" s="12" t="s">
        <v>815</v>
      </c>
      <c r="HA151" s="3">
        <v>2</v>
      </c>
      <c r="HB151" s="3">
        <v>2</v>
      </c>
      <c r="HC151" s="12" t="s">
        <v>815</v>
      </c>
      <c r="HD151" s="12" t="s">
        <v>815</v>
      </c>
      <c r="HE151" s="12" t="s">
        <v>815</v>
      </c>
      <c r="HF151" s="12" t="s">
        <v>815</v>
      </c>
      <c r="HG151" s="12" t="s">
        <v>815</v>
      </c>
      <c r="HH151" s="3">
        <v>1</v>
      </c>
      <c r="HI151" s="12" t="s">
        <v>815</v>
      </c>
      <c r="HJ151" s="12" t="s">
        <v>815</v>
      </c>
      <c r="HK151" s="3">
        <v>2</v>
      </c>
      <c r="HL151" s="12" t="s">
        <v>815</v>
      </c>
      <c r="HM151" s="3">
        <v>1</v>
      </c>
      <c r="HN151" s="12" t="s">
        <v>815</v>
      </c>
      <c r="HO151" s="3">
        <v>2</v>
      </c>
      <c r="HP151" s="12" t="s">
        <v>815</v>
      </c>
      <c r="HQ151" s="12" t="s">
        <v>815</v>
      </c>
      <c r="HR151" s="12" t="s">
        <v>815</v>
      </c>
      <c r="HS151" s="12" t="s">
        <v>815</v>
      </c>
      <c r="HT151" s="12" t="s">
        <v>815</v>
      </c>
      <c r="HU151" s="12" t="s">
        <v>815</v>
      </c>
      <c r="HV151" s="3">
        <v>2</v>
      </c>
      <c r="HW151" s="12" t="s">
        <v>815</v>
      </c>
      <c r="HX151" s="12" t="s">
        <v>815</v>
      </c>
      <c r="HY151" s="12" t="s">
        <v>815</v>
      </c>
      <c r="HZ151" s="12" t="s">
        <v>815</v>
      </c>
      <c r="IA151" s="12" t="s">
        <v>815</v>
      </c>
      <c r="IB151" s="12" t="s">
        <v>815</v>
      </c>
      <c r="IC151" s="12" t="s">
        <v>815</v>
      </c>
      <c r="ID151" s="12" t="s">
        <v>815</v>
      </c>
      <c r="IE151" s="12" t="s">
        <v>815</v>
      </c>
      <c r="IF151" s="12" t="s">
        <v>815</v>
      </c>
      <c r="IG151" s="12" t="s">
        <v>815</v>
      </c>
      <c r="IH151" s="12" t="s">
        <v>815</v>
      </c>
      <c r="II151" s="12" t="s">
        <v>815</v>
      </c>
      <c r="IJ151" s="12" t="s">
        <v>815</v>
      </c>
      <c r="IK151" s="12" t="s">
        <v>815</v>
      </c>
      <c r="IL151" s="12" t="s">
        <v>815</v>
      </c>
      <c r="IM151" s="3">
        <v>2</v>
      </c>
      <c r="IN151" s="12" t="s">
        <v>815</v>
      </c>
      <c r="IO151" s="12" t="s">
        <v>815</v>
      </c>
      <c r="IP151" s="3">
        <v>1</v>
      </c>
      <c r="IQ151" s="3">
        <v>1</v>
      </c>
      <c r="IR151" s="3" t="s">
        <v>1099</v>
      </c>
      <c r="IS151" s="3">
        <v>1</v>
      </c>
      <c r="IT151" s="3">
        <v>1</v>
      </c>
      <c r="IU151" s="12" t="s">
        <v>815</v>
      </c>
      <c r="IV151" s="12" t="s">
        <v>815</v>
      </c>
      <c r="IW151" s="12" t="s">
        <v>815</v>
      </c>
      <c r="IX151" s="3">
        <v>1</v>
      </c>
      <c r="IY151" s="3">
        <v>2</v>
      </c>
      <c r="IZ151" s="2" t="s">
        <v>816</v>
      </c>
    </row>
    <row r="152" spans="1:260" ht="13.2" x14ac:dyDescent="0.25">
      <c r="A152" s="10" t="s">
        <v>274</v>
      </c>
      <c r="B152" s="2" t="s">
        <v>1100</v>
      </c>
      <c r="C152" s="2" t="s">
        <v>261</v>
      </c>
      <c r="D152" s="2" t="s">
        <v>373</v>
      </c>
      <c r="E152" s="2">
        <v>41</v>
      </c>
      <c r="F152" s="11" t="s">
        <v>1101</v>
      </c>
      <c r="G152" s="11" t="s">
        <v>1102</v>
      </c>
      <c r="H152" s="2" t="s">
        <v>1103</v>
      </c>
      <c r="I152" s="3">
        <v>2</v>
      </c>
      <c r="J152" s="3">
        <v>3</v>
      </c>
      <c r="K152" s="12" t="s">
        <v>815</v>
      </c>
      <c r="L152" s="3">
        <v>2</v>
      </c>
      <c r="M152" s="3">
        <v>2</v>
      </c>
      <c r="N152" s="3">
        <v>3</v>
      </c>
      <c r="O152" s="3">
        <v>2</v>
      </c>
      <c r="P152" s="3">
        <v>1</v>
      </c>
      <c r="Q152" s="3">
        <v>2</v>
      </c>
      <c r="R152" s="12" t="s">
        <v>815</v>
      </c>
      <c r="S152" s="12" t="s">
        <v>815</v>
      </c>
      <c r="T152" s="12" t="s">
        <v>815</v>
      </c>
      <c r="U152" s="12" t="s">
        <v>815</v>
      </c>
      <c r="V152" s="3">
        <v>3</v>
      </c>
      <c r="W152" s="12" t="s">
        <v>815</v>
      </c>
      <c r="X152" s="12" t="s">
        <v>815</v>
      </c>
      <c r="Y152" s="3">
        <v>1</v>
      </c>
      <c r="Z152" s="3">
        <v>1</v>
      </c>
      <c r="AA152" s="3">
        <v>2</v>
      </c>
      <c r="AB152" s="3">
        <v>1</v>
      </c>
      <c r="AC152" s="3">
        <v>2</v>
      </c>
      <c r="AD152" s="3">
        <v>1</v>
      </c>
      <c r="AE152" s="3">
        <v>3</v>
      </c>
      <c r="AF152" s="12" t="s">
        <v>815</v>
      </c>
      <c r="AG152" s="12" t="s">
        <v>815</v>
      </c>
      <c r="AH152" s="12" t="s">
        <v>815</v>
      </c>
      <c r="AI152" s="3">
        <v>3</v>
      </c>
      <c r="AJ152" s="3">
        <v>3</v>
      </c>
      <c r="AK152" s="3">
        <v>3</v>
      </c>
      <c r="AL152" s="3">
        <v>3</v>
      </c>
      <c r="AM152" s="12" t="s">
        <v>815</v>
      </c>
      <c r="AN152" s="3">
        <v>3</v>
      </c>
      <c r="AO152" s="3">
        <v>3</v>
      </c>
      <c r="AP152" s="12" t="s">
        <v>815</v>
      </c>
      <c r="AQ152" s="12" t="s">
        <v>815</v>
      </c>
      <c r="AR152" s="12" t="s">
        <v>815</v>
      </c>
      <c r="AS152" s="12" t="s">
        <v>815</v>
      </c>
      <c r="AT152" s="12" t="s">
        <v>815</v>
      </c>
      <c r="AU152" s="3">
        <v>3</v>
      </c>
      <c r="AV152" s="3">
        <v>2</v>
      </c>
      <c r="AW152" s="12" t="s">
        <v>815</v>
      </c>
      <c r="AX152" s="12" t="s">
        <v>815</v>
      </c>
      <c r="AY152" s="12" t="s">
        <v>815</v>
      </c>
      <c r="AZ152" s="12" t="s">
        <v>815</v>
      </c>
      <c r="BA152" s="12" t="s">
        <v>815</v>
      </c>
      <c r="BB152" s="3">
        <v>1</v>
      </c>
      <c r="BC152" s="3">
        <v>1</v>
      </c>
      <c r="BD152" s="3">
        <v>1</v>
      </c>
      <c r="BE152" s="3">
        <v>1</v>
      </c>
      <c r="BF152" s="12" t="s">
        <v>815</v>
      </c>
      <c r="BG152" s="12" t="s">
        <v>815</v>
      </c>
      <c r="BH152" s="12" t="s">
        <v>815</v>
      </c>
      <c r="BI152" s="12" t="s">
        <v>815</v>
      </c>
      <c r="BJ152" s="12" t="s">
        <v>815</v>
      </c>
      <c r="BK152" s="12" t="s">
        <v>815</v>
      </c>
      <c r="BL152" s="12" t="s">
        <v>815</v>
      </c>
      <c r="BM152" s="3" t="s">
        <v>274</v>
      </c>
      <c r="BN152" s="3">
        <v>3</v>
      </c>
      <c r="BO152" s="12" t="s">
        <v>815</v>
      </c>
      <c r="BP152" s="3">
        <v>1</v>
      </c>
      <c r="BQ152" s="12" t="s">
        <v>815</v>
      </c>
      <c r="BR152" s="12" t="s">
        <v>815</v>
      </c>
      <c r="BS152" s="3">
        <v>3</v>
      </c>
      <c r="BT152" s="12" t="s">
        <v>815</v>
      </c>
      <c r="BU152" s="11" t="s">
        <v>815</v>
      </c>
      <c r="BV152" s="11" t="s">
        <v>815</v>
      </c>
      <c r="BW152" s="2">
        <v>3</v>
      </c>
      <c r="BX152" s="11" t="s">
        <v>815</v>
      </c>
      <c r="BY152" s="11" t="s">
        <v>815</v>
      </c>
      <c r="BZ152" s="11" t="s">
        <v>815</v>
      </c>
      <c r="CA152" s="11" t="s">
        <v>815</v>
      </c>
      <c r="CB152" s="11" t="s">
        <v>815</v>
      </c>
      <c r="CC152" s="11" t="s">
        <v>815</v>
      </c>
      <c r="CD152" s="11" t="s">
        <v>815</v>
      </c>
      <c r="CE152" s="11" t="s">
        <v>815</v>
      </c>
      <c r="CF152" s="11" t="s">
        <v>815</v>
      </c>
      <c r="CG152" s="11" t="s">
        <v>815</v>
      </c>
      <c r="CH152" s="11" t="s">
        <v>815</v>
      </c>
      <c r="CI152" s="11" t="s">
        <v>815</v>
      </c>
      <c r="CJ152" s="11" t="s">
        <v>815</v>
      </c>
      <c r="CK152" s="11" t="s">
        <v>815</v>
      </c>
      <c r="CL152" s="11" t="s">
        <v>815</v>
      </c>
      <c r="CM152" s="11" t="s">
        <v>815</v>
      </c>
      <c r="CN152" s="11" t="s">
        <v>815</v>
      </c>
      <c r="CO152" s="11" t="s">
        <v>815</v>
      </c>
      <c r="CP152" s="11" t="s">
        <v>815</v>
      </c>
      <c r="CQ152" s="11" t="s">
        <v>815</v>
      </c>
      <c r="CR152" s="11" t="s">
        <v>815</v>
      </c>
      <c r="CS152" s="11" t="s">
        <v>815</v>
      </c>
      <c r="CT152" s="11" t="s">
        <v>815</v>
      </c>
      <c r="CU152" s="11" t="s">
        <v>815</v>
      </c>
      <c r="CV152" s="11" t="s">
        <v>815</v>
      </c>
      <c r="CW152" s="11" t="s">
        <v>815</v>
      </c>
      <c r="CX152" s="11" t="s">
        <v>815</v>
      </c>
      <c r="CY152" s="11" t="s">
        <v>815</v>
      </c>
      <c r="CZ152" s="11" t="s">
        <v>815</v>
      </c>
      <c r="DA152" s="11" t="s">
        <v>815</v>
      </c>
      <c r="DB152" s="11" t="s">
        <v>815</v>
      </c>
      <c r="DC152" s="11" t="s">
        <v>815</v>
      </c>
      <c r="DD152" s="11" t="s">
        <v>815</v>
      </c>
      <c r="DE152" s="2">
        <v>2</v>
      </c>
      <c r="DF152" s="2">
        <v>2</v>
      </c>
      <c r="DG152" s="11" t="s">
        <v>815</v>
      </c>
      <c r="DH152" s="2">
        <v>2</v>
      </c>
      <c r="DI152" s="11" t="s">
        <v>815</v>
      </c>
      <c r="DJ152" s="11" t="s">
        <v>815</v>
      </c>
      <c r="DK152" s="11" t="s">
        <v>815</v>
      </c>
      <c r="DL152" s="11" t="s">
        <v>815</v>
      </c>
      <c r="DM152" s="11" t="s">
        <v>815</v>
      </c>
      <c r="DN152" s="11" t="s">
        <v>815</v>
      </c>
      <c r="DO152" s="11" t="s">
        <v>815</v>
      </c>
      <c r="DP152" s="2">
        <v>1</v>
      </c>
      <c r="DQ152" s="11" t="s">
        <v>815</v>
      </c>
      <c r="DR152" s="11" t="s">
        <v>815</v>
      </c>
      <c r="DS152" s="11" t="s">
        <v>815</v>
      </c>
      <c r="DT152" s="11" t="s">
        <v>815</v>
      </c>
      <c r="DU152" s="11" t="s">
        <v>815</v>
      </c>
      <c r="DV152" s="11" t="s">
        <v>815</v>
      </c>
      <c r="DW152" s="11" t="s">
        <v>815</v>
      </c>
      <c r="DX152" s="2">
        <v>3</v>
      </c>
      <c r="DY152" s="11" t="s">
        <v>815</v>
      </c>
      <c r="DZ152" s="11" t="s">
        <v>815</v>
      </c>
      <c r="EA152" s="11" t="s">
        <v>815</v>
      </c>
      <c r="EB152" s="11" t="s">
        <v>815</v>
      </c>
      <c r="EC152" s="11" t="s">
        <v>815</v>
      </c>
      <c r="ED152" s="11" t="s">
        <v>815</v>
      </c>
      <c r="EE152" s="11" t="s">
        <v>815</v>
      </c>
      <c r="EF152" s="11" t="s">
        <v>815</v>
      </c>
      <c r="EG152" s="11" t="s">
        <v>815</v>
      </c>
      <c r="EH152" s="11" t="s">
        <v>815</v>
      </c>
      <c r="EI152" s="11" t="s">
        <v>815</v>
      </c>
      <c r="EJ152" s="11" t="s">
        <v>815</v>
      </c>
      <c r="EK152" s="11" t="s">
        <v>815</v>
      </c>
      <c r="EL152" s="11" t="s">
        <v>815</v>
      </c>
      <c r="EM152" s="11" t="s">
        <v>815</v>
      </c>
      <c r="EN152" s="11" t="s">
        <v>815</v>
      </c>
      <c r="EO152" s="11" t="s">
        <v>815</v>
      </c>
      <c r="EP152" s="11" t="s">
        <v>815</v>
      </c>
      <c r="EQ152" s="11" t="s">
        <v>815</v>
      </c>
      <c r="ER152" s="11" t="s">
        <v>815</v>
      </c>
      <c r="ES152" s="11" t="s">
        <v>815</v>
      </c>
      <c r="ET152" s="11" t="s">
        <v>815</v>
      </c>
      <c r="EU152" s="11" t="s">
        <v>815</v>
      </c>
      <c r="EV152" s="11" t="s">
        <v>815</v>
      </c>
      <c r="EW152" s="11" t="s">
        <v>815</v>
      </c>
      <c r="EX152" s="2">
        <v>2</v>
      </c>
      <c r="EY152" s="11" t="s">
        <v>815</v>
      </c>
      <c r="EZ152" s="11" t="s">
        <v>815</v>
      </c>
      <c r="FA152" s="11" t="s">
        <v>815</v>
      </c>
      <c r="FB152" s="11" t="s">
        <v>815</v>
      </c>
      <c r="FC152" s="11" t="s">
        <v>815</v>
      </c>
      <c r="FD152" s="11" t="s">
        <v>815</v>
      </c>
      <c r="FE152" s="11" t="s">
        <v>815</v>
      </c>
      <c r="FF152" s="11" t="s">
        <v>815</v>
      </c>
      <c r="FG152" s="11" t="s">
        <v>815</v>
      </c>
      <c r="FH152" s="11" t="s">
        <v>815</v>
      </c>
      <c r="FI152" s="11" t="s">
        <v>815</v>
      </c>
      <c r="FJ152" s="11" t="s">
        <v>815</v>
      </c>
      <c r="FK152" s="11" t="s">
        <v>815</v>
      </c>
      <c r="FL152" s="11" t="s">
        <v>815</v>
      </c>
      <c r="FM152" s="11" t="s">
        <v>815</v>
      </c>
      <c r="FN152" s="11" t="s">
        <v>815</v>
      </c>
      <c r="FO152" s="11" t="s">
        <v>815</v>
      </c>
      <c r="FP152" s="11" t="s">
        <v>815</v>
      </c>
      <c r="FQ152" s="11" t="s">
        <v>815</v>
      </c>
      <c r="FR152" s="11" t="s">
        <v>815</v>
      </c>
      <c r="FS152" s="11" t="s">
        <v>815</v>
      </c>
      <c r="FT152" s="11" t="s">
        <v>815</v>
      </c>
      <c r="FU152" s="11" t="s">
        <v>815</v>
      </c>
      <c r="FV152" s="11" t="s">
        <v>815</v>
      </c>
      <c r="FW152" s="11" t="s">
        <v>815</v>
      </c>
      <c r="FX152" s="11" t="s">
        <v>815</v>
      </c>
      <c r="FY152" s="11" t="s">
        <v>815</v>
      </c>
      <c r="FZ152" s="11" t="s">
        <v>815</v>
      </c>
      <c r="GA152" s="11" t="s">
        <v>815</v>
      </c>
      <c r="GB152" s="11" t="s">
        <v>815</v>
      </c>
      <c r="GC152" s="2" t="s">
        <v>274</v>
      </c>
      <c r="GD152" s="2" t="s">
        <v>274</v>
      </c>
      <c r="GE152" s="2" t="s">
        <v>274</v>
      </c>
      <c r="GF152" s="2" t="s">
        <v>274</v>
      </c>
      <c r="GG152" s="2" t="s">
        <v>274</v>
      </c>
      <c r="GH152" s="2" t="s">
        <v>274</v>
      </c>
      <c r="GI152" s="2" t="s">
        <v>274</v>
      </c>
      <c r="GJ152" s="2" t="s">
        <v>274</v>
      </c>
      <c r="GK152" s="2" t="s">
        <v>274</v>
      </c>
      <c r="GL152" s="2" t="s">
        <v>274</v>
      </c>
      <c r="GM152" s="2" t="s">
        <v>274</v>
      </c>
      <c r="GN152" s="3">
        <v>3</v>
      </c>
      <c r="GO152" s="3">
        <v>3</v>
      </c>
      <c r="GP152" s="12" t="s">
        <v>815</v>
      </c>
      <c r="GQ152" s="12" t="s">
        <v>815</v>
      </c>
      <c r="GR152" s="12" t="s">
        <v>815</v>
      </c>
      <c r="GS152" s="12" t="s">
        <v>815</v>
      </c>
      <c r="GT152" s="3">
        <v>1</v>
      </c>
      <c r="GU152" s="3">
        <v>3</v>
      </c>
      <c r="GV152" s="3">
        <v>1</v>
      </c>
      <c r="GW152" s="12" t="s">
        <v>815</v>
      </c>
      <c r="GX152" s="12" t="s">
        <v>815</v>
      </c>
      <c r="GY152" s="12" t="s">
        <v>815</v>
      </c>
      <c r="GZ152" s="3">
        <v>1</v>
      </c>
      <c r="HA152" s="3">
        <v>2</v>
      </c>
      <c r="HB152" s="12" t="s">
        <v>815</v>
      </c>
      <c r="HC152" s="12" t="s">
        <v>815</v>
      </c>
      <c r="HD152" s="12" t="s">
        <v>815</v>
      </c>
      <c r="HE152" s="12" t="s">
        <v>815</v>
      </c>
      <c r="HF152" s="12" t="s">
        <v>815</v>
      </c>
      <c r="HG152" s="12" t="s">
        <v>815</v>
      </c>
      <c r="HH152" s="3">
        <v>1</v>
      </c>
      <c r="HI152" s="12" t="s">
        <v>815</v>
      </c>
      <c r="HJ152" s="12" t="s">
        <v>815</v>
      </c>
      <c r="HK152" s="3">
        <v>2</v>
      </c>
      <c r="HL152" s="12" t="s">
        <v>815</v>
      </c>
      <c r="HM152" s="12" t="s">
        <v>815</v>
      </c>
      <c r="HN152" s="12" t="s">
        <v>815</v>
      </c>
      <c r="HO152" s="3">
        <v>1</v>
      </c>
      <c r="HP152" s="12" t="s">
        <v>815</v>
      </c>
      <c r="HQ152" s="3">
        <v>1</v>
      </c>
      <c r="HR152" s="12" t="s">
        <v>815</v>
      </c>
      <c r="HS152" s="12" t="s">
        <v>815</v>
      </c>
      <c r="HT152" s="12" t="s">
        <v>815</v>
      </c>
      <c r="HU152" s="12" t="s">
        <v>815</v>
      </c>
      <c r="HV152" s="3">
        <v>1</v>
      </c>
      <c r="HW152" s="12" t="s">
        <v>815</v>
      </c>
      <c r="HX152" s="3">
        <v>1</v>
      </c>
      <c r="HY152" s="12" t="s">
        <v>815</v>
      </c>
      <c r="HZ152" s="12" t="s">
        <v>815</v>
      </c>
      <c r="IA152" s="12" t="s">
        <v>815</v>
      </c>
      <c r="IB152" s="12" t="s">
        <v>815</v>
      </c>
      <c r="IC152" s="12" t="s">
        <v>815</v>
      </c>
      <c r="ID152" s="3">
        <v>1</v>
      </c>
      <c r="IE152" s="12" t="s">
        <v>815</v>
      </c>
      <c r="IF152" s="3">
        <v>1</v>
      </c>
      <c r="IG152" s="12" t="s">
        <v>815</v>
      </c>
      <c r="IH152" s="12" t="s">
        <v>815</v>
      </c>
      <c r="II152" s="12" t="s">
        <v>815</v>
      </c>
      <c r="IJ152" s="12" t="s">
        <v>815</v>
      </c>
      <c r="IK152" s="12" t="s">
        <v>815</v>
      </c>
      <c r="IL152" s="12" t="s">
        <v>815</v>
      </c>
      <c r="IM152" s="12" t="s">
        <v>815</v>
      </c>
      <c r="IN152" s="12" t="s">
        <v>815</v>
      </c>
      <c r="IO152" s="12" t="s">
        <v>815</v>
      </c>
      <c r="IP152" s="3">
        <v>3</v>
      </c>
      <c r="IQ152" s="3">
        <v>1</v>
      </c>
      <c r="IR152" s="3" t="s">
        <v>1104</v>
      </c>
      <c r="IS152" s="3">
        <v>4</v>
      </c>
      <c r="IT152" s="3">
        <v>2</v>
      </c>
      <c r="IU152" s="12" t="s">
        <v>815</v>
      </c>
      <c r="IV152" s="12" t="s">
        <v>815</v>
      </c>
      <c r="IW152" s="3">
        <v>2</v>
      </c>
      <c r="IX152" s="12" t="s">
        <v>815</v>
      </c>
      <c r="IY152" s="3">
        <v>1</v>
      </c>
      <c r="IZ152" s="2" t="s">
        <v>816</v>
      </c>
    </row>
    <row r="153" spans="1:260" ht="13.2" x14ac:dyDescent="0.25">
      <c r="A153" s="10" t="s">
        <v>274</v>
      </c>
      <c r="B153" s="2" t="s">
        <v>1105</v>
      </c>
      <c r="C153" s="2" t="s">
        <v>276</v>
      </c>
      <c r="D153" s="2" t="s">
        <v>270</v>
      </c>
      <c r="E153" s="2">
        <v>18</v>
      </c>
      <c r="F153" s="11" t="s">
        <v>1106</v>
      </c>
      <c r="G153" s="11" t="s">
        <v>1107</v>
      </c>
      <c r="H153" s="2" t="s">
        <v>1108</v>
      </c>
      <c r="I153" s="3">
        <v>4</v>
      </c>
      <c r="J153" s="3">
        <v>1</v>
      </c>
      <c r="K153" s="3">
        <v>3</v>
      </c>
      <c r="L153" s="12" t="s">
        <v>815</v>
      </c>
      <c r="M153" s="3">
        <v>1</v>
      </c>
      <c r="N153" s="3">
        <v>4</v>
      </c>
      <c r="O153" s="3">
        <v>2</v>
      </c>
      <c r="P153" s="3">
        <v>1</v>
      </c>
      <c r="Q153" s="3">
        <v>2</v>
      </c>
      <c r="R153" s="3">
        <v>2</v>
      </c>
      <c r="S153" s="3">
        <v>2</v>
      </c>
      <c r="T153" s="3">
        <v>1</v>
      </c>
      <c r="U153" s="12" t="s">
        <v>815</v>
      </c>
      <c r="V153" s="3">
        <v>2</v>
      </c>
      <c r="W153" s="3">
        <v>1</v>
      </c>
      <c r="X153" s="3">
        <v>1</v>
      </c>
      <c r="Y153" s="3">
        <v>1</v>
      </c>
      <c r="Z153" s="3">
        <v>2</v>
      </c>
      <c r="AA153" s="3">
        <v>2</v>
      </c>
      <c r="AB153" s="3">
        <v>2</v>
      </c>
      <c r="AC153" s="12" t="s">
        <v>815</v>
      </c>
      <c r="AD153" s="3">
        <v>1</v>
      </c>
      <c r="AE153" s="3">
        <v>1</v>
      </c>
      <c r="AF153" s="3">
        <v>1</v>
      </c>
      <c r="AG153" s="12" t="s">
        <v>815</v>
      </c>
      <c r="AH153" s="12" t="s">
        <v>815</v>
      </c>
      <c r="AI153" s="3">
        <v>2</v>
      </c>
      <c r="AJ153" s="3">
        <v>2</v>
      </c>
      <c r="AK153" s="12" t="s">
        <v>815</v>
      </c>
      <c r="AL153" s="3">
        <v>2</v>
      </c>
      <c r="AM153" s="3">
        <v>1</v>
      </c>
      <c r="AN153" s="12" t="s">
        <v>815</v>
      </c>
      <c r="AO153" s="3">
        <v>1</v>
      </c>
      <c r="AP153" s="3">
        <v>1</v>
      </c>
      <c r="AQ153" s="3">
        <v>1</v>
      </c>
      <c r="AR153" s="12" t="s">
        <v>815</v>
      </c>
      <c r="AS153" s="12" t="s">
        <v>815</v>
      </c>
      <c r="AT153" s="12" t="s">
        <v>815</v>
      </c>
      <c r="AU153" s="3">
        <v>2</v>
      </c>
      <c r="AV153" s="3">
        <v>1</v>
      </c>
      <c r="AW153" s="12" t="s">
        <v>815</v>
      </c>
      <c r="AX153" s="12" t="s">
        <v>815</v>
      </c>
      <c r="AY153" s="3">
        <v>1</v>
      </c>
      <c r="AZ153" s="3">
        <v>1</v>
      </c>
      <c r="BA153" s="3">
        <v>1</v>
      </c>
      <c r="BB153" s="3">
        <v>2</v>
      </c>
      <c r="BC153" s="12" t="s">
        <v>815</v>
      </c>
      <c r="BD153" s="3">
        <v>2</v>
      </c>
      <c r="BE153" s="12" t="s">
        <v>815</v>
      </c>
      <c r="BF153" s="12" t="s">
        <v>815</v>
      </c>
      <c r="BG153" s="12" t="s">
        <v>815</v>
      </c>
      <c r="BH153" s="12" t="s">
        <v>815</v>
      </c>
      <c r="BI153" s="12" t="s">
        <v>815</v>
      </c>
      <c r="BJ153" s="3">
        <v>1</v>
      </c>
      <c r="BK153" s="12" t="s">
        <v>815</v>
      </c>
      <c r="BL153" s="12" t="s">
        <v>815</v>
      </c>
      <c r="BM153" s="3" t="s">
        <v>274</v>
      </c>
      <c r="BN153" s="3">
        <v>2</v>
      </c>
      <c r="BO153" s="3">
        <v>1</v>
      </c>
      <c r="BP153" s="3">
        <v>2</v>
      </c>
      <c r="BQ153" s="3">
        <v>1</v>
      </c>
      <c r="BR153" s="3">
        <v>2</v>
      </c>
      <c r="BS153" s="3">
        <v>1</v>
      </c>
      <c r="BT153" s="3">
        <v>2</v>
      </c>
      <c r="BU153" s="2">
        <v>2</v>
      </c>
      <c r="BV153" s="11" t="s">
        <v>815</v>
      </c>
      <c r="BW153" s="2">
        <v>2</v>
      </c>
      <c r="BX153" s="11" t="s">
        <v>815</v>
      </c>
      <c r="BY153" s="2">
        <v>2</v>
      </c>
      <c r="BZ153" s="11" t="s">
        <v>815</v>
      </c>
      <c r="CA153" s="11" t="s">
        <v>815</v>
      </c>
      <c r="CB153" s="2">
        <v>1</v>
      </c>
      <c r="CC153" s="11" t="s">
        <v>815</v>
      </c>
      <c r="CD153" s="11" t="s">
        <v>815</v>
      </c>
      <c r="CE153" s="11" t="s">
        <v>815</v>
      </c>
      <c r="CF153" s="2">
        <v>1</v>
      </c>
      <c r="CG153" s="11" t="s">
        <v>815</v>
      </c>
      <c r="CH153" s="11" t="s">
        <v>815</v>
      </c>
      <c r="CI153" s="11" t="s">
        <v>815</v>
      </c>
      <c r="CJ153" s="11" t="s">
        <v>815</v>
      </c>
      <c r="CK153" s="11" t="s">
        <v>815</v>
      </c>
      <c r="CL153" s="2">
        <v>1</v>
      </c>
      <c r="CM153" s="11" t="s">
        <v>815</v>
      </c>
      <c r="CN153" s="11" t="s">
        <v>815</v>
      </c>
      <c r="CO153" s="2">
        <v>1</v>
      </c>
      <c r="CP153" s="11" t="s">
        <v>815</v>
      </c>
      <c r="CQ153" s="2">
        <v>1</v>
      </c>
      <c r="CR153" s="11" t="s">
        <v>815</v>
      </c>
      <c r="CS153" s="11" t="s">
        <v>815</v>
      </c>
      <c r="CT153" s="11" t="s">
        <v>815</v>
      </c>
      <c r="CU153" s="11" t="s">
        <v>815</v>
      </c>
      <c r="CV153" s="2">
        <v>1</v>
      </c>
      <c r="CW153" s="2">
        <v>2</v>
      </c>
      <c r="CX153" s="11" t="s">
        <v>815</v>
      </c>
      <c r="CY153" s="11" t="s">
        <v>815</v>
      </c>
      <c r="CZ153" s="2">
        <v>1</v>
      </c>
      <c r="DA153" s="2">
        <v>1</v>
      </c>
      <c r="DB153" s="11" t="s">
        <v>815</v>
      </c>
      <c r="DC153" s="11" t="s">
        <v>815</v>
      </c>
      <c r="DD153" s="11" t="s">
        <v>815</v>
      </c>
      <c r="DE153" s="2">
        <v>2</v>
      </c>
      <c r="DF153" s="11" t="s">
        <v>815</v>
      </c>
      <c r="DG153" s="2">
        <v>1</v>
      </c>
      <c r="DH153" s="11" t="s">
        <v>815</v>
      </c>
      <c r="DI153" s="11" t="s">
        <v>815</v>
      </c>
      <c r="DJ153" s="11" t="s">
        <v>815</v>
      </c>
      <c r="DK153" s="11" t="s">
        <v>815</v>
      </c>
      <c r="DL153" s="2">
        <v>1</v>
      </c>
      <c r="DM153" s="11" t="s">
        <v>815</v>
      </c>
      <c r="DN153" s="11" t="s">
        <v>815</v>
      </c>
      <c r="DO153" s="11" t="s">
        <v>815</v>
      </c>
      <c r="DP153" s="2">
        <v>2</v>
      </c>
      <c r="DQ153" s="2">
        <v>1</v>
      </c>
      <c r="DR153" s="11" t="s">
        <v>815</v>
      </c>
      <c r="DS153" s="11" t="s">
        <v>815</v>
      </c>
      <c r="DT153" s="11" t="s">
        <v>815</v>
      </c>
      <c r="DU153" s="2">
        <v>1</v>
      </c>
      <c r="DV153" s="11" t="s">
        <v>815</v>
      </c>
      <c r="DW153" s="11" t="s">
        <v>815</v>
      </c>
      <c r="DX153" s="2">
        <v>2</v>
      </c>
      <c r="DY153" s="11" t="s">
        <v>815</v>
      </c>
      <c r="DZ153" s="11" t="s">
        <v>815</v>
      </c>
      <c r="EA153" s="11" t="s">
        <v>815</v>
      </c>
      <c r="EB153" s="11" t="s">
        <v>815</v>
      </c>
      <c r="EC153" s="11" t="s">
        <v>815</v>
      </c>
      <c r="ED153" s="11" t="s">
        <v>815</v>
      </c>
      <c r="EE153" s="11" t="s">
        <v>815</v>
      </c>
      <c r="EF153" s="11" t="s">
        <v>815</v>
      </c>
      <c r="EG153" s="11" t="s">
        <v>815</v>
      </c>
      <c r="EH153" s="11" t="s">
        <v>815</v>
      </c>
      <c r="EI153" s="11" t="s">
        <v>815</v>
      </c>
      <c r="EJ153" s="2">
        <v>1</v>
      </c>
      <c r="EK153" s="2">
        <v>1</v>
      </c>
      <c r="EL153" s="11" t="s">
        <v>815</v>
      </c>
      <c r="EM153" s="11" t="s">
        <v>815</v>
      </c>
      <c r="EN153" s="11" t="s">
        <v>815</v>
      </c>
      <c r="EO153" s="11" t="s">
        <v>815</v>
      </c>
      <c r="EP153" s="11" t="s">
        <v>815</v>
      </c>
      <c r="EQ153" s="11" t="s">
        <v>815</v>
      </c>
      <c r="ER153" s="11" t="s">
        <v>815</v>
      </c>
      <c r="ES153" s="11" t="s">
        <v>815</v>
      </c>
      <c r="ET153" s="11" t="s">
        <v>815</v>
      </c>
      <c r="EU153" s="11" t="s">
        <v>815</v>
      </c>
      <c r="EV153" s="11" t="s">
        <v>815</v>
      </c>
      <c r="EW153" s="2">
        <v>1</v>
      </c>
      <c r="EX153" s="2">
        <v>1</v>
      </c>
      <c r="EY153" s="11" t="s">
        <v>815</v>
      </c>
      <c r="EZ153" s="11" t="s">
        <v>815</v>
      </c>
      <c r="FA153" s="2">
        <v>1</v>
      </c>
      <c r="FB153" s="11" t="s">
        <v>815</v>
      </c>
      <c r="FC153" s="11" t="s">
        <v>815</v>
      </c>
      <c r="FD153" s="11" t="s">
        <v>815</v>
      </c>
      <c r="FE153" s="11" t="s">
        <v>815</v>
      </c>
      <c r="FF153" s="2">
        <v>2</v>
      </c>
      <c r="FG153" s="11" t="s">
        <v>815</v>
      </c>
      <c r="FH153" s="11" t="s">
        <v>815</v>
      </c>
      <c r="FI153" s="11" t="s">
        <v>815</v>
      </c>
      <c r="FJ153" s="11" t="s">
        <v>815</v>
      </c>
      <c r="FK153" s="11" t="s">
        <v>815</v>
      </c>
      <c r="FL153" s="11" t="s">
        <v>815</v>
      </c>
      <c r="FM153" s="11" t="s">
        <v>815</v>
      </c>
      <c r="FN153" s="11" t="s">
        <v>815</v>
      </c>
      <c r="FO153" s="11" t="s">
        <v>815</v>
      </c>
      <c r="FP153" s="11" t="s">
        <v>815</v>
      </c>
      <c r="FQ153" s="2">
        <v>1</v>
      </c>
      <c r="FR153" s="11" t="s">
        <v>815</v>
      </c>
      <c r="FS153" s="11" t="s">
        <v>815</v>
      </c>
      <c r="FT153" s="11" t="s">
        <v>815</v>
      </c>
      <c r="FU153" s="11" t="s">
        <v>815</v>
      </c>
      <c r="FV153" s="11" t="s">
        <v>815</v>
      </c>
      <c r="FW153" s="11" t="s">
        <v>815</v>
      </c>
      <c r="FX153" s="11" t="s">
        <v>815</v>
      </c>
      <c r="FY153" s="11" t="s">
        <v>815</v>
      </c>
      <c r="FZ153" s="11" t="s">
        <v>815</v>
      </c>
      <c r="GA153" s="11" t="s">
        <v>815</v>
      </c>
      <c r="GB153" s="11" t="s">
        <v>815</v>
      </c>
      <c r="GC153" s="2" t="s">
        <v>274</v>
      </c>
      <c r="GD153" s="11" t="s">
        <v>815</v>
      </c>
      <c r="GE153" s="11" t="s">
        <v>815</v>
      </c>
      <c r="GF153" s="11" t="s">
        <v>815</v>
      </c>
      <c r="GG153" s="11" t="s">
        <v>815</v>
      </c>
      <c r="GH153" s="2">
        <v>1</v>
      </c>
      <c r="GI153" s="11" t="s">
        <v>815</v>
      </c>
      <c r="GJ153" s="11" t="s">
        <v>815</v>
      </c>
      <c r="GK153" s="11" t="s">
        <v>815</v>
      </c>
      <c r="GL153" s="11" t="s">
        <v>815</v>
      </c>
      <c r="GM153" s="11" t="s">
        <v>815</v>
      </c>
      <c r="GN153" s="3">
        <v>1</v>
      </c>
      <c r="GO153" s="12" t="s">
        <v>815</v>
      </c>
      <c r="GP153" s="3">
        <v>1</v>
      </c>
      <c r="GQ153" s="12" t="s">
        <v>815</v>
      </c>
      <c r="GR153" s="12" t="s">
        <v>815</v>
      </c>
      <c r="GS153" s="3">
        <v>2</v>
      </c>
      <c r="GT153" s="12" t="s">
        <v>815</v>
      </c>
      <c r="GU153" s="12" t="s">
        <v>815</v>
      </c>
      <c r="GV153" s="12" t="s">
        <v>815</v>
      </c>
      <c r="GW153" s="12" t="s">
        <v>815</v>
      </c>
      <c r="GX153" s="3">
        <v>1</v>
      </c>
      <c r="GY153" s="12" t="s">
        <v>815</v>
      </c>
      <c r="GZ153" s="12" t="s">
        <v>815</v>
      </c>
      <c r="HA153" s="12" t="s">
        <v>815</v>
      </c>
      <c r="HB153" s="12" t="s">
        <v>815</v>
      </c>
      <c r="HC153" s="12" t="s">
        <v>815</v>
      </c>
      <c r="HD153" s="12" t="s">
        <v>815</v>
      </c>
      <c r="HE153" s="12" t="s">
        <v>815</v>
      </c>
      <c r="HF153" s="3">
        <v>1</v>
      </c>
      <c r="HG153" s="12" t="s">
        <v>815</v>
      </c>
      <c r="HH153" s="12" t="s">
        <v>815</v>
      </c>
      <c r="HI153" s="12" t="s">
        <v>815</v>
      </c>
      <c r="HJ153" s="12" t="s">
        <v>815</v>
      </c>
      <c r="HK153" s="12" t="s">
        <v>815</v>
      </c>
      <c r="HL153" s="12" t="s">
        <v>815</v>
      </c>
      <c r="HM153" s="12" t="s">
        <v>815</v>
      </c>
      <c r="HN153" s="12" t="s">
        <v>815</v>
      </c>
      <c r="HO153" s="12" t="s">
        <v>815</v>
      </c>
      <c r="HP153" s="12" t="s">
        <v>815</v>
      </c>
      <c r="HQ153" s="12" t="s">
        <v>815</v>
      </c>
      <c r="HR153" s="12" t="s">
        <v>815</v>
      </c>
      <c r="HS153" s="12" t="s">
        <v>815</v>
      </c>
      <c r="HT153" s="12" t="s">
        <v>815</v>
      </c>
      <c r="HU153" s="12" t="s">
        <v>815</v>
      </c>
      <c r="HV153" s="3">
        <v>2</v>
      </c>
      <c r="HW153" s="12" t="s">
        <v>815</v>
      </c>
      <c r="HX153" s="12" t="s">
        <v>815</v>
      </c>
      <c r="HY153" s="12" t="s">
        <v>815</v>
      </c>
      <c r="HZ153" s="3">
        <v>1</v>
      </c>
      <c r="IA153" s="12" t="s">
        <v>815</v>
      </c>
      <c r="IB153" s="12" t="s">
        <v>815</v>
      </c>
      <c r="IC153" s="12" t="s">
        <v>815</v>
      </c>
      <c r="ID153" s="12" t="s">
        <v>815</v>
      </c>
      <c r="IE153" s="12" t="s">
        <v>815</v>
      </c>
      <c r="IF153" s="12" t="s">
        <v>815</v>
      </c>
      <c r="IG153" s="12" t="s">
        <v>815</v>
      </c>
      <c r="IH153" s="12" t="s">
        <v>815</v>
      </c>
      <c r="II153" s="12" t="s">
        <v>815</v>
      </c>
      <c r="IJ153" s="3">
        <v>1</v>
      </c>
      <c r="IK153" s="12" t="s">
        <v>815</v>
      </c>
      <c r="IL153" s="3">
        <v>1</v>
      </c>
      <c r="IM153" s="12" t="s">
        <v>815</v>
      </c>
      <c r="IN153" s="12" t="s">
        <v>815</v>
      </c>
      <c r="IO153" s="12" t="s">
        <v>815</v>
      </c>
      <c r="IP153" s="3">
        <v>1</v>
      </c>
      <c r="IQ153" s="12" t="s">
        <v>815</v>
      </c>
      <c r="IR153" s="3" t="s">
        <v>274</v>
      </c>
      <c r="IS153" s="3">
        <v>2</v>
      </c>
      <c r="IT153" s="12" t="s">
        <v>815</v>
      </c>
      <c r="IU153" s="12" t="s">
        <v>815</v>
      </c>
      <c r="IV153" s="3">
        <v>3</v>
      </c>
      <c r="IW153" s="12" t="s">
        <v>815</v>
      </c>
      <c r="IX153" s="12" t="s">
        <v>815</v>
      </c>
      <c r="IY153" s="12" t="s">
        <v>815</v>
      </c>
      <c r="IZ153" s="2" t="s">
        <v>816</v>
      </c>
    </row>
    <row r="154" spans="1:260" ht="13.2" x14ac:dyDescent="0.25">
      <c r="A154" s="10" t="s">
        <v>274</v>
      </c>
      <c r="B154" s="2" t="s">
        <v>1109</v>
      </c>
      <c r="C154" s="2" t="s">
        <v>276</v>
      </c>
      <c r="D154" s="2" t="s">
        <v>270</v>
      </c>
      <c r="E154" s="2">
        <v>60</v>
      </c>
      <c r="F154" s="11" t="s">
        <v>1110</v>
      </c>
      <c r="G154" s="11" t="s">
        <v>1107</v>
      </c>
      <c r="H154" s="2" t="s">
        <v>1111</v>
      </c>
      <c r="I154" s="3">
        <v>3</v>
      </c>
      <c r="J154" s="3">
        <v>3</v>
      </c>
      <c r="K154" s="3">
        <v>2</v>
      </c>
      <c r="L154" s="12" t="s">
        <v>815</v>
      </c>
      <c r="M154" s="12" t="s">
        <v>815</v>
      </c>
      <c r="N154" s="3">
        <v>1</v>
      </c>
      <c r="O154" s="3">
        <v>2</v>
      </c>
      <c r="P154" s="3">
        <v>1</v>
      </c>
      <c r="Q154" s="3">
        <v>1</v>
      </c>
      <c r="R154" s="3">
        <v>1</v>
      </c>
      <c r="S154" s="12" t="s">
        <v>815</v>
      </c>
      <c r="T154" s="12" t="s">
        <v>815</v>
      </c>
      <c r="U154" s="12" t="s">
        <v>815</v>
      </c>
      <c r="V154" s="12" t="s">
        <v>815</v>
      </c>
      <c r="W154" s="12" t="s">
        <v>815</v>
      </c>
      <c r="X154" s="12" t="s">
        <v>815</v>
      </c>
      <c r="Y154" s="12" t="s">
        <v>815</v>
      </c>
      <c r="Z154" s="12" t="s">
        <v>815</v>
      </c>
      <c r="AA154" s="3">
        <v>1</v>
      </c>
      <c r="AB154" s="12" t="s">
        <v>815</v>
      </c>
      <c r="AC154" s="3">
        <v>1</v>
      </c>
      <c r="AD154" s="12" t="s">
        <v>815</v>
      </c>
      <c r="AE154" s="12" t="s">
        <v>815</v>
      </c>
      <c r="AF154" s="12" t="s">
        <v>815</v>
      </c>
      <c r="AG154" s="12" t="s">
        <v>815</v>
      </c>
      <c r="AH154" s="12" t="s">
        <v>815</v>
      </c>
      <c r="AI154" s="12" t="s">
        <v>815</v>
      </c>
      <c r="AJ154" s="3">
        <v>1</v>
      </c>
      <c r="AK154" s="12" t="s">
        <v>815</v>
      </c>
      <c r="AL154" s="12" t="s">
        <v>815</v>
      </c>
      <c r="AM154" s="12" t="s">
        <v>815</v>
      </c>
      <c r="AN154" s="12" t="s">
        <v>815</v>
      </c>
      <c r="AO154" s="12" t="s">
        <v>815</v>
      </c>
      <c r="AP154" s="12" t="s">
        <v>815</v>
      </c>
      <c r="AQ154" s="12" t="s">
        <v>815</v>
      </c>
      <c r="AR154" s="12" t="s">
        <v>815</v>
      </c>
      <c r="AS154" s="12" t="s">
        <v>815</v>
      </c>
      <c r="AT154" s="12" t="s">
        <v>815</v>
      </c>
      <c r="AU154" s="12" t="s">
        <v>815</v>
      </c>
      <c r="AV154" s="12" t="s">
        <v>815</v>
      </c>
      <c r="AW154" s="3">
        <v>1</v>
      </c>
      <c r="AX154" s="12" t="s">
        <v>815</v>
      </c>
      <c r="AY154" s="12" t="s">
        <v>815</v>
      </c>
      <c r="AZ154" s="3">
        <v>1</v>
      </c>
      <c r="BA154" s="12" t="s">
        <v>815</v>
      </c>
      <c r="BB154" s="3">
        <v>1</v>
      </c>
      <c r="BC154" s="12" t="s">
        <v>815</v>
      </c>
      <c r="BD154" s="3">
        <v>1</v>
      </c>
      <c r="BE154" s="3">
        <v>2</v>
      </c>
      <c r="BF154" s="12" t="s">
        <v>815</v>
      </c>
      <c r="BG154" s="12" t="s">
        <v>815</v>
      </c>
      <c r="BH154" s="12" t="s">
        <v>815</v>
      </c>
      <c r="BI154" s="12" t="s">
        <v>815</v>
      </c>
      <c r="BJ154" s="3">
        <v>1</v>
      </c>
      <c r="BK154" s="12" t="s">
        <v>815</v>
      </c>
      <c r="BL154" s="12" t="s">
        <v>815</v>
      </c>
      <c r="BM154" s="3" t="s">
        <v>1112</v>
      </c>
      <c r="BN154" s="3">
        <v>3</v>
      </c>
      <c r="BO154" s="12" t="s">
        <v>815</v>
      </c>
      <c r="BP154" s="3">
        <v>1</v>
      </c>
      <c r="BQ154" s="12" t="s">
        <v>815</v>
      </c>
      <c r="BR154" s="3">
        <v>2</v>
      </c>
      <c r="BS154" s="12" t="s">
        <v>815</v>
      </c>
      <c r="BT154" s="12" t="s">
        <v>815</v>
      </c>
      <c r="BU154" s="11" t="s">
        <v>815</v>
      </c>
      <c r="BV154" s="11" t="s">
        <v>815</v>
      </c>
      <c r="BW154" s="2">
        <v>3</v>
      </c>
      <c r="BX154" s="11" t="s">
        <v>815</v>
      </c>
      <c r="BY154" s="2">
        <v>2</v>
      </c>
      <c r="BZ154" s="2">
        <v>1</v>
      </c>
      <c r="CA154" s="11" t="s">
        <v>815</v>
      </c>
      <c r="CB154" s="2">
        <v>1</v>
      </c>
      <c r="CC154" s="2">
        <v>1</v>
      </c>
      <c r="CD154" s="11" t="s">
        <v>815</v>
      </c>
      <c r="CE154" s="11" t="s">
        <v>815</v>
      </c>
      <c r="CF154" s="11" t="s">
        <v>815</v>
      </c>
      <c r="CG154" s="11" t="s">
        <v>815</v>
      </c>
      <c r="CH154" s="2">
        <v>1</v>
      </c>
      <c r="CI154" s="11" t="s">
        <v>815</v>
      </c>
      <c r="CJ154" s="2">
        <v>1</v>
      </c>
      <c r="CK154" s="11" t="s">
        <v>815</v>
      </c>
      <c r="CL154" s="11" t="s">
        <v>815</v>
      </c>
      <c r="CM154" s="11" t="s">
        <v>815</v>
      </c>
      <c r="CN154" s="11" t="s">
        <v>815</v>
      </c>
      <c r="CO154" s="2">
        <v>1</v>
      </c>
      <c r="CP154" s="11" t="s">
        <v>815</v>
      </c>
      <c r="CQ154" s="11" t="s">
        <v>815</v>
      </c>
      <c r="CR154" s="2">
        <v>1</v>
      </c>
      <c r="CS154" s="11" t="s">
        <v>815</v>
      </c>
      <c r="CT154" s="11" t="s">
        <v>815</v>
      </c>
      <c r="CU154" s="11" t="s">
        <v>815</v>
      </c>
      <c r="CV154" s="11" t="s">
        <v>815</v>
      </c>
      <c r="CW154" s="2">
        <v>1</v>
      </c>
      <c r="CX154" s="11" t="s">
        <v>815</v>
      </c>
      <c r="CY154" s="11" t="s">
        <v>815</v>
      </c>
      <c r="CZ154" s="11" t="s">
        <v>815</v>
      </c>
      <c r="DA154" s="11" t="s">
        <v>815</v>
      </c>
      <c r="DB154" s="11" t="s">
        <v>815</v>
      </c>
      <c r="DC154" s="11" t="s">
        <v>815</v>
      </c>
      <c r="DD154" s="11" t="s">
        <v>815</v>
      </c>
      <c r="DE154" s="2">
        <v>2</v>
      </c>
      <c r="DF154" s="11" t="s">
        <v>815</v>
      </c>
      <c r="DG154" s="11" t="s">
        <v>815</v>
      </c>
      <c r="DH154" s="11" t="s">
        <v>815</v>
      </c>
      <c r="DI154" s="11" t="s">
        <v>815</v>
      </c>
      <c r="DJ154" s="2">
        <v>1</v>
      </c>
      <c r="DK154" s="11" t="s">
        <v>815</v>
      </c>
      <c r="DL154" s="11" t="s">
        <v>815</v>
      </c>
      <c r="DM154" s="11" t="s">
        <v>815</v>
      </c>
      <c r="DN154" s="2">
        <v>2</v>
      </c>
      <c r="DO154" s="11" t="s">
        <v>815</v>
      </c>
      <c r="DP154" s="2">
        <v>1</v>
      </c>
      <c r="DQ154" s="11" t="s">
        <v>815</v>
      </c>
      <c r="DR154" s="11" t="s">
        <v>815</v>
      </c>
      <c r="DS154" s="11" t="s">
        <v>815</v>
      </c>
      <c r="DT154" s="11" t="s">
        <v>815</v>
      </c>
      <c r="DU154" s="2">
        <v>1</v>
      </c>
      <c r="DV154" s="11" t="s">
        <v>815</v>
      </c>
      <c r="DW154" s="11" t="s">
        <v>815</v>
      </c>
      <c r="DX154" s="11" t="s">
        <v>815</v>
      </c>
      <c r="DY154" s="11" t="s">
        <v>815</v>
      </c>
      <c r="DZ154" s="11" t="s">
        <v>815</v>
      </c>
      <c r="EA154" s="11" t="s">
        <v>815</v>
      </c>
      <c r="EB154" s="11" t="s">
        <v>815</v>
      </c>
      <c r="EC154" s="11" t="s">
        <v>815</v>
      </c>
      <c r="ED154" s="11" t="s">
        <v>815</v>
      </c>
      <c r="EE154" s="11" t="s">
        <v>815</v>
      </c>
      <c r="EF154" s="11" t="s">
        <v>815</v>
      </c>
      <c r="EG154" s="11" t="s">
        <v>815</v>
      </c>
      <c r="EH154" s="11" t="s">
        <v>815</v>
      </c>
      <c r="EI154" s="11" t="s">
        <v>815</v>
      </c>
      <c r="EJ154" s="11" t="s">
        <v>815</v>
      </c>
      <c r="EK154" s="11" t="s">
        <v>815</v>
      </c>
      <c r="EL154" s="11" t="s">
        <v>815</v>
      </c>
      <c r="EM154" s="11" t="s">
        <v>815</v>
      </c>
      <c r="EN154" s="11" t="s">
        <v>815</v>
      </c>
      <c r="EO154" s="11" t="s">
        <v>815</v>
      </c>
      <c r="EP154" s="11" t="s">
        <v>815</v>
      </c>
      <c r="EQ154" s="11" t="s">
        <v>815</v>
      </c>
      <c r="ER154" s="11" t="s">
        <v>815</v>
      </c>
      <c r="ES154" s="11" t="s">
        <v>815</v>
      </c>
      <c r="ET154" s="11" t="s">
        <v>815</v>
      </c>
      <c r="EU154" s="11" t="s">
        <v>815</v>
      </c>
      <c r="EV154" s="11" t="s">
        <v>815</v>
      </c>
      <c r="EW154" s="11" t="s">
        <v>815</v>
      </c>
      <c r="EX154" s="11" t="s">
        <v>815</v>
      </c>
      <c r="EY154" s="11" t="s">
        <v>815</v>
      </c>
      <c r="EZ154" s="11" t="s">
        <v>815</v>
      </c>
      <c r="FA154" s="2">
        <v>1</v>
      </c>
      <c r="FB154" s="11" t="s">
        <v>815</v>
      </c>
      <c r="FC154" s="11" t="s">
        <v>815</v>
      </c>
      <c r="FD154" s="11" t="s">
        <v>815</v>
      </c>
      <c r="FE154" s="11" t="s">
        <v>815</v>
      </c>
      <c r="FF154" s="2">
        <v>1</v>
      </c>
      <c r="FG154" s="11" t="s">
        <v>815</v>
      </c>
      <c r="FH154" s="11" t="s">
        <v>815</v>
      </c>
      <c r="FI154" s="11" t="s">
        <v>815</v>
      </c>
      <c r="FJ154" s="11" t="s">
        <v>815</v>
      </c>
      <c r="FK154" s="11" t="s">
        <v>815</v>
      </c>
      <c r="FL154" s="11" t="s">
        <v>815</v>
      </c>
      <c r="FM154" s="11" t="s">
        <v>815</v>
      </c>
      <c r="FN154" s="2">
        <v>1</v>
      </c>
      <c r="FO154" s="11" t="s">
        <v>815</v>
      </c>
      <c r="FP154" s="11" t="s">
        <v>815</v>
      </c>
      <c r="FQ154" s="2">
        <v>1</v>
      </c>
      <c r="FR154" s="11" t="s">
        <v>815</v>
      </c>
      <c r="FS154" s="11" t="s">
        <v>815</v>
      </c>
      <c r="FT154" s="11" t="s">
        <v>815</v>
      </c>
      <c r="FU154" s="11" t="s">
        <v>815</v>
      </c>
      <c r="FV154" s="11" t="s">
        <v>815</v>
      </c>
      <c r="FW154" s="11" t="s">
        <v>815</v>
      </c>
      <c r="FX154" s="11" t="s">
        <v>815</v>
      </c>
      <c r="FY154" s="11" t="s">
        <v>815</v>
      </c>
      <c r="FZ154" s="11" t="s">
        <v>815</v>
      </c>
      <c r="GA154" s="11" t="s">
        <v>815</v>
      </c>
      <c r="GB154" s="11" t="s">
        <v>815</v>
      </c>
      <c r="GC154" s="2" t="s">
        <v>274</v>
      </c>
      <c r="GD154" s="2">
        <v>1</v>
      </c>
      <c r="GE154" s="11" t="s">
        <v>815</v>
      </c>
      <c r="GF154" s="11" t="s">
        <v>815</v>
      </c>
      <c r="GG154" s="11" t="s">
        <v>815</v>
      </c>
      <c r="GH154" s="2">
        <v>1</v>
      </c>
      <c r="GI154" s="11" t="s">
        <v>815</v>
      </c>
      <c r="GJ154" s="11" t="s">
        <v>815</v>
      </c>
      <c r="GK154" s="2">
        <v>1</v>
      </c>
      <c r="GL154" s="11" t="s">
        <v>815</v>
      </c>
      <c r="GM154" s="11" t="s">
        <v>815</v>
      </c>
      <c r="GN154" s="12" t="s">
        <v>815</v>
      </c>
      <c r="GO154" s="12" t="s">
        <v>815</v>
      </c>
      <c r="GP154" s="12" t="s">
        <v>815</v>
      </c>
      <c r="GQ154" s="12" t="s">
        <v>815</v>
      </c>
      <c r="GR154" s="3">
        <v>1</v>
      </c>
      <c r="GS154" s="12" t="s">
        <v>815</v>
      </c>
      <c r="GT154" s="3">
        <v>1</v>
      </c>
      <c r="GU154" s="3">
        <v>1</v>
      </c>
      <c r="GV154" s="12" t="s">
        <v>815</v>
      </c>
      <c r="GW154" s="12" t="s">
        <v>815</v>
      </c>
      <c r="GX154" s="12" t="s">
        <v>815</v>
      </c>
      <c r="GY154" s="3">
        <v>1</v>
      </c>
      <c r="GZ154" s="3">
        <v>1</v>
      </c>
      <c r="HA154" s="12" t="s">
        <v>815</v>
      </c>
      <c r="HB154" s="12" t="s">
        <v>815</v>
      </c>
      <c r="HC154" s="3">
        <v>1</v>
      </c>
      <c r="HD154" s="12" t="s">
        <v>815</v>
      </c>
      <c r="HE154" s="12" t="s">
        <v>815</v>
      </c>
      <c r="HF154" s="12" t="s">
        <v>815</v>
      </c>
      <c r="HG154" s="12" t="s">
        <v>815</v>
      </c>
      <c r="HH154" s="3">
        <v>1</v>
      </c>
      <c r="HI154" s="12" t="s">
        <v>815</v>
      </c>
      <c r="HJ154" s="12" t="s">
        <v>815</v>
      </c>
      <c r="HK154" s="3">
        <v>1</v>
      </c>
      <c r="HL154" s="12" t="s">
        <v>815</v>
      </c>
      <c r="HM154" s="12" t="s">
        <v>815</v>
      </c>
      <c r="HN154" s="12" t="s">
        <v>815</v>
      </c>
      <c r="HO154" s="12" t="s">
        <v>815</v>
      </c>
      <c r="HP154" s="12" t="s">
        <v>815</v>
      </c>
      <c r="HQ154" s="12" t="s">
        <v>815</v>
      </c>
      <c r="HR154" s="12" t="s">
        <v>815</v>
      </c>
      <c r="HS154" s="12" t="s">
        <v>815</v>
      </c>
      <c r="HT154" s="12" t="s">
        <v>815</v>
      </c>
      <c r="HU154" s="12" t="s">
        <v>815</v>
      </c>
      <c r="HV154" s="12" t="s">
        <v>815</v>
      </c>
      <c r="HW154" s="3">
        <v>1</v>
      </c>
      <c r="HX154" s="12" t="s">
        <v>815</v>
      </c>
      <c r="HY154" s="12" t="s">
        <v>815</v>
      </c>
      <c r="HZ154" s="12" t="s">
        <v>815</v>
      </c>
      <c r="IA154" s="12" t="s">
        <v>815</v>
      </c>
      <c r="IB154" s="12" t="s">
        <v>815</v>
      </c>
      <c r="IC154" s="12" t="s">
        <v>815</v>
      </c>
      <c r="ID154" s="12" t="s">
        <v>815</v>
      </c>
      <c r="IE154" s="12" t="s">
        <v>815</v>
      </c>
      <c r="IF154" s="12" t="s">
        <v>815</v>
      </c>
      <c r="IG154" s="12" t="s">
        <v>815</v>
      </c>
      <c r="IH154" s="12" t="s">
        <v>815</v>
      </c>
      <c r="II154" s="12" t="s">
        <v>815</v>
      </c>
      <c r="IJ154" s="12" t="s">
        <v>815</v>
      </c>
      <c r="IK154" s="12" t="s">
        <v>815</v>
      </c>
      <c r="IL154" s="12" t="s">
        <v>815</v>
      </c>
      <c r="IM154" s="12" t="s">
        <v>815</v>
      </c>
      <c r="IN154" s="12" t="s">
        <v>815</v>
      </c>
      <c r="IO154" s="12" t="s">
        <v>815</v>
      </c>
      <c r="IP154" s="12" t="s">
        <v>815</v>
      </c>
      <c r="IQ154" s="12" t="s">
        <v>815</v>
      </c>
      <c r="IR154" s="3" t="s">
        <v>274</v>
      </c>
      <c r="IS154" s="12" t="s">
        <v>815</v>
      </c>
      <c r="IT154" s="3">
        <v>1</v>
      </c>
      <c r="IU154" s="3">
        <v>1</v>
      </c>
      <c r="IV154" s="12" t="s">
        <v>815</v>
      </c>
      <c r="IW154" s="12" t="s">
        <v>815</v>
      </c>
      <c r="IX154" s="12" t="s">
        <v>815</v>
      </c>
      <c r="IY154" s="12" t="s">
        <v>815</v>
      </c>
      <c r="IZ154" s="2" t="s">
        <v>816</v>
      </c>
    </row>
    <row r="155" spans="1:260" ht="13.2" x14ac:dyDescent="0.25">
      <c r="A155" s="10" t="s">
        <v>274</v>
      </c>
      <c r="B155" s="2" t="s">
        <v>1113</v>
      </c>
      <c r="C155" s="2" t="s">
        <v>276</v>
      </c>
      <c r="D155" s="2" t="s">
        <v>270</v>
      </c>
      <c r="E155" s="2">
        <v>51</v>
      </c>
      <c r="F155" s="11" t="s">
        <v>1114</v>
      </c>
      <c r="G155" s="11" t="s">
        <v>1107</v>
      </c>
      <c r="H155" s="2" t="s">
        <v>1115</v>
      </c>
      <c r="I155" s="3">
        <v>2</v>
      </c>
      <c r="J155" s="3">
        <v>2</v>
      </c>
      <c r="K155" s="3">
        <v>2</v>
      </c>
      <c r="L155" s="3">
        <v>1</v>
      </c>
      <c r="M155" s="12" t="s">
        <v>815</v>
      </c>
      <c r="N155" s="3">
        <v>2</v>
      </c>
      <c r="O155" s="12" t="s">
        <v>815</v>
      </c>
      <c r="P155" s="12" t="s">
        <v>815</v>
      </c>
      <c r="Q155" s="12" t="s">
        <v>815</v>
      </c>
      <c r="R155" s="3">
        <v>1</v>
      </c>
      <c r="S155" s="12" t="s">
        <v>815</v>
      </c>
      <c r="T155" s="12" t="s">
        <v>815</v>
      </c>
      <c r="U155" s="12" t="s">
        <v>815</v>
      </c>
      <c r="V155" s="12" t="s">
        <v>815</v>
      </c>
      <c r="W155" s="12" t="s">
        <v>815</v>
      </c>
      <c r="X155" s="12" t="s">
        <v>815</v>
      </c>
      <c r="Y155" s="12" t="s">
        <v>815</v>
      </c>
      <c r="Z155" s="12" t="s">
        <v>815</v>
      </c>
      <c r="AA155" s="12" t="s">
        <v>815</v>
      </c>
      <c r="AB155" s="12" t="s">
        <v>815</v>
      </c>
      <c r="AC155" s="12" t="s">
        <v>815</v>
      </c>
      <c r="AD155" s="12" t="s">
        <v>815</v>
      </c>
      <c r="AE155" s="12" t="s">
        <v>815</v>
      </c>
      <c r="AF155" s="12" t="s">
        <v>815</v>
      </c>
      <c r="AG155" s="12" t="s">
        <v>815</v>
      </c>
      <c r="AH155" s="12" t="s">
        <v>815</v>
      </c>
      <c r="AI155" s="3">
        <v>1</v>
      </c>
      <c r="AJ155" s="12" t="s">
        <v>815</v>
      </c>
      <c r="AK155" s="12" t="s">
        <v>815</v>
      </c>
      <c r="AL155" s="12" t="s">
        <v>815</v>
      </c>
      <c r="AM155" s="12" t="s">
        <v>815</v>
      </c>
      <c r="AN155" s="12" t="s">
        <v>815</v>
      </c>
      <c r="AO155" s="12" t="s">
        <v>815</v>
      </c>
      <c r="AP155" s="12" t="s">
        <v>815</v>
      </c>
      <c r="AQ155" s="12" t="s">
        <v>815</v>
      </c>
      <c r="AR155" s="12" t="s">
        <v>815</v>
      </c>
      <c r="AS155" s="12" t="s">
        <v>815</v>
      </c>
      <c r="AT155" s="12" t="s">
        <v>815</v>
      </c>
      <c r="AU155" s="12" t="s">
        <v>815</v>
      </c>
      <c r="AV155" s="12" t="s">
        <v>815</v>
      </c>
      <c r="AW155" s="12" t="s">
        <v>815</v>
      </c>
      <c r="AX155" s="12" t="s">
        <v>815</v>
      </c>
      <c r="AY155" s="12" t="s">
        <v>815</v>
      </c>
      <c r="AZ155" s="12" t="s">
        <v>815</v>
      </c>
      <c r="BA155" s="12" t="s">
        <v>815</v>
      </c>
      <c r="BB155" s="12" t="s">
        <v>815</v>
      </c>
      <c r="BC155" s="12" t="s">
        <v>815</v>
      </c>
      <c r="BD155" s="12" t="s">
        <v>815</v>
      </c>
      <c r="BE155" s="12" t="s">
        <v>815</v>
      </c>
      <c r="BF155" s="12" t="s">
        <v>815</v>
      </c>
      <c r="BG155" s="12" t="s">
        <v>815</v>
      </c>
      <c r="BH155" s="12" t="s">
        <v>815</v>
      </c>
      <c r="BI155" s="12" t="s">
        <v>815</v>
      </c>
      <c r="BJ155" s="12" t="s">
        <v>815</v>
      </c>
      <c r="BK155" s="12" t="s">
        <v>815</v>
      </c>
      <c r="BL155" s="12" t="s">
        <v>815</v>
      </c>
      <c r="BM155" s="3" t="s">
        <v>274</v>
      </c>
      <c r="BN155" s="12" t="s">
        <v>815</v>
      </c>
      <c r="BO155" s="12" t="s">
        <v>815</v>
      </c>
      <c r="BP155" s="12" t="s">
        <v>815</v>
      </c>
      <c r="BQ155" s="12" t="s">
        <v>815</v>
      </c>
      <c r="BR155" s="3">
        <v>1</v>
      </c>
      <c r="BS155" s="3">
        <v>1</v>
      </c>
      <c r="BT155" s="12" t="s">
        <v>815</v>
      </c>
      <c r="BU155" s="11" t="s">
        <v>815</v>
      </c>
      <c r="BV155" s="11" t="s">
        <v>815</v>
      </c>
      <c r="BW155" s="11" t="s">
        <v>815</v>
      </c>
      <c r="BX155" s="11" t="s">
        <v>815</v>
      </c>
      <c r="BY155" s="11" t="s">
        <v>815</v>
      </c>
      <c r="BZ155" s="11" t="s">
        <v>815</v>
      </c>
      <c r="CA155" s="11" t="s">
        <v>815</v>
      </c>
      <c r="CB155" s="11" t="s">
        <v>815</v>
      </c>
      <c r="CC155" s="11" t="s">
        <v>815</v>
      </c>
      <c r="CD155" s="11" t="s">
        <v>815</v>
      </c>
      <c r="CE155" s="11" t="s">
        <v>815</v>
      </c>
      <c r="CF155" s="11" t="s">
        <v>815</v>
      </c>
      <c r="CG155" s="11" t="s">
        <v>815</v>
      </c>
      <c r="CH155" s="11" t="s">
        <v>815</v>
      </c>
      <c r="CI155" s="11" t="s">
        <v>815</v>
      </c>
      <c r="CJ155" s="11" t="s">
        <v>815</v>
      </c>
      <c r="CK155" s="11" t="s">
        <v>815</v>
      </c>
      <c r="CL155" s="11" t="s">
        <v>815</v>
      </c>
      <c r="CM155" s="11" t="s">
        <v>815</v>
      </c>
      <c r="CN155" s="11" t="s">
        <v>815</v>
      </c>
      <c r="CO155" s="11" t="s">
        <v>815</v>
      </c>
      <c r="CP155" s="11" t="s">
        <v>815</v>
      </c>
      <c r="CQ155" s="11" t="s">
        <v>815</v>
      </c>
      <c r="CR155" s="11" t="s">
        <v>815</v>
      </c>
      <c r="CS155" s="11" t="s">
        <v>815</v>
      </c>
      <c r="CT155" s="11" t="s">
        <v>815</v>
      </c>
      <c r="CU155" s="11" t="s">
        <v>815</v>
      </c>
      <c r="CV155" s="11" t="s">
        <v>815</v>
      </c>
      <c r="CW155" s="11" t="s">
        <v>815</v>
      </c>
      <c r="CX155" s="11" t="s">
        <v>815</v>
      </c>
      <c r="CY155" s="11" t="s">
        <v>815</v>
      </c>
      <c r="CZ155" s="11" t="s">
        <v>815</v>
      </c>
      <c r="DA155" s="11" t="s">
        <v>815</v>
      </c>
      <c r="DB155" s="11" t="s">
        <v>815</v>
      </c>
      <c r="DC155" s="11" t="s">
        <v>815</v>
      </c>
      <c r="DD155" s="11" t="s">
        <v>815</v>
      </c>
      <c r="DE155" s="11" t="s">
        <v>815</v>
      </c>
      <c r="DF155" s="11" t="s">
        <v>815</v>
      </c>
      <c r="DG155" s="11" t="s">
        <v>815</v>
      </c>
      <c r="DH155" s="11" t="s">
        <v>815</v>
      </c>
      <c r="DI155" s="11" t="s">
        <v>815</v>
      </c>
      <c r="DJ155" s="11" t="s">
        <v>815</v>
      </c>
      <c r="DK155" s="11" t="s">
        <v>815</v>
      </c>
      <c r="DL155" s="11" t="s">
        <v>815</v>
      </c>
      <c r="DM155" s="11" t="s">
        <v>815</v>
      </c>
      <c r="DN155" s="11" t="s">
        <v>815</v>
      </c>
      <c r="DO155" s="11" t="s">
        <v>815</v>
      </c>
      <c r="DP155" s="11" t="s">
        <v>815</v>
      </c>
      <c r="DQ155" s="11" t="s">
        <v>815</v>
      </c>
      <c r="DR155" s="11" t="s">
        <v>815</v>
      </c>
      <c r="DS155" s="11" t="s">
        <v>815</v>
      </c>
      <c r="DT155" s="11" t="s">
        <v>815</v>
      </c>
      <c r="DU155" s="11" t="s">
        <v>815</v>
      </c>
      <c r="DV155" s="11" t="s">
        <v>815</v>
      </c>
      <c r="DW155" s="11" t="s">
        <v>815</v>
      </c>
      <c r="DX155" s="11" t="s">
        <v>815</v>
      </c>
      <c r="DY155" s="11" t="s">
        <v>815</v>
      </c>
      <c r="DZ155" s="11" t="s">
        <v>815</v>
      </c>
      <c r="EA155" s="11" t="s">
        <v>815</v>
      </c>
      <c r="EB155" s="11" t="s">
        <v>815</v>
      </c>
      <c r="EC155" s="11" t="s">
        <v>815</v>
      </c>
      <c r="ED155" s="11" t="s">
        <v>815</v>
      </c>
      <c r="EE155" s="11" t="s">
        <v>815</v>
      </c>
      <c r="EF155" s="11" t="s">
        <v>815</v>
      </c>
      <c r="EG155" s="11" t="s">
        <v>815</v>
      </c>
      <c r="EH155" s="11" t="s">
        <v>815</v>
      </c>
      <c r="EI155" s="11" t="s">
        <v>815</v>
      </c>
      <c r="EJ155" s="11" t="s">
        <v>815</v>
      </c>
      <c r="EK155" s="11" t="s">
        <v>815</v>
      </c>
      <c r="EL155" s="11" t="s">
        <v>815</v>
      </c>
      <c r="EM155" s="11" t="s">
        <v>815</v>
      </c>
      <c r="EN155" s="11" t="s">
        <v>815</v>
      </c>
      <c r="EO155" s="11" t="s">
        <v>815</v>
      </c>
      <c r="EP155" s="11" t="s">
        <v>815</v>
      </c>
      <c r="EQ155" s="11" t="s">
        <v>815</v>
      </c>
      <c r="ER155" s="11" t="s">
        <v>815</v>
      </c>
      <c r="ES155" s="11" t="s">
        <v>815</v>
      </c>
      <c r="ET155" s="11" t="s">
        <v>815</v>
      </c>
      <c r="EU155" s="11" t="s">
        <v>815</v>
      </c>
      <c r="EV155" s="11" t="s">
        <v>815</v>
      </c>
      <c r="EW155" s="11" t="s">
        <v>815</v>
      </c>
      <c r="EX155" s="2">
        <v>1</v>
      </c>
      <c r="EY155" s="11" t="s">
        <v>815</v>
      </c>
      <c r="EZ155" s="11" t="s">
        <v>815</v>
      </c>
      <c r="FA155" s="11" t="s">
        <v>815</v>
      </c>
      <c r="FB155" s="11" t="s">
        <v>815</v>
      </c>
      <c r="FC155" s="11" t="s">
        <v>815</v>
      </c>
      <c r="FD155" s="11" t="s">
        <v>815</v>
      </c>
      <c r="FE155" s="11" t="s">
        <v>815</v>
      </c>
      <c r="FF155" s="11" t="s">
        <v>815</v>
      </c>
      <c r="FG155" s="11" t="s">
        <v>815</v>
      </c>
      <c r="FH155" s="11" t="s">
        <v>815</v>
      </c>
      <c r="FI155" s="11" t="s">
        <v>815</v>
      </c>
      <c r="FJ155" s="11" t="s">
        <v>815</v>
      </c>
      <c r="FK155" s="11" t="s">
        <v>815</v>
      </c>
      <c r="FL155" s="11" t="s">
        <v>815</v>
      </c>
      <c r="FM155" s="11" t="s">
        <v>815</v>
      </c>
      <c r="FN155" s="11" t="s">
        <v>815</v>
      </c>
      <c r="FO155" s="11" t="s">
        <v>815</v>
      </c>
      <c r="FP155" s="11" t="s">
        <v>815</v>
      </c>
      <c r="FQ155" s="11" t="s">
        <v>815</v>
      </c>
      <c r="FR155" s="11" t="s">
        <v>815</v>
      </c>
      <c r="FS155" s="11" t="s">
        <v>815</v>
      </c>
      <c r="FT155" s="11" t="s">
        <v>815</v>
      </c>
      <c r="FU155" s="11" t="s">
        <v>815</v>
      </c>
      <c r="FV155" s="11" t="s">
        <v>815</v>
      </c>
      <c r="FW155" s="11" t="s">
        <v>815</v>
      </c>
      <c r="FX155" s="11" t="s">
        <v>815</v>
      </c>
      <c r="FY155" s="11" t="s">
        <v>815</v>
      </c>
      <c r="FZ155" s="11" t="s">
        <v>815</v>
      </c>
      <c r="GA155" s="11" t="s">
        <v>815</v>
      </c>
      <c r="GB155" s="11" t="s">
        <v>815</v>
      </c>
      <c r="GC155" s="2" t="s">
        <v>274</v>
      </c>
      <c r="GD155" s="11" t="s">
        <v>815</v>
      </c>
      <c r="GE155" s="11" t="s">
        <v>815</v>
      </c>
      <c r="GF155" s="11" t="s">
        <v>815</v>
      </c>
      <c r="GG155" s="11" t="s">
        <v>815</v>
      </c>
      <c r="GH155" s="2">
        <v>1</v>
      </c>
      <c r="GI155" s="11" t="s">
        <v>815</v>
      </c>
      <c r="GJ155" s="11" t="s">
        <v>815</v>
      </c>
      <c r="GK155" s="11" t="s">
        <v>815</v>
      </c>
      <c r="GL155" s="11" t="s">
        <v>815</v>
      </c>
      <c r="GM155" s="11" t="s">
        <v>815</v>
      </c>
      <c r="GN155" s="3">
        <v>1</v>
      </c>
      <c r="GO155" s="12" t="s">
        <v>815</v>
      </c>
      <c r="GP155" s="12" t="s">
        <v>815</v>
      </c>
      <c r="GQ155" s="12" t="s">
        <v>815</v>
      </c>
      <c r="GR155" s="12" t="s">
        <v>815</v>
      </c>
      <c r="GS155" s="12" t="s">
        <v>815</v>
      </c>
      <c r="GT155" s="12" t="s">
        <v>815</v>
      </c>
      <c r="GU155" s="12" t="s">
        <v>815</v>
      </c>
      <c r="GV155" s="3">
        <v>1</v>
      </c>
      <c r="GW155" s="12" t="s">
        <v>815</v>
      </c>
      <c r="GX155" s="12" t="s">
        <v>815</v>
      </c>
      <c r="GY155" s="12" t="s">
        <v>815</v>
      </c>
      <c r="GZ155" s="12" t="s">
        <v>815</v>
      </c>
      <c r="HA155" s="12" t="s">
        <v>815</v>
      </c>
      <c r="HB155" s="12" t="s">
        <v>815</v>
      </c>
      <c r="HC155" s="12" t="s">
        <v>815</v>
      </c>
      <c r="HD155" s="12" t="s">
        <v>815</v>
      </c>
      <c r="HE155" s="12" t="s">
        <v>815</v>
      </c>
      <c r="HF155" s="12" t="s">
        <v>815</v>
      </c>
      <c r="HG155" s="12" t="s">
        <v>815</v>
      </c>
      <c r="HH155" s="12" t="s">
        <v>815</v>
      </c>
      <c r="HI155" s="12" t="s">
        <v>815</v>
      </c>
      <c r="HJ155" s="12" t="s">
        <v>815</v>
      </c>
      <c r="HK155" s="12" t="s">
        <v>815</v>
      </c>
      <c r="HL155" s="12" t="s">
        <v>815</v>
      </c>
      <c r="HM155" s="12" t="s">
        <v>815</v>
      </c>
      <c r="HN155" s="12" t="s">
        <v>815</v>
      </c>
      <c r="HO155" s="12" t="s">
        <v>815</v>
      </c>
      <c r="HP155" s="12" t="s">
        <v>815</v>
      </c>
      <c r="HQ155" s="12" t="s">
        <v>815</v>
      </c>
      <c r="HR155" s="12" t="s">
        <v>815</v>
      </c>
      <c r="HS155" s="12" t="s">
        <v>815</v>
      </c>
      <c r="HT155" s="12" t="s">
        <v>815</v>
      </c>
      <c r="HU155" s="12" t="s">
        <v>815</v>
      </c>
      <c r="HV155" s="12" t="s">
        <v>815</v>
      </c>
      <c r="HW155" s="12" t="s">
        <v>815</v>
      </c>
      <c r="HX155" s="12" t="s">
        <v>815</v>
      </c>
      <c r="HY155" s="12" t="s">
        <v>815</v>
      </c>
      <c r="HZ155" s="12" t="s">
        <v>815</v>
      </c>
      <c r="IA155" s="12" t="s">
        <v>815</v>
      </c>
      <c r="IB155" s="12" t="s">
        <v>815</v>
      </c>
      <c r="IC155" s="12" t="s">
        <v>815</v>
      </c>
      <c r="ID155" s="12" t="s">
        <v>815</v>
      </c>
      <c r="IE155" s="12" t="s">
        <v>815</v>
      </c>
      <c r="IF155" s="12" t="s">
        <v>815</v>
      </c>
      <c r="IG155" s="12" t="s">
        <v>815</v>
      </c>
      <c r="IH155" s="12" t="s">
        <v>815</v>
      </c>
      <c r="II155" s="12" t="s">
        <v>815</v>
      </c>
      <c r="IJ155" s="12" t="s">
        <v>815</v>
      </c>
      <c r="IK155" s="12" t="s">
        <v>815</v>
      </c>
      <c r="IL155" s="12" t="s">
        <v>815</v>
      </c>
      <c r="IM155" s="12" t="s">
        <v>815</v>
      </c>
      <c r="IN155" s="12" t="s">
        <v>815</v>
      </c>
      <c r="IO155" s="12" t="s">
        <v>815</v>
      </c>
      <c r="IP155" s="12" t="s">
        <v>815</v>
      </c>
      <c r="IQ155" s="12" t="s">
        <v>815</v>
      </c>
      <c r="IR155" s="3" t="s">
        <v>274</v>
      </c>
      <c r="IS155" s="12" t="s">
        <v>815</v>
      </c>
      <c r="IT155" s="3">
        <v>1</v>
      </c>
      <c r="IU155" s="12" t="s">
        <v>815</v>
      </c>
      <c r="IV155" s="12" t="s">
        <v>815</v>
      </c>
      <c r="IW155" s="12" t="s">
        <v>815</v>
      </c>
      <c r="IX155" s="12" t="s">
        <v>815</v>
      </c>
      <c r="IY155" s="12" t="s">
        <v>815</v>
      </c>
      <c r="IZ155" s="2" t="s">
        <v>816</v>
      </c>
    </row>
    <row r="156" spans="1:260" ht="13.2" x14ac:dyDescent="0.25">
      <c r="A156" s="10" t="s">
        <v>274</v>
      </c>
      <c r="B156" s="2" t="s">
        <v>1116</v>
      </c>
      <c r="C156" s="2" t="s">
        <v>276</v>
      </c>
      <c r="D156" s="2" t="s">
        <v>373</v>
      </c>
      <c r="E156" s="2">
        <v>56</v>
      </c>
      <c r="F156" s="11" t="s">
        <v>1117</v>
      </c>
      <c r="G156" s="11" t="s">
        <v>1118</v>
      </c>
      <c r="H156" s="2" t="s">
        <v>834</v>
      </c>
      <c r="I156" s="3">
        <v>4</v>
      </c>
      <c r="J156" s="3">
        <v>4</v>
      </c>
      <c r="K156" s="3">
        <v>4</v>
      </c>
      <c r="L156" s="3">
        <v>4</v>
      </c>
      <c r="M156" s="3">
        <v>2</v>
      </c>
      <c r="N156" s="3">
        <v>4</v>
      </c>
      <c r="O156" s="3">
        <v>4</v>
      </c>
      <c r="P156" s="3">
        <v>2</v>
      </c>
      <c r="Q156" s="3">
        <v>1</v>
      </c>
      <c r="R156" s="3">
        <v>4</v>
      </c>
      <c r="S156" s="12" t="s">
        <v>815</v>
      </c>
      <c r="T156" s="12" t="s">
        <v>815</v>
      </c>
      <c r="U156" s="12" t="s">
        <v>815</v>
      </c>
      <c r="V156" s="3">
        <v>4</v>
      </c>
      <c r="W156" s="12" t="s">
        <v>815</v>
      </c>
      <c r="X156" s="12" t="s">
        <v>815</v>
      </c>
      <c r="Y156" s="3">
        <v>4</v>
      </c>
      <c r="Z156" s="12" t="s">
        <v>815</v>
      </c>
      <c r="AA156" s="3">
        <v>4</v>
      </c>
      <c r="AB156" s="3">
        <v>4</v>
      </c>
      <c r="AC156" s="3">
        <v>4</v>
      </c>
      <c r="AD156" s="12" t="s">
        <v>815</v>
      </c>
      <c r="AE156" s="12" t="s">
        <v>815</v>
      </c>
      <c r="AF156" s="3">
        <v>4</v>
      </c>
      <c r="AG156" s="3">
        <v>4</v>
      </c>
      <c r="AH156" s="3">
        <v>4</v>
      </c>
      <c r="AI156" s="3">
        <v>4</v>
      </c>
      <c r="AJ156" s="3">
        <v>4</v>
      </c>
      <c r="AK156" s="3">
        <v>4</v>
      </c>
      <c r="AL156" s="3">
        <v>1</v>
      </c>
      <c r="AM156" s="12" t="s">
        <v>815</v>
      </c>
      <c r="AN156" s="3">
        <v>2</v>
      </c>
      <c r="AO156" s="3">
        <v>4</v>
      </c>
      <c r="AP156" s="3">
        <v>4</v>
      </c>
      <c r="AQ156" s="12" t="s">
        <v>815</v>
      </c>
      <c r="AR156" s="3">
        <v>4</v>
      </c>
      <c r="AS156" s="3">
        <v>4</v>
      </c>
      <c r="AT156" s="12" t="s">
        <v>815</v>
      </c>
      <c r="AU156" s="3">
        <v>4</v>
      </c>
      <c r="AV156" s="3">
        <v>4</v>
      </c>
      <c r="AW156" s="12" t="s">
        <v>815</v>
      </c>
      <c r="AX156" s="12" t="s">
        <v>815</v>
      </c>
      <c r="AY156" s="12" t="s">
        <v>815</v>
      </c>
      <c r="AZ156" s="3">
        <v>1</v>
      </c>
      <c r="BA156" s="12" t="s">
        <v>815</v>
      </c>
      <c r="BB156" s="3">
        <v>4</v>
      </c>
      <c r="BC156" s="12" t="s">
        <v>815</v>
      </c>
      <c r="BD156" s="3">
        <v>2</v>
      </c>
      <c r="BE156" s="12" t="s">
        <v>815</v>
      </c>
      <c r="BF156" s="12" t="s">
        <v>815</v>
      </c>
      <c r="BG156" s="12" t="s">
        <v>815</v>
      </c>
      <c r="BH156" s="3">
        <v>4</v>
      </c>
      <c r="BI156" s="3">
        <v>2</v>
      </c>
      <c r="BJ156" s="12" t="s">
        <v>815</v>
      </c>
      <c r="BK156" s="12" t="s">
        <v>815</v>
      </c>
      <c r="BL156" s="12" t="s">
        <v>815</v>
      </c>
      <c r="BM156" s="3" t="s">
        <v>1119</v>
      </c>
      <c r="BN156" s="3">
        <v>4</v>
      </c>
      <c r="BO156" s="12" t="s">
        <v>815</v>
      </c>
      <c r="BP156" s="12" t="s">
        <v>815</v>
      </c>
      <c r="BQ156" s="3">
        <v>4</v>
      </c>
      <c r="BR156" s="3">
        <v>2</v>
      </c>
      <c r="BS156" s="3">
        <v>4</v>
      </c>
      <c r="BT156" s="3">
        <v>2</v>
      </c>
      <c r="BU156" s="2">
        <v>2</v>
      </c>
      <c r="BV156" s="11" t="s">
        <v>815</v>
      </c>
      <c r="BW156" s="2">
        <v>4</v>
      </c>
      <c r="BX156" s="2">
        <v>2</v>
      </c>
      <c r="BY156" s="11" t="s">
        <v>815</v>
      </c>
      <c r="BZ156" s="11" t="s">
        <v>815</v>
      </c>
      <c r="CA156" s="11" t="s">
        <v>815</v>
      </c>
      <c r="CB156" s="2">
        <v>2</v>
      </c>
      <c r="CC156" s="2">
        <v>4</v>
      </c>
      <c r="CD156" s="11" t="s">
        <v>815</v>
      </c>
      <c r="CE156" s="2">
        <v>2</v>
      </c>
      <c r="CF156" s="11" t="s">
        <v>815</v>
      </c>
      <c r="CG156" s="11" t="s">
        <v>815</v>
      </c>
      <c r="CH156" s="11" t="s">
        <v>815</v>
      </c>
      <c r="CI156" s="2">
        <v>2</v>
      </c>
      <c r="CJ156" s="11" t="s">
        <v>815</v>
      </c>
      <c r="CK156" s="11" t="s">
        <v>815</v>
      </c>
      <c r="CL156" s="11" t="s">
        <v>815</v>
      </c>
      <c r="CM156" s="11" t="s">
        <v>815</v>
      </c>
      <c r="CN156" s="11" t="s">
        <v>815</v>
      </c>
      <c r="CO156" s="11" t="s">
        <v>815</v>
      </c>
      <c r="CP156" s="11" t="s">
        <v>815</v>
      </c>
      <c r="CQ156" s="11" t="s">
        <v>815</v>
      </c>
      <c r="CR156" s="11" t="s">
        <v>815</v>
      </c>
      <c r="CS156" s="11" t="s">
        <v>815</v>
      </c>
      <c r="CT156" s="11" t="s">
        <v>815</v>
      </c>
      <c r="CU156" s="11" t="s">
        <v>815</v>
      </c>
      <c r="CV156" s="2">
        <v>2</v>
      </c>
      <c r="CW156" s="2">
        <v>4</v>
      </c>
      <c r="CX156" s="11" t="s">
        <v>815</v>
      </c>
      <c r="CY156" s="11" t="s">
        <v>815</v>
      </c>
      <c r="CZ156" s="11" t="s">
        <v>815</v>
      </c>
      <c r="DA156" s="11" t="s">
        <v>815</v>
      </c>
      <c r="DB156" s="11" t="s">
        <v>815</v>
      </c>
      <c r="DC156" s="11" t="s">
        <v>815</v>
      </c>
      <c r="DD156" s="11" t="s">
        <v>815</v>
      </c>
      <c r="DE156" s="11" t="s">
        <v>815</v>
      </c>
      <c r="DF156" s="11" t="s">
        <v>815</v>
      </c>
      <c r="DG156" s="2">
        <v>4</v>
      </c>
      <c r="DH156" s="11" t="s">
        <v>815</v>
      </c>
      <c r="DI156" s="11" t="s">
        <v>815</v>
      </c>
      <c r="DJ156" s="11" t="s">
        <v>815</v>
      </c>
      <c r="DK156" s="11" t="s">
        <v>815</v>
      </c>
      <c r="DL156" s="11" t="s">
        <v>815</v>
      </c>
      <c r="DM156" s="11" t="s">
        <v>815</v>
      </c>
      <c r="DN156" s="11" t="s">
        <v>815</v>
      </c>
      <c r="DO156" s="11" t="s">
        <v>815</v>
      </c>
      <c r="DP156" s="11" t="s">
        <v>815</v>
      </c>
      <c r="DQ156" s="11" t="s">
        <v>815</v>
      </c>
      <c r="DR156" s="2">
        <v>4</v>
      </c>
      <c r="DS156" s="11" t="s">
        <v>815</v>
      </c>
      <c r="DT156" s="11" t="s">
        <v>815</v>
      </c>
      <c r="DU156" s="11" t="s">
        <v>815</v>
      </c>
      <c r="DV156" s="11" t="s">
        <v>815</v>
      </c>
      <c r="DW156" s="11" t="s">
        <v>815</v>
      </c>
      <c r="DX156" s="2">
        <v>4</v>
      </c>
      <c r="DY156" s="11" t="s">
        <v>815</v>
      </c>
      <c r="DZ156" s="11" t="s">
        <v>815</v>
      </c>
      <c r="EA156" s="11" t="s">
        <v>815</v>
      </c>
      <c r="EB156" s="11" t="s">
        <v>815</v>
      </c>
      <c r="EC156" s="2">
        <v>4</v>
      </c>
      <c r="ED156" s="11" t="s">
        <v>815</v>
      </c>
      <c r="EE156" s="11" t="s">
        <v>815</v>
      </c>
      <c r="EF156" s="11" t="s">
        <v>815</v>
      </c>
      <c r="EG156" s="11" t="s">
        <v>815</v>
      </c>
      <c r="EH156" s="11" t="s">
        <v>815</v>
      </c>
      <c r="EI156" s="2">
        <v>2</v>
      </c>
      <c r="EJ156" s="11" t="s">
        <v>815</v>
      </c>
      <c r="EK156" s="11" t="s">
        <v>815</v>
      </c>
      <c r="EL156" s="11" t="s">
        <v>815</v>
      </c>
      <c r="EM156" s="11" t="s">
        <v>815</v>
      </c>
      <c r="EN156" s="11" t="s">
        <v>815</v>
      </c>
      <c r="EO156" s="11" t="s">
        <v>815</v>
      </c>
      <c r="EP156" s="11" t="s">
        <v>815</v>
      </c>
      <c r="EQ156" s="11" t="s">
        <v>815</v>
      </c>
      <c r="ER156" s="11" t="s">
        <v>815</v>
      </c>
      <c r="ES156" s="11" t="s">
        <v>815</v>
      </c>
      <c r="ET156" s="11" t="s">
        <v>815</v>
      </c>
      <c r="EU156" s="11" t="s">
        <v>815</v>
      </c>
      <c r="EV156" s="11" t="s">
        <v>815</v>
      </c>
      <c r="EW156" s="2">
        <v>2</v>
      </c>
      <c r="EX156" s="2">
        <v>4</v>
      </c>
      <c r="EY156" s="11" t="s">
        <v>815</v>
      </c>
      <c r="EZ156" s="11" t="s">
        <v>815</v>
      </c>
      <c r="FA156" s="2">
        <v>2</v>
      </c>
      <c r="FB156" s="11" t="s">
        <v>815</v>
      </c>
      <c r="FC156" s="11" t="s">
        <v>815</v>
      </c>
      <c r="FD156" s="2">
        <v>4</v>
      </c>
      <c r="FE156" s="11" t="s">
        <v>815</v>
      </c>
      <c r="FF156" s="2">
        <v>4</v>
      </c>
      <c r="FG156" s="11" t="s">
        <v>815</v>
      </c>
      <c r="FH156" s="11" t="s">
        <v>815</v>
      </c>
      <c r="FI156" s="11" t="s">
        <v>815</v>
      </c>
      <c r="FJ156" s="11" t="s">
        <v>815</v>
      </c>
      <c r="FK156" s="11" t="s">
        <v>815</v>
      </c>
      <c r="FL156" s="11" t="s">
        <v>815</v>
      </c>
      <c r="FM156" s="11" t="s">
        <v>815</v>
      </c>
      <c r="FN156" s="11" t="s">
        <v>815</v>
      </c>
      <c r="FO156" s="11" t="s">
        <v>815</v>
      </c>
      <c r="FP156" s="11" t="s">
        <v>815</v>
      </c>
      <c r="FQ156" s="2">
        <v>2</v>
      </c>
      <c r="FR156" s="11" t="s">
        <v>815</v>
      </c>
      <c r="FS156" s="2">
        <v>2</v>
      </c>
      <c r="FT156" s="11" t="s">
        <v>815</v>
      </c>
      <c r="FU156" s="2">
        <v>2</v>
      </c>
      <c r="FV156" s="11" t="s">
        <v>815</v>
      </c>
      <c r="FW156" s="2">
        <v>2</v>
      </c>
      <c r="FX156" s="11" t="s">
        <v>815</v>
      </c>
      <c r="FY156" s="2">
        <v>2</v>
      </c>
      <c r="FZ156" s="11" t="s">
        <v>815</v>
      </c>
      <c r="GA156" s="11" t="s">
        <v>815</v>
      </c>
      <c r="GB156" s="11" t="s">
        <v>815</v>
      </c>
      <c r="GC156" s="2" t="s">
        <v>421</v>
      </c>
      <c r="GD156" s="2">
        <v>2</v>
      </c>
      <c r="GE156" s="2">
        <v>2</v>
      </c>
      <c r="GF156" s="2">
        <v>2</v>
      </c>
      <c r="GG156" s="2">
        <v>2</v>
      </c>
      <c r="GH156" s="2">
        <v>4</v>
      </c>
      <c r="GI156" s="11" t="s">
        <v>815</v>
      </c>
      <c r="GJ156" s="2">
        <v>2</v>
      </c>
      <c r="GK156" s="11" t="s">
        <v>815</v>
      </c>
      <c r="GL156" s="11" t="s">
        <v>815</v>
      </c>
      <c r="GM156" s="11" t="s">
        <v>815</v>
      </c>
      <c r="GN156" s="3">
        <v>4</v>
      </c>
      <c r="GO156" s="12" t="s">
        <v>815</v>
      </c>
      <c r="GP156" s="3">
        <v>2</v>
      </c>
      <c r="GQ156" s="12" t="s">
        <v>815</v>
      </c>
      <c r="GR156" s="12" t="s">
        <v>815</v>
      </c>
      <c r="GS156" s="3">
        <v>4</v>
      </c>
      <c r="GT156" s="12" t="s">
        <v>815</v>
      </c>
      <c r="GU156" s="12" t="s">
        <v>815</v>
      </c>
      <c r="GV156" s="12" t="s">
        <v>815</v>
      </c>
      <c r="GW156" s="3">
        <v>2</v>
      </c>
      <c r="GX156" s="12" t="s">
        <v>815</v>
      </c>
      <c r="GY156" s="12" t="s">
        <v>815</v>
      </c>
      <c r="GZ156" s="12" t="s">
        <v>815</v>
      </c>
      <c r="HA156" s="12" t="s">
        <v>815</v>
      </c>
      <c r="HB156" s="3">
        <v>4</v>
      </c>
      <c r="HC156" s="12" t="s">
        <v>815</v>
      </c>
      <c r="HD156" s="12" t="s">
        <v>815</v>
      </c>
      <c r="HE156" s="12" t="s">
        <v>815</v>
      </c>
      <c r="HF156" s="12" t="s">
        <v>815</v>
      </c>
      <c r="HG156" s="12" t="s">
        <v>815</v>
      </c>
      <c r="HH156" s="12" t="s">
        <v>815</v>
      </c>
      <c r="HI156" s="12" t="s">
        <v>815</v>
      </c>
      <c r="HJ156" s="12" t="s">
        <v>815</v>
      </c>
      <c r="HK156" s="12" t="s">
        <v>815</v>
      </c>
      <c r="HL156" s="12" t="s">
        <v>815</v>
      </c>
      <c r="HM156" s="12" t="s">
        <v>815</v>
      </c>
      <c r="HN156" s="12" t="s">
        <v>815</v>
      </c>
      <c r="HO156" s="12" t="s">
        <v>815</v>
      </c>
      <c r="HP156" s="12" t="s">
        <v>815</v>
      </c>
      <c r="HQ156" s="12" t="s">
        <v>815</v>
      </c>
      <c r="HR156" s="12" t="s">
        <v>815</v>
      </c>
      <c r="HS156" s="3">
        <v>4</v>
      </c>
      <c r="HT156" s="12" t="s">
        <v>815</v>
      </c>
      <c r="HU156" s="12" t="s">
        <v>815</v>
      </c>
      <c r="HV156" s="3">
        <v>4</v>
      </c>
      <c r="HW156" s="12" t="s">
        <v>815</v>
      </c>
      <c r="HX156" s="12" t="s">
        <v>815</v>
      </c>
      <c r="HY156" s="12" t="s">
        <v>815</v>
      </c>
      <c r="HZ156" s="3">
        <v>4</v>
      </c>
      <c r="IA156" s="12" t="s">
        <v>815</v>
      </c>
      <c r="IB156" s="12" t="s">
        <v>815</v>
      </c>
      <c r="IC156" s="3">
        <v>2</v>
      </c>
      <c r="ID156" s="12" t="s">
        <v>815</v>
      </c>
      <c r="IE156" s="12" t="s">
        <v>815</v>
      </c>
      <c r="IF156" s="12" t="s">
        <v>815</v>
      </c>
      <c r="IG156" s="12" t="s">
        <v>815</v>
      </c>
      <c r="IH156" s="12" t="s">
        <v>815</v>
      </c>
      <c r="II156" s="12" t="s">
        <v>815</v>
      </c>
      <c r="IJ156" s="3">
        <v>4</v>
      </c>
      <c r="IK156" s="12" t="s">
        <v>815</v>
      </c>
      <c r="IL156" s="12" t="s">
        <v>815</v>
      </c>
      <c r="IM156" s="12" t="s">
        <v>815</v>
      </c>
      <c r="IN156" s="12" t="s">
        <v>815</v>
      </c>
      <c r="IO156" s="12" t="s">
        <v>815</v>
      </c>
      <c r="IP156" s="3">
        <v>4</v>
      </c>
      <c r="IQ156" s="3">
        <v>2</v>
      </c>
      <c r="IR156" s="3" t="s">
        <v>1120</v>
      </c>
      <c r="IS156" s="3">
        <v>4</v>
      </c>
      <c r="IT156" s="12" t="s">
        <v>815</v>
      </c>
      <c r="IU156" s="12" t="s">
        <v>815</v>
      </c>
      <c r="IV156" s="3">
        <v>2</v>
      </c>
      <c r="IW156" s="12" t="s">
        <v>815</v>
      </c>
      <c r="IX156" s="12" t="s">
        <v>815</v>
      </c>
      <c r="IY156" s="12" t="s">
        <v>815</v>
      </c>
      <c r="IZ156" s="2" t="s">
        <v>816</v>
      </c>
    </row>
    <row r="157" spans="1:260" ht="13.2" x14ac:dyDescent="0.25">
      <c r="A157" s="10" t="s">
        <v>274</v>
      </c>
      <c r="B157" s="2" t="s">
        <v>1121</v>
      </c>
      <c r="C157" s="2" t="s">
        <v>261</v>
      </c>
      <c r="D157" s="2" t="s">
        <v>270</v>
      </c>
      <c r="E157" s="2">
        <v>18</v>
      </c>
      <c r="F157" s="11" t="s">
        <v>1122</v>
      </c>
      <c r="G157" s="11" t="s">
        <v>1118</v>
      </c>
      <c r="H157" s="2" t="s">
        <v>1123</v>
      </c>
      <c r="I157" s="3">
        <v>2</v>
      </c>
      <c r="J157" s="3">
        <v>1</v>
      </c>
      <c r="K157" s="3">
        <v>1</v>
      </c>
      <c r="L157" s="3">
        <v>3</v>
      </c>
      <c r="M157" s="3">
        <v>3</v>
      </c>
      <c r="N157" s="3">
        <v>2</v>
      </c>
      <c r="O157" s="3">
        <v>3</v>
      </c>
      <c r="P157" s="3">
        <v>4</v>
      </c>
      <c r="Q157" s="3">
        <v>2</v>
      </c>
      <c r="R157" s="3">
        <v>4</v>
      </c>
      <c r="S157" s="3">
        <v>4</v>
      </c>
      <c r="T157" s="3">
        <v>2</v>
      </c>
      <c r="U157" s="3">
        <v>4</v>
      </c>
      <c r="V157" s="3">
        <v>4</v>
      </c>
      <c r="W157" s="3">
        <v>4</v>
      </c>
      <c r="X157" s="3">
        <v>4</v>
      </c>
      <c r="Y157" s="3">
        <v>4</v>
      </c>
      <c r="Z157" s="3">
        <v>4</v>
      </c>
      <c r="AA157" s="3">
        <v>4</v>
      </c>
      <c r="AB157" s="3">
        <v>4</v>
      </c>
      <c r="AC157" s="3">
        <v>4</v>
      </c>
      <c r="AD157" s="3">
        <v>4</v>
      </c>
      <c r="AE157" s="3">
        <v>4</v>
      </c>
      <c r="AF157" s="12" t="s">
        <v>815</v>
      </c>
      <c r="AG157" s="12" t="s">
        <v>815</v>
      </c>
      <c r="AH157" s="12" t="s">
        <v>815</v>
      </c>
      <c r="AI157" s="3">
        <v>4</v>
      </c>
      <c r="AJ157" s="3">
        <v>3</v>
      </c>
      <c r="AK157" s="3">
        <v>4</v>
      </c>
      <c r="AL157" s="3">
        <v>4</v>
      </c>
      <c r="AM157" s="12" t="s">
        <v>815</v>
      </c>
      <c r="AN157" s="3">
        <v>4</v>
      </c>
      <c r="AO157" s="3">
        <v>2</v>
      </c>
      <c r="AP157" s="3">
        <v>4</v>
      </c>
      <c r="AQ157" s="3">
        <v>4</v>
      </c>
      <c r="AR157" s="3">
        <v>1</v>
      </c>
      <c r="AS157" s="3">
        <v>1</v>
      </c>
      <c r="AT157" s="3">
        <v>2</v>
      </c>
      <c r="AU157" s="3">
        <v>4</v>
      </c>
      <c r="AV157" s="3">
        <v>2</v>
      </c>
      <c r="AW157" s="3">
        <v>2</v>
      </c>
      <c r="AX157" s="3">
        <v>1</v>
      </c>
      <c r="AY157" s="3">
        <v>2</v>
      </c>
      <c r="AZ157" s="3">
        <v>3</v>
      </c>
      <c r="BA157" s="3">
        <v>1</v>
      </c>
      <c r="BB157" s="3">
        <v>2</v>
      </c>
      <c r="BC157" s="12" t="s">
        <v>815</v>
      </c>
      <c r="BD157" s="3">
        <v>2</v>
      </c>
      <c r="BE157" s="12" t="s">
        <v>815</v>
      </c>
      <c r="BF157" s="3">
        <v>4</v>
      </c>
      <c r="BG157" s="3">
        <v>4</v>
      </c>
      <c r="BH157" s="3">
        <v>4</v>
      </c>
      <c r="BI157" s="12" t="s">
        <v>815</v>
      </c>
      <c r="BJ157" s="3">
        <v>2</v>
      </c>
      <c r="BK157" s="3">
        <v>2</v>
      </c>
      <c r="BL157" s="3">
        <v>2</v>
      </c>
      <c r="BM157" s="3" t="s">
        <v>1124</v>
      </c>
      <c r="BN157" s="3">
        <v>1</v>
      </c>
      <c r="BO157" s="3">
        <v>4</v>
      </c>
      <c r="BP157" s="3">
        <v>4</v>
      </c>
      <c r="BQ157" s="3">
        <v>3</v>
      </c>
      <c r="BR157" s="3">
        <v>1</v>
      </c>
      <c r="BS157" s="3">
        <v>1</v>
      </c>
      <c r="BT157" s="3">
        <v>3</v>
      </c>
      <c r="BU157" s="2">
        <v>1</v>
      </c>
      <c r="BV157" s="11" t="s">
        <v>815</v>
      </c>
      <c r="BW157" s="2">
        <v>3</v>
      </c>
      <c r="BX157" s="2">
        <v>1</v>
      </c>
      <c r="BY157" s="11" t="s">
        <v>815</v>
      </c>
      <c r="BZ157" s="11" t="s">
        <v>815</v>
      </c>
      <c r="CA157" s="11" t="s">
        <v>815</v>
      </c>
      <c r="CB157" s="2">
        <v>2</v>
      </c>
      <c r="CC157" s="2">
        <v>2</v>
      </c>
      <c r="CD157" s="2">
        <v>2</v>
      </c>
      <c r="CE157" s="11" t="s">
        <v>815</v>
      </c>
      <c r="CF157" s="11" t="s">
        <v>815</v>
      </c>
      <c r="CG157" s="11" t="s">
        <v>815</v>
      </c>
      <c r="CH157" s="11" t="s">
        <v>815</v>
      </c>
      <c r="CI157" s="2">
        <v>3</v>
      </c>
      <c r="CJ157" s="2">
        <v>2</v>
      </c>
      <c r="CK157" s="2">
        <v>2</v>
      </c>
      <c r="CL157" s="2">
        <v>2</v>
      </c>
      <c r="CM157" s="11" t="s">
        <v>815</v>
      </c>
      <c r="CN157" s="11" t="s">
        <v>815</v>
      </c>
      <c r="CO157" s="11" t="s">
        <v>815</v>
      </c>
      <c r="CP157" s="2">
        <v>1</v>
      </c>
      <c r="CQ157" s="2">
        <v>3</v>
      </c>
      <c r="CR157" s="2">
        <v>1</v>
      </c>
      <c r="CS157" s="2">
        <v>2</v>
      </c>
      <c r="CT157" s="2">
        <v>1</v>
      </c>
      <c r="CU157" s="2">
        <v>1</v>
      </c>
      <c r="CV157" s="2">
        <v>2</v>
      </c>
      <c r="CW157" s="2">
        <v>2</v>
      </c>
      <c r="CX157" s="2">
        <v>3</v>
      </c>
      <c r="CY157" s="11" t="s">
        <v>815</v>
      </c>
      <c r="CZ157" s="2">
        <v>2</v>
      </c>
      <c r="DA157" s="2">
        <v>1</v>
      </c>
      <c r="DB157" s="11" t="s">
        <v>815</v>
      </c>
      <c r="DC157" s="11" t="s">
        <v>815</v>
      </c>
      <c r="DD157" s="11" t="s">
        <v>815</v>
      </c>
      <c r="DE157" s="2">
        <v>1</v>
      </c>
      <c r="DF157" s="11" t="s">
        <v>815</v>
      </c>
      <c r="DG157" s="11" t="s">
        <v>815</v>
      </c>
      <c r="DH157" s="11" t="s">
        <v>815</v>
      </c>
      <c r="DI157" s="11" t="s">
        <v>815</v>
      </c>
      <c r="DJ157" s="11" t="s">
        <v>815</v>
      </c>
      <c r="DK157" s="11" t="s">
        <v>815</v>
      </c>
      <c r="DL157" s="2">
        <v>1</v>
      </c>
      <c r="DM157" s="11" t="s">
        <v>815</v>
      </c>
      <c r="DN157" s="11" t="s">
        <v>815</v>
      </c>
      <c r="DO157" s="11" t="s">
        <v>815</v>
      </c>
      <c r="DP157" s="2">
        <v>3</v>
      </c>
      <c r="DQ157" s="2">
        <v>3</v>
      </c>
      <c r="DR157" s="11" t="s">
        <v>815</v>
      </c>
      <c r="DS157" s="2">
        <v>2</v>
      </c>
      <c r="DT157" s="2">
        <v>2</v>
      </c>
      <c r="DU157" s="11" t="s">
        <v>815</v>
      </c>
      <c r="DV157" s="2">
        <v>1</v>
      </c>
      <c r="DW157" s="2">
        <v>2</v>
      </c>
      <c r="DX157" s="2">
        <v>3</v>
      </c>
      <c r="DY157" s="11" t="s">
        <v>815</v>
      </c>
      <c r="DZ157" s="11" t="s">
        <v>815</v>
      </c>
      <c r="EA157" s="11" t="s">
        <v>815</v>
      </c>
      <c r="EB157" s="11" t="s">
        <v>815</v>
      </c>
      <c r="EC157" s="11" t="s">
        <v>815</v>
      </c>
      <c r="ED157" s="11" t="s">
        <v>815</v>
      </c>
      <c r="EE157" s="11" t="s">
        <v>815</v>
      </c>
      <c r="EF157" s="11" t="s">
        <v>815</v>
      </c>
      <c r="EG157" s="11" t="s">
        <v>815</v>
      </c>
      <c r="EH157" s="11" t="s">
        <v>815</v>
      </c>
      <c r="EI157" s="2">
        <v>2</v>
      </c>
      <c r="EJ157" s="2">
        <v>2</v>
      </c>
      <c r="EK157" s="2">
        <v>1</v>
      </c>
      <c r="EL157" s="2">
        <v>2</v>
      </c>
      <c r="EM157" s="2">
        <v>1</v>
      </c>
      <c r="EN157" s="11" t="s">
        <v>815</v>
      </c>
      <c r="EO157" s="11" t="s">
        <v>815</v>
      </c>
      <c r="EP157" s="11" t="s">
        <v>815</v>
      </c>
      <c r="EQ157" s="11" t="s">
        <v>815</v>
      </c>
      <c r="ER157" s="11" t="s">
        <v>815</v>
      </c>
      <c r="ES157" s="11" t="s">
        <v>815</v>
      </c>
      <c r="ET157" s="11" t="s">
        <v>815</v>
      </c>
      <c r="EU157" s="11" t="s">
        <v>815</v>
      </c>
      <c r="EV157" s="11" t="s">
        <v>815</v>
      </c>
      <c r="EW157" s="2">
        <v>1</v>
      </c>
      <c r="EX157" s="2">
        <v>1</v>
      </c>
      <c r="EY157" s="11" t="s">
        <v>815</v>
      </c>
      <c r="EZ157" s="11" t="s">
        <v>815</v>
      </c>
      <c r="FA157" s="2">
        <v>2</v>
      </c>
      <c r="FB157" s="2">
        <v>4</v>
      </c>
      <c r="FC157" s="2">
        <v>3</v>
      </c>
      <c r="FD157" s="2">
        <v>2</v>
      </c>
      <c r="FE157" s="2">
        <v>2</v>
      </c>
      <c r="FF157" s="2">
        <v>3</v>
      </c>
      <c r="FG157" s="2">
        <v>3</v>
      </c>
      <c r="FH157" s="2">
        <v>2</v>
      </c>
      <c r="FI157" s="2">
        <v>2</v>
      </c>
      <c r="FJ157" s="2">
        <v>1</v>
      </c>
      <c r="FK157" s="2">
        <v>1</v>
      </c>
      <c r="FL157" s="2">
        <v>1</v>
      </c>
      <c r="FM157" s="2">
        <v>1</v>
      </c>
      <c r="FN157" s="2">
        <v>1</v>
      </c>
      <c r="FO157" s="2">
        <v>1</v>
      </c>
      <c r="FP157" s="2">
        <v>1</v>
      </c>
      <c r="FQ157" s="11" t="s">
        <v>815</v>
      </c>
      <c r="FR157" s="11" t="s">
        <v>815</v>
      </c>
      <c r="FS157" s="11" t="s">
        <v>815</v>
      </c>
      <c r="FT157" s="11" t="s">
        <v>815</v>
      </c>
      <c r="FU157" s="11" t="s">
        <v>815</v>
      </c>
      <c r="FV157" s="2">
        <v>1</v>
      </c>
      <c r="FW157" s="2">
        <v>2</v>
      </c>
      <c r="FX157" s="11" t="s">
        <v>815</v>
      </c>
      <c r="FY157" s="11" t="s">
        <v>815</v>
      </c>
      <c r="FZ157" s="11" t="s">
        <v>815</v>
      </c>
      <c r="GA157" s="11" t="s">
        <v>815</v>
      </c>
      <c r="GB157" s="2">
        <v>1</v>
      </c>
      <c r="GC157" s="2" t="s">
        <v>1125</v>
      </c>
      <c r="GD157" s="2">
        <v>1</v>
      </c>
      <c r="GE157" s="2">
        <v>2</v>
      </c>
      <c r="GF157" s="2">
        <v>2</v>
      </c>
      <c r="GG157" s="2">
        <v>2</v>
      </c>
      <c r="GH157" s="2">
        <v>1</v>
      </c>
      <c r="GI157" s="2">
        <v>1</v>
      </c>
      <c r="GJ157" s="2">
        <v>1</v>
      </c>
      <c r="GK157" s="11" t="s">
        <v>815</v>
      </c>
      <c r="GL157" s="2">
        <v>1</v>
      </c>
      <c r="GM157" s="2">
        <v>1</v>
      </c>
      <c r="GN157" s="3">
        <v>4</v>
      </c>
      <c r="GO157" s="3">
        <v>3</v>
      </c>
      <c r="GP157" s="3">
        <v>1</v>
      </c>
      <c r="GQ157" s="3">
        <v>4</v>
      </c>
      <c r="GR157" s="3">
        <v>3</v>
      </c>
      <c r="GS157" s="3">
        <v>2</v>
      </c>
      <c r="GT157" s="3">
        <v>4</v>
      </c>
      <c r="GU157" s="3">
        <v>1</v>
      </c>
      <c r="GV157" s="3">
        <v>2</v>
      </c>
      <c r="GW157" s="3">
        <v>1</v>
      </c>
      <c r="GX157" s="3">
        <v>2</v>
      </c>
      <c r="GY157" s="3">
        <v>2</v>
      </c>
      <c r="GZ157" s="3">
        <v>2</v>
      </c>
      <c r="HA157" s="3">
        <v>1</v>
      </c>
      <c r="HB157" s="12" t="s">
        <v>815</v>
      </c>
      <c r="HC157" s="12" t="s">
        <v>815</v>
      </c>
      <c r="HD157" s="3">
        <v>4</v>
      </c>
      <c r="HE157" s="12" t="s">
        <v>815</v>
      </c>
      <c r="HF157" s="3">
        <v>3</v>
      </c>
      <c r="HG157" s="12" t="s">
        <v>815</v>
      </c>
      <c r="HH157" s="3">
        <v>4</v>
      </c>
      <c r="HI157" s="12" t="s">
        <v>815</v>
      </c>
      <c r="HJ157" s="3">
        <v>2</v>
      </c>
      <c r="HK157" s="3">
        <v>4</v>
      </c>
      <c r="HL157" s="12" t="s">
        <v>815</v>
      </c>
      <c r="HM157" s="3">
        <v>3</v>
      </c>
      <c r="HN157" s="12" t="s">
        <v>815</v>
      </c>
      <c r="HO157" s="3">
        <v>4</v>
      </c>
      <c r="HP157" s="3">
        <v>1</v>
      </c>
      <c r="HQ157" s="3">
        <v>2</v>
      </c>
      <c r="HR157" s="12" t="s">
        <v>815</v>
      </c>
      <c r="HS157" s="12" t="s">
        <v>815</v>
      </c>
      <c r="HT157" s="12" t="s">
        <v>815</v>
      </c>
      <c r="HU157" s="12" t="s">
        <v>815</v>
      </c>
      <c r="HV157" s="3">
        <v>2</v>
      </c>
      <c r="HW157" s="3">
        <v>3</v>
      </c>
      <c r="HX157" s="12" t="s">
        <v>815</v>
      </c>
      <c r="HY157" s="12" t="s">
        <v>815</v>
      </c>
      <c r="HZ157" s="3">
        <v>2</v>
      </c>
      <c r="IA157" s="3">
        <v>4</v>
      </c>
      <c r="IB157" s="12" t="s">
        <v>815</v>
      </c>
      <c r="IC157" s="12" t="s">
        <v>815</v>
      </c>
      <c r="ID157" s="3">
        <v>4</v>
      </c>
      <c r="IE157" s="12" t="s">
        <v>815</v>
      </c>
      <c r="IF157" s="3">
        <v>1</v>
      </c>
      <c r="IG157" s="3">
        <v>4</v>
      </c>
      <c r="IH157" s="12" t="s">
        <v>815</v>
      </c>
      <c r="II157" s="3">
        <v>1</v>
      </c>
      <c r="IJ157" s="3">
        <v>3</v>
      </c>
      <c r="IK157" s="3">
        <v>3</v>
      </c>
      <c r="IL157" s="3">
        <v>2</v>
      </c>
      <c r="IM157" s="3">
        <v>3</v>
      </c>
      <c r="IN157" s="12" t="s">
        <v>815</v>
      </c>
      <c r="IO157" s="3">
        <v>1</v>
      </c>
      <c r="IP157" s="3">
        <v>2</v>
      </c>
      <c r="IQ157" s="3">
        <v>3</v>
      </c>
      <c r="IR157" s="3" t="s">
        <v>1126</v>
      </c>
      <c r="IS157" s="12" t="s">
        <v>815</v>
      </c>
      <c r="IT157" s="3">
        <v>4</v>
      </c>
      <c r="IU157" s="3">
        <v>3</v>
      </c>
      <c r="IV157" s="3">
        <v>3</v>
      </c>
      <c r="IW157" s="3">
        <v>3</v>
      </c>
      <c r="IX157" s="3">
        <v>3</v>
      </c>
      <c r="IY157" s="3">
        <v>2</v>
      </c>
      <c r="IZ157" s="2" t="s">
        <v>816</v>
      </c>
    </row>
    <row r="158" spans="1:260" ht="13.2" x14ac:dyDescent="0.25">
      <c r="A158" s="10" t="s">
        <v>274</v>
      </c>
      <c r="B158" s="2" t="s">
        <v>1127</v>
      </c>
      <c r="C158" s="2" t="s">
        <v>261</v>
      </c>
      <c r="D158" s="2" t="s">
        <v>270</v>
      </c>
      <c r="E158" s="2">
        <v>29</v>
      </c>
      <c r="F158" s="11" t="s">
        <v>1128</v>
      </c>
      <c r="G158" s="11" t="s">
        <v>1129</v>
      </c>
      <c r="H158" s="2" t="s">
        <v>1130</v>
      </c>
      <c r="I158" s="3">
        <v>3</v>
      </c>
      <c r="J158" s="3">
        <v>2</v>
      </c>
      <c r="K158" s="3">
        <v>3</v>
      </c>
      <c r="L158" s="3">
        <v>1</v>
      </c>
      <c r="M158" s="3">
        <v>2</v>
      </c>
      <c r="N158" s="3">
        <v>3</v>
      </c>
      <c r="O158" s="3">
        <v>3</v>
      </c>
      <c r="P158" s="3">
        <v>1</v>
      </c>
      <c r="Q158" s="3">
        <v>1</v>
      </c>
      <c r="R158" s="3">
        <v>2</v>
      </c>
      <c r="S158" s="3">
        <v>3</v>
      </c>
      <c r="T158" s="3">
        <v>1</v>
      </c>
      <c r="U158" s="3">
        <v>1</v>
      </c>
      <c r="V158" s="3">
        <v>3</v>
      </c>
      <c r="W158" s="3">
        <v>1</v>
      </c>
      <c r="X158" s="3">
        <v>1</v>
      </c>
      <c r="Y158" s="3">
        <v>1</v>
      </c>
      <c r="Z158" s="3">
        <v>2</v>
      </c>
      <c r="AA158" s="3">
        <v>1</v>
      </c>
      <c r="AB158" s="3">
        <v>2</v>
      </c>
      <c r="AC158" s="3">
        <v>3</v>
      </c>
      <c r="AD158" s="3">
        <v>2</v>
      </c>
      <c r="AE158" s="3">
        <v>3</v>
      </c>
      <c r="AF158" s="3">
        <v>1</v>
      </c>
      <c r="AG158" s="3">
        <v>1</v>
      </c>
      <c r="AH158" s="3">
        <v>1</v>
      </c>
      <c r="AI158" s="3">
        <v>2</v>
      </c>
      <c r="AJ158" s="3">
        <v>2</v>
      </c>
      <c r="AK158" s="3">
        <v>2</v>
      </c>
      <c r="AL158" s="3">
        <v>3</v>
      </c>
      <c r="AM158" s="3">
        <v>3</v>
      </c>
      <c r="AN158" s="3">
        <v>3</v>
      </c>
      <c r="AO158" s="3">
        <v>2</v>
      </c>
      <c r="AP158" s="3">
        <v>2</v>
      </c>
      <c r="AQ158" s="3">
        <v>3</v>
      </c>
      <c r="AR158" s="3">
        <v>3</v>
      </c>
      <c r="AS158" s="3">
        <v>3</v>
      </c>
      <c r="AT158" s="3">
        <v>2</v>
      </c>
      <c r="AU158" s="3">
        <v>3</v>
      </c>
      <c r="AV158" s="3">
        <v>2</v>
      </c>
      <c r="AW158" s="3">
        <v>3</v>
      </c>
      <c r="AX158" s="3">
        <v>3</v>
      </c>
      <c r="AY158" s="3">
        <v>4</v>
      </c>
      <c r="AZ158" s="3">
        <v>4</v>
      </c>
      <c r="BA158" s="3">
        <v>2</v>
      </c>
      <c r="BB158" s="3">
        <v>1</v>
      </c>
      <c r="BC158" s="3">
        <v>1</v>
      </c>
      <c r="BD158" s="12" t="s">
        <v>815</v>
      </c>
      <c r="BE158" s="3">
        <v>2</v>
      </c>
      <c r="BF158" s="3">
        <v>1</v>
      </c>
      <c r="BG158" s="3">
        <v>1</v>
      </c>
      <c r="BH158" s="3">
        <v>2</v>
      </c>
      <c r="BI158" s="3">
        <v>1</v>
      </c>
      <c r="BJ158" s="3">
        <v>2</v>
      </c>
      <c r="BK158" s="3">
        <v>1</v>
      </c>
      <c r="BL158" s="3">
        <v>2</v>
      </c>
      <c r="BM158" s="3" t="s">
        <v>274</v>
      </c>
      <c r="BN158" s="3">
        <v>2</v>
      </c>
      <c r="BO158" s="3">
        <v>2</v>
      </c>
      <c r="BP158" s="3">
        <v>2</v>
      </c>
      <c r="BQ158" s="3">
        <v>2</v>
      </c>
      <c r="BR158" s="3">
        <v>2</v>
      </c>
      <c r="BS158" s="3">
        <v>3</v>
      </c>
      <c r="BT158" s="3">
        <v>1</v>
      </c>
      <c r="BU158" s="2">
        <v>1</v>
      </c>
      <c r="BV158" s="2">
        <v>1</v>
      </c>
      <c r="BW158" s="2">
        <v>2</v>
      </c>
      <c r="BX158" s="2">
        <v>1</v>
      </c>
      <c r="BY158" s="11" t="s">
        <v>815</v>
      </c>
      <c r="BZ158" s="11" t="s">
        <v>815</v>
      </c>
      <c r="CA158" s="2">
        <v>1</v>
      </c>
      <c r="CB158" s="2">
        <v>2</v>
      </c>
      <c r="CC158" s="2">
        <v>1</v>
      </c>
      <c r="CD158" s="11" t="s">
        <v>815</v>
      </c>
      <c r="CE158" s="2">
        <v>1</v>
      </c>
      <c r="CF158" s="2">
        <v>2</v>
      </c>
      <c r="CG158" s="2">
        <v>1</v>
      </c>
      <c r="CH158" s="11" t="s">
        <v>815</v>
      </c>
      <c r="CI158" s="2">
        <v>1</v>
      </c>
      <c r="CJ158" s="2">
        <v>1</v>
      </c>
      <c r="CK158" s="2">
        <v>1</v>
      </c>
      <c r="CL158" s="2">
        <v>1</v>
      </c>
      <c r="CM158" s="2">
        <v>3</v>
      </c>
      <c r="CN158" s="2">
        <v>1</v>
      </c>
      <c r="CO158" s="2">
        <v>1</v>
      </c>
      <c r="CP158" s="2">
        <v>1</v>
      </c>
      <c r="CQ158" s="2">
        <v>1</v>
      </c>
      <c r="CR158" s="2">
        <v>1</v>
      </c>
      <c r="CS158" s="11" t="s">
        <v>815</v>
      </c>
      <c r="CT158" s="2">
        <v>3</v>
      </c>
      <c r="CU158" s="11" t="s">
        <v>815</v>
      </c>
      <c r="CV158" s="2">
        <v>1</v>
      </c>
      <c r="CW158" s="11" t="s">
        <v>815</v>
      </c>
      <c r="CX158" s="2">
        <v>1</v>
      </c>
      <c r="CY158" s="11" t="s">
        <v>815</v>
      </c>
      <c r="CZ158" s="2">
        <v>1</v>
      </c>
      <c r="DA158" s="2">
        <v>3</v>
      </c>
      <c r="DB158" s="11" t="s">
        <v>815</v>
      </c>
      <c r="DC158" s="11" t="s">
        <v>815</v>
      </c>
      <c r="DD158" s="11" t="s">
        <v>815</v>
      </c>
      <c r="DE158" s="2">
        <v>1</v>
      </c>
      <c r="DF158" s="11" t="s">
        <v>815</v>
      </c>
      <c r="DG158" s="11" t="s">
        <v>815</v>
      </c>
      <c r="DH158" s="2">
        <v>1</v>
      </c>
      <c r="DI158" s="11" t="s">
        <v>815</v>
      </c>
      <c r="DJ158" s="11" t="s">
        <v>815</v>
      </c>
      <c r="DK158" s="11" t="s">
        <v>815</v>
      </c>
      <c r="DL158" s="11" t="s">
        <v>815</v>
      </c>
      <c r="DM158" s="2">
        <v>3</v>
      </c>
      <c r="DN158" s="11" t="s">
        <v>815</v>
      </c>
      <c r="DO158" s="2">
        <v>1</v>
      </c>
      <c r="DP158" s="2">
        <v>2</v>
      </c>
      <c r="DQ158" s="11" t="s">
        <v>815</v>
      </c>
      <c r="DR158" s="2">
        <v>1</v>
      </c>
      <c r="DS158" s="2">
        <v>4</v>
      </c>
      <c r="DT158" s="2">
        <v>2</v>
      </c>
      <c r="DU158" s="11" t="s">
        <v>815</v>
      </c>
      <c r="DV158" s="11" t="s">
        <v>815</v>
      </c>
      <c r="DW158" s="2">
        <v>1</v>
      </c>
      <c r="DX158" s="11" t="s">
        <v>815</v>
      </c>
      <c r="DY158" s="2">
        <v>3</v>
      </c>
      <c r="DZ158" s="2">
        <v>3</v>
      </c>
      <c r="EA158" s="2">
        <v>1</v>
      </c>
      <c r="EB158" s="2">
        <v>1</v>
      </c>
      <c r="EC158" s="11" t="s">
        <v>815</v>
      </c>
      <c r="ED158" s="11" t="s">
        <v>815</v>
      </c>
      <c r="EE158" s="11" t="s">
        <v>815</v>
      </c>
      <c r="EF158" s="11" t="s">
        <v>815</v>
      </c>
      <c r="EG158" s="2">
        <v>1</v>
      </c>
      <c r="EH158" s="11" t="s">
        <v>815</v>
      </c>
      <c r="EI158" s="11" t="s">
        <v>815</v>
      </c>
      <c r="EJ158" s="11" t="s">
        <v>815</v>
      </c>
      <c r="EK158" s="11" t="s">
        <v>815</v>
      </c>
      <c r="EL158" s="2">
        <v>3</v>
      </c>
      <c r="EM158" s="2">
        <v>1</v>
      </c>
      <c r="EN158" s="2">
        <v>1</v>
      </c>
      <c r="EO158" s="2">
        <v>2</v>
      </c>
      <c r="EP158" s="2">
        <v>1</v>
      </c>
      <c r="EQ158" s="11" t="s">
        <v>815</v>
      </c>
      <c r="ER158" s="11" t="s">
        <v>815</v>
      </c>
      <c r="ES158" s="2">
        <v>3</v>
      </c>
      <c r="ET158" s="2">
        <v>1</v>
      </c>
      <c r="EU158" s="11" t="s">
        <v>815</v>
      </c>
      <c r="EV158" s="11" t="s">
        <v>815</v>
      </c>
      <c r="EW158" s="11" t="s">
        <v>815</v>
      </c>
      <c r="EX158" s="11" t="s">
        <v>815</v>
      </c>
      <c r="EY158" s="2">
        <v>2</v>
      </c>
      <c r="EZ158" s="11" t="s">
        <v>815</v>
      </c>
      <c r="FA158" s="11" t="s">
        <v>815</v>
      </c>
      <c r="FB158" s="2">
        <v>1</v>
      </c>
      <c r="FC158" s="2">
        <v>2</v>
      </c>
      <c r="FD158" s="2">
        <v>1</v>
      </c>
      <c r="FE158" s="2">
        <v>2</v>
      </c>
      <c r="FF158" s="11" t="s">
        <v>815</v>
      </c>
      <c r="FG158" s="11" t="s">
        <v>815</v>
      </c>
      <c r="FH158" s="11" t="s">
        <v>815</v>
      </c>
      <c r="FI158" s="11" t="s">
        <v>815</v>
      </c>
      <c r="FJ158" s="11" t="s">
        <v>815</v>
      </c>
      <c r="FK158" s="2">
        <v>1</v>
      </c>
      <c r="FL158" s="2">
        <v>4</v>
      </c>
      <c r="FM158" s="2">
        <v>3</v>
      </c>
      <c r="FN158" s="2">
        <v>1</v>
      </c>
      <c r="FO158" s="11" t="s">
        <v>815</v>
      </c>
      <c r="FP158" s="2">
        <v>1</v>
      </c>
      <c r="FQ158" s="2">
        <v>1</v>
      </c>
      <c r="FR158" s="2">
        <v>2</v>
      </c>
      <c r="FS158" s="2">
        <v>3</v>
      </c>
      <c r="FT158" s="2">
        <v>1</v>
      </c>
      <c r="FU158" s="2">
        <v>1</v>
      </c>
      <c r="FV158" s="2">
        <v>1</v>
      </c>
      <c r="FW158" s="2">
        <v>1</v>
      </c>
      <c r="FX158" s="2">
        <v>2</v>
      </c>
      <c r="FY158" s="2">
        <v>1</v>
      </c>
      <c r="FZ158" s="2">
        <v>1</v>
      </c>
      <c r="GA158" s="11" t="s">
        <v>815</v>
      </c>
      <c r="GB158" s="11" t="s">
        <v>815</v>
      </c>
      <c r="GC158" s="2" t="s">
        <v>1131</v>
      </c>
      <c r="GD158" s="11" t="s">
        <v>815</v>
      </c>
      <c r="GE158" s="2">
        <v>1</v>
      </c>
      <c r="GF158" s="11" t="s">
        <v>815</v>
      </c>
      <c r="GG158" s="11" t="s">
        <v>815</v>
      </c>
      <c r="GH158" s="2">
        <v>1</v>
      </c>
      <c r="GI158" s="2">
        <v>3</v>
      </c>
      <c r="GJ158" s="11" t="s">
        <v>815</v>
      </c>
      <c r="GK158" s="11" t="s">
        <v>815</v>
      </c>
      <c r="GL158" s="11" t="s">
        <v>815</v>
      </c>
      <c r="GM158" s="2">
        <v>1</v>
      </c>
      <c r="GN158" s="3">
        <v>2</v>
      </c>
      <c r="GO158" s="12" t="s">
        <v>815</v>
      </c>
      <c r="GP158" s="3">
        <v>1</v>
      </c>
      <c r="GQ158" s="3">
        <v>2</v>
      </c>
      <c r="GR158" s="12" t="s">
        <v>815</v>
      </c>
      <c r="GS158" s="3">
        <v>2</v>
      </c>
      <c r="GT158" s="3">
        <v>1</v>
      </c>
      <c r="GU158" s="3">
        <v>2</v>
      </c>
      <c r="GV158" s="3">
        <v>1</v>
      </c>
      <c r="GW158" s="3">
        <v>3</v>
      </c>
      <c r="GX158" s="3">
        <v>1</v>
      </c>
      <c r="GY158" s="3">
        <v>1</v>
      </c>
      <c r="GZ158" s="3">
        <v>1</v>
      </c>
      <c r="HA158" s="3">
        <v>1</v>
      </c>
      <c r="HB158" s="12" t="s">
        <v>815</v>
      </c>
      <c r="HC158" s="12" t="s">
        <v>815</v>
      </c>
      <c r="HD158" s="3">
        <v>2</v>
      </c>
      <c r="HE158" s="12" t="s">
        <v>815</v>
      </c>
      <c r="HF158" s="3">
        <v>1</v>
      </c>
      <c r="HG158" s="12" t="s">
        <v>815</v>
      </c>
      <c r="HH158" s="3">
        <v>1</v>
      </c>
      <c r="HI158" s="12" t="s">
        <v>815</v>
      </c>
      <c r="HJ158" s="3">
        <v>1</v>
      </c>
      <c r="HK158" s="3">
        <v>1</v>
      </c>
      <c r="HL158" s="12" t="s">
        <v>815</v>
      </c>
      <c r="HM158" s="3">
        <v>1</v>
      </c>
      <c r="HN158" s="12" t="s">
        <v>815</v>
      </c>
      <c r="HO158" s="3">
        <v>1</v>
      </c>
      <c r="HP158" s="3">
        <v>1</v>
      </c>
      <c r="HQ158" s="3">
        <v>1</v>
      </c>
      <c r="HR158" s="12" t="s">
        <v>815</v>
      </c>
      <c r="HS158" s="12" t="s">
        <v>815</v>
      </c>
      <c r="HT158" s="12" t="s">
        <v>815</v>
      </c>
      <c r="HU158" s="3">
        <v>1</v>
      </c>
      <c r="HV158" s="3">
        <v>1</v>
      </c>
      <c r="HW158" s="3">
        <v>2</v>
      </c>
      <c r="HX158" s="12" t="s">
        <v>815</v>
      </c>
      <c r="HY158" s="12" t="s">
        <v>815</v>
      </c>
      <c r="HZ158" s="3">
        <v>1</v>
      </c>
      <c r="IA158" s="3">
        <v>1</v>
      </c>
      <c r="IB158" s="3">
        <v>2</v>
      </c>
      <c r="IC158" s="12" t="s">
        <v>815</v>
      </c>
      <c r="ID158" s="3">
        <v>1</v>
      </c>
      <c r="IE158" s="12" t="s">
        <v>815</v>
      </c>
      <c r="IF158" s="12" t="s">
        <v>815</v>
      </c>
      <c r="IG158" s="3">
        <v>1</v>
      </c>
      <c r="IH158" s="3">
        <v>2</v>
      </c>
      <c r="II158" s="3">
        <v>3</v>
      </c>
      <c r="IJ158" s="3">
        <v>3</v>
      </c>
      <c r="IK158" s="3">
        <v>2</v>
      </c>
      <c r="IL158" s="3">
        <v>1</v>
      </c>
      <c r="IM158" s="3">
        <v>1</v>
      </c>
      <c r="IN158" s="3">
        <v>1</v>
      </c>
      <c r="IO158" s="3">
        <v>1</v>
      </c>
      <c r="IP158" s="3">
        <v>1</v>
      </c>
      <c r="IQ158" s="12" t="s">
        <v>815</v>
      </c>
      <c r="IR158" s="3" t="s">
        <v>1132</v>
      </c>
      <c r="IS158" s="12" t="s">
        <v>815</v>
      </c>
      <c r="IT158" s="3">
        <v>1</v>
      </c>
      <c r="IU158" s="3">
        <v>2</v>
      </c>
      <c r="IV158" s="12" t="s">
        <v>815</v>
      </c>
      <c r="IW158" s="12" t="s">
        <v>815</v>
      </c>
      <c r="IX158" s="3">
        <v>2</v>
      </c>
      <c r="IY158" s="3">
        <v>1</v>
      </c>
      <c r="IZ158" s="2" t="s">
        <v>816</v>
      </c>
    </row>
    <row r="159" spans="1:260" ht="13.2" x14ac:dyDescent="0.25">
      <c r="A159" s="10" t="s">
        <v>274</v>
      </c>
      <c r="B159" s="2" t="s">
        <v>1133</v>
      </c>
      <c r="C159" s="2" t="s">
        <v>276</v>
      </c>
      <c r="D159" s="2" t="s">
        <v>270</v>
      </c>
      <c r="E159" s="2">
        <v>20</v>
      </c>
      <c r="F159" s="11" t="s">
        <v>1134</v>
      </c>
      <c r="G159" s="11" t="s">
        <v>1135</v>
      </c>
      <c r="H159" s="2" t="s">
        <v>1136</v>
      </c>
      <c r="I159" s="3">
        <v>1</v>
      </c>
      <c r="J159" s="12" t="s">
        <v>815</v>
      </c>
      <c r="K159" s="3">
        <v>1</v>
      </c>
      <c r="L159" s="12" t="s">
        <v>815</v>
      </c>
      <c r="M159" s="12" t="s">
        <v>815</v>
      </c>
      <c r="N159" s="3">
        <v>1</v>
      </c>
      <c r="O159" s="3">
        <v>1</v>
      </c>
      <c r="P159" s="3">
        <v>1</v>
      </c>
      <c r="Q159" s="3">
        <v>1</v>
      </c>
      <c r="R159" s="3">
        <v>1</v>
      </c>
      <c r="S159" s="12" t="s">
        <v>815</v>
      </c>
      <c r="T159" s="3">
        <v>1</v>
      </c>
      <c r="U159" s="12" t="s">
        <v>815</v>
      </c>
      <c r="V159" s="3">
        <v>1</v>
      </c>
      <c r="W159" s="12" t="s">
        <v>815</v>
      </c>
      <c r="X159" s="12" t="s">
        <v>815</v>
      </c>
      <c r="Y159" s="12" t="s">
        <v>815</v>
      </c>
      <c r="Z159" s="12" t="s">
        <v>815</v>
      </c>
      <c r="AA159" s="3">
        <v>1</v>
      </c>
      <c r="AB159" s="3">
        <v>1</v>
      </c>
      <c r="AC159" s="3">
        <v>1</v>
      </c>
      <c r="AD159" s="12" t="s">
        <v>815</v>
      </c>
      <c r="AE159" s="12" t="s">
        <v>815</v>
      </c>
      <c r="AF159" s="12" t="s">
        <v>815</v>
      </c>
      <c r="AG159" s="3">
        <v>1</v>
      </c>
      <c r="AH159" s="12" t="s">
        <v>815</v>
      </c>
      <c r="AI159" s="3">
        <v>1</v>
      </c>
      <c r="AJ159" s="3">
        <v>1</v>
      </c>
      <c r="AK159" s="3">
        <v>1</v>
      </c>
      <c r="AL159" s="12" t="s">
        <v>815</v>
      </c>
      <c r="AM159" s="3">
        <v>1</v>
      </c>
      <c r="AN159" s="3">
        <v>4</v>
      </c>
      <c r="AO159" s="3">
        <v>1</v>
      </c>
      <c r="AP159" s="12" t="s">
        <v>815</v>
      </c>
      <c r="AQ159" s="12" t="s">
        <v>815</v>
      </c>
      <c r="AR159" s="12" t="s">
        <v>815</v>
      </c>
      <c r="AS159" s="12" t="s">
        <v>815</v>
      </c>
      <c r="AT159" s="12" t="s">
        <v>815</v>
      </c>
      <c r="AU159" s="3">
        <v>1</v>
      </c>
      <c r="AV159" s="3">
        <v>1</v>
      </c>
      <c r="AW159" s="3">
        <v>1</v>
      </c>
      <c r="AX159" s="12" t="s">
        <v>815</v>
      </c>
      <c r="AY159" s="3">
        <v>2</v>
      </c>
      <c r="AZ159" s="3">
        <v>2</v>
      </c>
      <c r="BA159" s="12" t="s">
        <v>815</v>
      </c>
      <c r="BB159" s="3">
        <v>1</v>
      </c>
      <c r="BC159" s="12" t="s">
        <v>815</v>
      </c>
      <c r="BD159" s="3">
        <v>1</v>
      </c>
      <c r="BE159" s="12" t="s">
        <v>815</v>
      </c>
      <c r="BF159" s="12" t="s">
        <v>815</v>
      </c>
      <c r="BG159" s="3">
        <v>1</v>
      </c>
      <c r="BH159" s="12" t="s">
        <v>815</v>
      </c>
      <c r="BI159" s="3">
        <v>1</v>
      </c>
      <c r="BJ159" s="12" t="s">
        <v>815</v>
      </c>
      <c r="BK159" s="12" t="s">
        <v>815</v>
      </c>
      <c r="BL159" s="12" t="s">
        <v>815</v>
      </c>
      <c r="BM159" s="3" t="s">
        <v>1137</v>
      </c>
      <c r="BN159" s="3">
        <v>1</v>
      </c>
      <c r="BO159" s="12" t="s">
        <v>815</v>
      </c>
      <c r="BP159" s="3">
        <v>1</v>
      </c>
      <c r="BQ159" s="12" t="s">
        <v>815</v>
      </c>
      <c r="BR159" s="3">
        <v>2</v>
      </c>
      <c r="BS159" s="3">
        <v>2</v>
      </c>
      <c r="BT159" s="12" t="s">
        <v>815</v>
      </c>
      <c r="BU159" s="2">
        <v>1</v>
      </c>
      <c r="BV159" s="11" t="s">
        <v>815</v>
      </c>
      <c r="BW159" s="2">
        <v>1</v>
      </c>
      <c r="BX159" s="11" t="s">
        <v>815</v>
      </c>
      <c r="BY159" s="11" t="s">
        <v>815</v>
      </c>
      <c r="BZ159" s="11" t="s">
        <v>815</v>
      </c>
      <c r="CA159" s="11" t="s">
        <v>815</v>
      </c>
      <c r="CB159" s="2">
        <v>1</v>
      </c>
      <c r="CC159" s="11" t="s">
        <v>815</v>
      </c>
      <c r="CD159" s="2">
        <v>1</v>
      </c>
      <c r="CE159" s="11" t="s">
        <v>815</v>
      </c>
      <c r="CF159" s="11" t="s">
        <v>815</v>
      </c>
      <c r="CG159" s="11" t="s">
        <v>815</v>
      </c>
      <c r="CH159" s="11" t="s">
        <v>815</v>
      </c>
      <c r="CI159" s="2">
        <v>1</v>
      </c>
      <c r="CJ159" s="11" t="s">
        <v>815</v>
      </c>
      <c r="CK159" s="2">
        <v>1</v>
      </c>
      <c r="CL159" s="11" t="s">
        <v>815</v>
      </c>
      <c r="CM159" s="2">
        <v>2</v>
      </c>
      <c r="CN159" s="11" t="s">
        <v>815</v>
      </c>
      <c r="CO159" s="11" t="s">
        <v>815</v>
      </c>
      <c r="CP159" s="11" t="s">
        <v>815</v>
      </c>
      <c r="CQ159" s="11" t="s">
        <v>815</v>
      </c>
      <c r="CR159" s="2">
        <v>1</v>
      </c>
      <c r="CS159" s="2">
        <v>1</v>
      </c>
      <c r="CT159" s="11" t="s">
        <v>815</v>
      </c>
      <c r="CU159" s="11" t="s">
        <v>815</v>
      </c>
      <c r="CV159" s="2">
        <v>1</v>
      </c>
      <c r="CW159" s="11" t="s">
        <v>815</v>
      </c>
      <c r="CX159" s="11" t="s">
        <v>815</v>
      </c>
      <c r="CY159" s="11" t="s">
        <v>815</v>
      </c>
      <c r="CZ159" s="11" t="s">
        <v>815</v>
      </c>
      <c r="DA159" s="2">
        <v>1</v>
      </c>
      <c r="DB159" s="2">
        <v>1</v>
      </c>
      <c r="DC159" s="11" t="s">
        <v>815</v>
      </c>
      <c r="DD159" s="11" t="s">
        <v>815</v>
      </c>
      <c r="DE159" s="2">
        <v>1</v>
      </c>
      <c r="DF159" s="2">
        <v>1</v>
      </c>
      <c r="DG159" s="2">
        <v>1</v>
      </c>
      <c r="DH159" s="11" t="s">
        <v>815</v>
      </c>
      <c r="DI159" s="2">
        <v>1</v>
      </c>
      <c r="DJ159" s="11" t="s">
        <v>815</v>
      </c>
      <c r="DK159" s="11" t="s">
        <v>815</v>
      </c>
      <c r="DL159" s="2">
        <v>1</v>
      </c>
      <c r="DM159" s="11" t="s">
        <v>815</v>
      </c>
      <c r="DN159" s="11" t="s">
        <v>815</v>
      </c>
      <c r="DO159" s="11" t="s">
        <v>815</v>
      </c>
      <c r="DP159" s="2">
        <v>1</v>
      </c>
      <c r="DQ159" s="2">
        <v>1</v>
      </c>
      <c r="DR159" s="11" t="s">
        <v>815</v>
      </c>
      <c r="DS159" s="2">
        <v>3</v>
      </c>
      <c r="DT159" s="2">
        <v>1</v>
      </c>
      <c r="DU159" s="11" t="s">
        <v>815</v>
      </c>
      <c r="DV159" s="11" t="s">
        <v>815</v>
      </c>
      <c r="DW159" s="11" t="s">
        <v>815</v>
      </c>
      <c r="DX159" s="2">
        <v>1</v>
      </c>
      <c r="DY159" s="2">
        <v>1</v>
      </c>
      <c r="DZ159" s="2">
        <v>1</v>
      </c>
      <c r="EA159" s="11" t="s">
        <v>815</v>
      </c>
      <c r="EB159" s="11" t="s">
        <v>815</v>
      </c>
      <c r="EC159" s="2">
        <v>1</v>
      </c>
      <c r="ED159" s="11" t="s">
        <v>815</v>
      </c>
      <c r="EE159" s="2">
        <v>1</v>
      </c>
      <c r="EF159" s="2">
        <v>1</v>
      </c>
      <c r="EG159" s="11" t="s">
        <v>815</v>
      </c>
      <c r="EH159" s="11" t="s">
        <v>815</v>
      </c>
      <c r="EI159" s="11" t="s">
        <v>815</v>
      </c>
      <c r="EJ159" s="11" t="s">
        <v>815</v>
      </c>
      <c r="EK159" s="11" t="s">
        <v>815</v>
      </c>
      <c r="EL159" s="2">
        <v>1</v>
      </c>
      <c r="EM159" s="11" t="s">
        <v>815</v>
      </c>
      <c r="EN159" s="11" t="s">
        <v>815</v>
      </c>
      <c r="EO159" s="11" t="s">
        <v>815</v>
      </c>
      <c r="EP159" s="11" t="s">
        <v>815</v>
      </c>
      <c r="EQ159" s="2">
        <v>1</v>
      </c>
      <c r="ER159" s="11" t="s">
        <v>815</v>
      </c>
      <c r="ES159" s="2">
        <v>1</v>
      </c>
      <c r="ET159" s="11" t="s">
        <v>815</v>
      </c>
      <c r="EU159" s="11" t="s">
        <v>815</v>
      </c>
      <c r="EV159" s="2">
        <v>1</v>
      </c>
      <c r="EW159" s="11" t="s">
        <v>815</v>
      </c>
      <c r="EX159" s="11" t="s">
        <v>815</v>
      </c>
      <c r="EY159" s="11" t="s">
        <v>815</v>
      </c>
      <c r="EZ159" s="11" t="s">
        <v>815</v>
      </c>
      <c r="FA159" s="11" t="s">
        <v>815</v>
      </c>
      <c r="FB159" s="11" t="s">
        <v>815</v>
      </c>
      <c r="FC159" s="2">
        <v>1</v>
      </c>
      <c r="FD159" s="11" t="s">
        <v>815</v>
      </c>
      <c r="FE159" s="11" t="s">
        <v>815</v>
      </c>
      <c r="FF159" s="2">
        <v>1</v>
      </c>
      <c r="FG159" s="11" t="s">
        <v>815</v>
      </c>
      <c r="FH159" s="11" t="s">
        <v>815</v>
      </c>
      <c r="FI159" s="2">
        <v>1</v>
      </c>
      <c r="FJ159" s="11" t="s">
        <v>815</v>
      </c>
      <c r="FK159" s="2">
        <v>1</v>
      </c>
      <c r="FL159" s="11" t="s">
        <v>815</v>
      </c>
      <c r="FM159" s="2">
        <v>1</v>
      </c>
      <c r="FN159" s="11" t="s">
        <v>815</v>
      </c>
      <c r="FO159" s="11" t="s">
        <v>815</v>
      </c>
      <c r="FP159" s="11" t="s">
        <v>815</v>
      </c>
      <c r="FQ159" s="11" t="s">
        <v>815</v>
      </c>
      <c r="FR159" s="2">
        <v>1</v>
      </c>
      <c r="FS159" s="11" t="s">
        <v>815</v>
      </c>
      <c r="FT159" s="11" t="s">
        <v>815</v>
      </c>
      <c r="FU159" s="2">
        <v>1</v>
      </c>
      <c r="FV159" s="11" t="s">
        <v>815</v>
      </c>
      <c r="FW159" s="11" t="s">
        <v>815</v>
      </c>
      <c r="FX159" s="11" t="s">
        <v>815</v>
      </c>
      <c r="FY159" s="11" t="s">
        <v>815</v>
      </c>
      <c r="FZ159" s="11" t="s">
        <v>815</v>
      </c>
      <c r="GA159" s="11" t="s">
        <v>815</v>
      </c>
      <c r="GB159" s="11" t="s">
        <v>815</v>
      </c>
      <c r="GC159" s="2" t="s">
        <v>274</v>
      </c>
      <c r="GD159" s="2">
        <v>1</v>
      </c>
      <c r="GE159" s="11" t="s">
        <v>815</v>
      </c>
      <c r="GF159" s="2">
        <v>1</v>
      </c>
      <c r="GG159" s="11" t="s">
        <v>815</v>
      </c>
      <c r="GH159" s="2">
        <v>1</v>
      </c>
      <c r="GI159" s="11" t="s">
        <v>815</v>
      </c>
      <c r="GJ159" s="11" t="s">
        <v>815</v>
      </c>
      <c r="GK159" s="11" t="s">
        <v>815</v>
      </c>
      <c r="GL159" s="11" t="s">
        <v>815</v>
      </c>
      <c r="GM159" s="11" t="s">
        <v>815</v>
      </c>
      <c r="GN159" s="3">
        <v>1</v>
      </c>
      <c r="GO159" s="3">
        <v>1</v>
      </c>
      <c r="GP159" s="12" t="s">
        <v>815</v>
      </c>
      <c r="GQ159" s="3">
        <v>1</v>
      </c>
      <c r="GR159" s="3">
        <v>1</v>
      </c>
      <c r="GS159" s="3">
        <v>3</v>
      </c>
      <c r="GT159" s="3">
        <v>1</v>
      </c>
      <c r="GU159" s="3">
        <v>3</v>
      </c>
      <c r="GV159" s="3">
        <v>1</v>
      </c>
      <c r="GW159" s="12" t="s">
        <v>815</v>
      </c>
      <c r="GX159" s="12" t="s">
        <v>815</v>
      </c>
      <c r="GY159" s="3">
        <v>3</v>
      </c>
      <c r="GZ159" s="12" t="s">
        <v>815</v>
      </c>
      <c r="HA159" s="12" t="s">
        <v>815</v>
      </c>
      <c r="HB159" s="3">
        <v>2</v>
      </c>
      <c r="HC159" s="3">
        <v>4</v>
      </c>
      <c r="HD159" s="12" t="s">
        <v>815</v>
      </c>
      <c r="HE159" s="3">
        <v>1</v>
      </c>
      <c r="HF159" s="3">
        <v>1</v>
      </c>
      <c r="HG159" s="3">
        <v>2</v>
      </c>
      <c r="HH159" s="3">
        <v>1</v>
      </c>
      <c r="HI159" s="3">
        <v>3</v>
      </c>
      <c r="HJ159" s="12" t="s">
        <v>815</v>
      </c>
      <c r="HK159" s="3">
        <v>1</v>
      </c>
      <c r="HL159" s="3">
        <v>4</v>
      </c>
      <c r="HM159" s="3">
        <v>1</v>
      </c>
      <c r="HN159" s="12" t="s">
        <v>815</v>
      </c>
      <c r="HO159" s="3">
        <v>1</v>
      </c>
      <c r="HP159" s="3">
        <v>1</v>
      </c>
      <c r="HQ159" s="12" t="s">
        <v>815</v>
      </c>
      <c r="HR159" s="3">
        <v>1</v>
      </c>
      <c r="HS159" s="12" t="s">
        <v>815</v>
      </c>
      <c r="HT159" s="3">
        <v>1</v>
      </c>
      <c r="HU159" s="12" t="s">
        <v>815</v>
      </c>
      <c r="HV159" s="3">
        <v>1</v>
      </c>
      <c r="HW159" s="3">
        <v>1</v>
      </c>
      <c r="HX159" s="3">
        <v>1</v>
      </c>
      <c r="HY159" s="12" t="s">
        <v>815</v>
      </c>
      <c r="HZ159" s="3">
        <v>3</v>
      </c>
      <c r="IA159" s="3">
        <v>1</v>
      </c>
      <c r="IB159" s="3">
        <v>2</v>
      </c>
      <c r="IC159" s="12" t="s">
        <v>815</v>
      </c>
      <c r="ID159" s="12" t="s">
        <v>815</v>
      </c>
      <c r="IE159" s="3">
        <v>2</v>
      </c>
      <c r="IF159" s="12" t="s">
        <v>815</v>
      </c>
      <c r="IG159" s="12" t="s">
        <v>815</v>
      </c>
      <c r="IH159" s="12" t="s">
        <v>815</v>
      </c>
      <c r="II159" s="3">
        <v>2</v>
      </c>
      <c r="IJ159" s="3">
        <v>3</v>
      </c>
      <c r="IK159" s="12" t="s">
        <v>815</v>
      </c>
      <c r="IL159" s="12" t="s">
        <v>815</v>
      </c>
      <c r="IM159" s="12" t="s">
        <v>815</v>
      </c>
      <c r="IN159" s="12" t="s">
        <v>815</v>
      </c>
      <c r="IO159" s="3">
        <v>1</v>
      </c>
      <c r="IP159" s="3">
        <v>2</v>
      </c>
      <c r="IQ159" s="3">
        <v>1</v>
      </c>
      <c r="IR159" s="3" t="s">
        <v>274</v>
      </c>
      <c r="IS159" s="3">
        <v>2</v>
      </c>
      <c r="IT159" s="3">
        <v>2</v>
      </c>
      <c r="IU159" s="3">
        <v>3</v>
      </c>
      <c r="IV159" s="3">
        <v>3</v>
      </c>
      <c r="IW159" s="3">
        <v>1</v>
      </c>
      <c r="IX159" s="12" t="s">
        <v>815</v>
      </c>
      <c r="IY159" s="12" t="s">
        <v>815</v>
      </c>
      <c r="IZ159" s="2" t="s">
        <v>816</v>
      </c>
    </row>
    <row r="160" spans="1:260" ht="13.2" x14ac:dyDescent="0.25">
      <c r="A160" s="10" t="s">
        <v>274</v>
      </c>
      <c r="B160" s="2" t="s">
        <v>1138</v>
      </c>
      <c r="C160" s="2" t="s">
        <v>276</v>
      </c>
      <c r="D160" s="2" t="s">
        <v>262</v>
      </c>
      <c r="E160" s="2">
        <v>37</v>
      </c>
      <c r="F160" s="11" t="s">
        <v>1139</v>
      </c>
      <c r="G160" s="11" t="s">
        <v>1140</v>
      </c>
      <c r="H160" s="2" t="s">
        <v>535</v>
      </c>
      <c r="I160" s="3">
        <v>3</v>
      </c>
      <c r="J160" s="3">
        <v>3</v>
      </c>
      <c r="K160" s="3">
        <v>3</v>
      </c>
      <c r="L160" s="3">
        <v>4</v>
      </c>
      <c r="M160" s="3">
        <v>4</v>
      </c>
      <c r="N160" s="3">
        <v>3</v>
      </c>
      <c r="O160" s="3">
        <v>3</v>
      </c>
      <c r="P160" s="3">
        <v>2</v>
      </c>
      <c r="Q160" s="3">
        <v>2</v>
      </c>
      <c r="R160" s="3">
        <v>4</v>
      </c>
      <c r="S160" s="3">
        <v>4</v>
      </c>
      <c r="T160" s="3">
        <v>2</v>
      </c>
      <c r="U160" s="3">
        <v>4</v>
      </c>
      <c r="V160" s="3">
        <v>4</v>
      </c>
      <c r="W160" s="3">
        <v>3</v>
      </c>
      <c r="X160" s="3">
        <v>2</v>
      </c>
      <c r="Y160" s="3">
        <v>2</v>
      </c>
      <c r="Z160" s="3">
        <v>2</v>
      </c>
      <c r="AA160" s="3">
        <v>3</v>
      </c>
      <c r="AB160" s="3">
        <v>2</v>
      </c>
      <c r="AC160" s="3">
        <v>2</v>
      </c>
      <c r="AD160" s="3">
        <v>2</v>
      </c>
      <c r="AE160" s="3">
        <v>4</v>
      </c>
      <c r="AF160" s="12" t="s">
        <v>815</v>
      </c>
      <c r="AG160" s="12" t="s">
        <v>815</v>
      </c>
      <c r="AH160" s="12" t="s">
        <v>815</v>
      </c>
      <c r="AI160" s="3">
        <v>4</v>
      </c>
      <c r="AJ160" s="3">
        <v>2</v>
      </c>
      <c r="AK160" s="3">
        <v>4</v>
      </c>
      <c r="AL160" s="3">
        <v>3</v>
      </c>
      <c r="AM160" s="12" t="s">
        <v>815</v>
      </c>
      <c r="AN160" s="3">
        <v>2</v>
      </c>
      <c r="AO160" s="3">
        <v>2</v>
      </c>
      <c r="AP160" s="3">
        <v>2</v>
      </c>
      <c r="AQ160" s="3">
        <v>3</v>
      </c>
      <c r="AR160" s="3">
        <v>2</v>
      </c>
      <c r="AS160" s="3">
        <v>2</v>
      </c>
      <c r="AT160" s="3">
        <v>3</v>
      </c>
      <c r="AU160" s="3">
        <v>2</v>
      </c>
      <c r="AV160" s="3">
        <v>2</v>
      </c>
      <c r="AW160" s="3">
        <v>3</v>
      </c>
      <c r="AX160" s="3">
        <v>3</v>
      </c>
      <c r="AY160" s="3">
        <v>3</v>
      </c>
      <c r="AZ160" s="3">
        <v>2</v>
      </c>
      <c r="BA160" s="12" t="s">
        <v>815</v>
      </c>
      <c r="BB160" s="12" t="s">
        <v>815</v>
      </c>
      <c r="BC160" s="12" t="s">
        <v>815</v>
      </c>
      <c r="BD160" s="12" t="s">
        <v>815</v>
      </c>
      <c r="BE160" s="3">
        <v>3</v>
      </c>
      <c r="BF160" s="3">
        <v>3</v>
      </c>
      <c r="BG160" s="3">
        <v>3</v>
      </c>
      <c r="BH160" s="3">
        <v>3</v>
      </c>
      <c r="BI160" s="3">
        <v>2</v>
      </c>
      <c r="BJ160" s="3">
        <v>1</v>
      </c>
      <c r="BK160" s="3">
        <v>3</v>
      </c>
      <c r="BL160" s="3">
        <v>1</v>
      </c>
      <c r="BM160" s="3" t="s">
        <v>274</v>
      </c>
      <c r="BN160" s="3">
        <v>3</v>
      </c>
      <c r="BO160" s="3">
        <v>3</v>
      </c>
      <c r="BP160" s="3">
        <v>3</v>
      </c>
      <c r="BQ160" s="3">
        <v>3</v>
      </c>
      <c r="BR160" s="3">
        <v>3</v>
      </c>
      <c r="BS160" s="3">
        <v>3</v>
      </c>
      <c r="BT160" s="3">
        <v>3</v>
      </c>
      <c r="BU160" s="2">
        <v>3</v>
      </c>
      <c r="BV160" s="2">
        <v>2</v>
      </c>
      <c r="BW160" s="2">
        <v>4</v>
      </c>
      <c r="BX160" s="2">
        <v>2</v>
      </c>
      <c r="BY160" s="11" t="s">
        <v>815</v>
      </c>
      <c r="BZ160" s="11" t="s">
        <v>815</v>
      </c>
      <c r="CA160" s="11" t="s">
        <v>815</v>
      </c>
      <c r="CB160" s="2">
        <v>4</v>
      </c>
      <c r="CC160" s="11" t="s">
        <v>815</v>
      </c>
      <c r="CD160" s="2">
        <v>2</v>
      </c>
      <c r="CE160" s="2">
        <v>3</v>
      </c>
      <c r="CF160" s="2">
        <v>2</v>
      </c>
      <c r="CG160" s="2">
        <v>2</v>
      </c>
      <c r="CH160" s="11" t="s">
        <v>815</v>
      </c>
      <c r="CI160" s="2">
        <v>3</v>
      </c>
      <c r="CJ160" s="11" t="s">
        <v>815</v>
      </c>
      <c r="CK160" s="2">
        <v>1</v>
      </c>
      <c r="CL160" s="2">
        <v>4</v>
      </c>
      <c r="CM160" s="2">
        <v>3</v>
      </c>
      <c r="CN160" s="2">
        <v>2</v>
      </c>
      <c r="CO160" s="11" t="s">
        <v>815</v>
      </c>
      <c r="CP160" s="11" t="s">
        <v>815</v>
      </c>
      <c r="CQ160" s="2">
        <v>3</v>
      </c>
      <c r="CR160" s="2">
        <v>2</v>
      </c>
      <c r="CS160" s="2">
        <v>2</v>
      </c>
      <c r="CT160" s="2">
        <v>2</v>
      </c>
      <c r="CU160" s="11" t="s">
        <v>815</v>
      </c>
      <c r="CV160" s="2">
        <v>4</v>
      </c>
      <c r="CW160" s="2">
        <v>4</v>
      </c>
      <c r="CX160" s="2">
        <v>2</v>
      </c>
      <c r="CY160" s="11" t="s">
        <v>815</v>
      </c>
      <c r="CZ160" s="11" t="s">
        <v>815</v>
      </c>
      <c r="DA160" s="2">
        <v>2</v>
      </c>
      <c r="DB160" s="2">
        <v>2</v>
      </c>
      <c r="DC160" s="11" t="s">
        <v>815</v>
      </c>
      <c r="DD160" s="11" t="s">
        <v>815</v>
      </c>
      <c r="DE160" s="2">
        <v>3</v>
      </c>
      <c r="DF160" s="2">
        <v>1</v>
      </c>
      <c r="DG160" s="2">
        <v>3</v>
      </c>
      <c r="DH160" s="2">
        <v>3</v>
      </c>
      <c r="DI160" s="2">
        <v>1</v>
      </c>
      <c r="DJ160" s="11" t="s">
        <v>815</v>
      </c>
      <c r="DK160" s="11" t="s">
        <v>815</v>
      </c>
      <c r="DL160" s="2">
        <v>2</v>
      </c>
      <c r="DM160" s="2">
        <v>1</v>
      </c>
      <c r="DN160" s="11" t="s">
        <v>815</v>
      </c>
      <c r="DO160" s="11" t="s">
        <v>815</v>
      </c>
      <c r="DP160" s="2">
        <v>3</v>
      </c>
      <c r="DQ160" s="2">
        <v>1</v>
      </c>
      <c r="DR160" s="2">
        <v>2</v>
      </c>
      <c r="DS160" s="2">
        <v>3</v>
      </c>
      <c r="DT160" s="2">
        <v>3</v>
      </c>
      <c r="DU160" s="11" t="s">
        <v>815</v>
      </c>
      <c r="DV160" s="11" t="s">
        <v>815</v>
      </c>
      <c r="DW160" s="11" t="s">
        <v>815</v>
      </c>
      <c r="DX160" s="2">
        <v>4</v>
      </c>
      <c r="DY160" s="2">
        <v>3</v>
      </c>
      <c r="DZ160" s="2">
        <v>2</v>
      </c>
      <c r="EA160" s="11" t="s">
        <v>815</v>
      </c>
      <c r="EB160" s="11" t="s">
        <v>815</v>
      </c>
      <c r="EC160" s="11" t="s">
        <v>815</v>
      </c>
      <c r="ED160" s="11" t="s">
        <v>815</v>
      </c>
      <c r="EE160" s="11" t="s">
        <v>815</v>
      </c>
      <c r="EF160" s="11" t="s">
        <v>815</v>
      </c>
      <c r="EG160" s="11" t="s">
        <v>815</v>
      </c>
      <c r="EH160" s="11" t="s">
        <v>815</v>
      </c>
      <c r="EI160" s="11" t="s">
        <v>815</v>
      </c>
      <c r="EJ160" s="11" t="s">
        <v>815</v>
      </c>
      <c r="EK160" s="2">
        <v>3</v>
      </c>
      <c r="EL160" s="2">
        <v>2</v>
      </c>
      <c r="EM160" s="11" t="s">
        <v>815</v>
      </c>
      <c r="EN160" s="11" t="s">
        <v>815</v>
      </c>
      <c r="EO160" s="11" t="s">
        <v>815</v>
      </c>
      <c r="EP160" s="11" t="s">
        <v>815</v>
      </c>
      <c r="EQ160" s="11" t="s">
        <v>815</v>
      </c>
      <c r="ER160" s="2">
        <v>1</v>
      </c>
      <c r="ES160" s="2">
        <v>2</v>
      </c>
      <c r="ET160" s="11" t="s">
        <v>815</v>
      </c>
      <c r="EU160" s="11" t="s">
        <v>815</v>
      </c>
      <c r="EV160" s="11" t="s">
        <v>815</v>
      </c>
      <c r="EW160" s="2">
        <v>4</v>
      </c>
      <c r="EX160" s="2">
        <v>4</v>
      </c>
      <c r="EY160" s="11" t="s">
        <v>815</v>
      </c>
      <c r="EZ160" s="11" t="s">
        <v>815</v>
      </c>
      <c r="FA160" s="2">
        <v>2</v>
      </c>
      <c r="FB160" s="11" t="s">
        <v>815</v>
      </c>
      <c r="FC160" s="11" t="s">
        <v>815</v>
      </c>
      <c r="FD160" s="2">
        <v>2</v>
      </c>
      <c r="FE160" s="2">
        <v>1</v>
      </c>
      <c r="FF160" s="2">
        <v>3</v>
      </c>
      <c r="FG160" s="2">
        <v>2</v>
      </c>
      <c r="FH160" s="2">
        <v>2</v>
      </c>
      <c r="FI160" s="2">
        <v>2</v>
      </c>
      <c r="FJ160" s="11" t="s">
        <v>815</v>
      </c>
      <c r="FK160" s="11" t="s">
        <v>815</v>
      </c>
      <c r="FL160" s="2">
        <v>2</v>
      </c>
      <c r="FM160" s="2">
        <v>2</v>
      </c>
      <c r="FN160" s="11" t="s">
        <v>815</v>
      </c>
      <c r="FO160" s="11" t="s">
        <v>815</v>
      </c>
      <c r="FP160" s="2">
        <v>2</v>
      </c>
      <c r="FQ160" s="11" t="s">
        <v>815</v>
      </c>
      <c r="FR160" s="11" t="s">
        <v>815</v>
      </c>
      <c r="FS160" s="11" t="s">
        <v>815</v>
      </c>
      <c r="FT160" s="11" t="s">
        <v>815</v>
      </c>
      <c r="FU160" s="2">
        <v>3</v>
      </c>
      <c r="FV160" s="2">
        <v>1</v>
      </c>
      <c r="FW160" s="2">
        <v>3</v>
      </c>
      <c r="FX160" s="2">
        <v>2</v>
      </c>
      <c r="FY160" s="2">
        <v>2</v>
      </c>
      <c r="FZ160" s="11" t="s">
        <v>815</v>
      </c>
      <c r="GA160" s="11" t="s">
        <v>815</v>
      </c>
      <c r="GB160" s="2">
        <v>1</v>
      </c>
      <c r="GC160" s="2" t="s">
        <v>274</v>
      </c>
      <c r="GD160" s="2">
        <v>2</v>
      </c>
      <c r="GE160" s="11" t="s">
        <v>815</v>
      </c>
      <c r="GF160" s="11" t="s">
        <v>815</v>
      </c>
      <c r="GG160" s="2">
        <v>2</v>
      </c>
      <c r="GH160" s="2">
        <v>4</v>
      </c>
      <c r="GI160" s="2">
        <v>1</v>
      </c>
      <c r="GJ160" s="2">
        <v>2</v>
      </c>
      <c r="GK160" s="11" t="s">
        <v>815</v>
      </c>
      <c r="GL160" s="11" t="s">
        <v>815</v>
      </c>
      <c r="GM160" s="11" t="s">
        <v>815</v>
      </c>
      <c r="GN160" s="3">
        <v>4</v>
      </c>
      <c r="GO160" s="3">
        <v>1</v>
      </c>
      <c r="GP160" s="12" t="s">
        <v>815</v>
      </c>
      <c r="GQ160" s="3">
        <v>3</v>
      </c>
      <c r="GR160" s="3">
        <v>1</v>
      </c>
      <c r="GS160" s="3">
        <v>2</v>
      </c>
      <c r="GT160" s="3">
        <v>2</v>
      </c>
      <c r="GU160" s="3">
        <v>2</v>
      </c>
      <c r="GV160" s="12" t="s">
        <v>815</v>
      </c>
      <c r="GW160" s="12" t="s">
        <v>815</v>
      </c>
      <c r="GX160" s="12" t="s">
        <v>815</v>
      </c>
      <c r="GY160" s="3">
        <v>2</v>
      </c>
      <c r="GZ160" s="3">
        <v>2</v>
      </c>
      <c r="HA160" s="12" t="s">
        <v>815</v>
      </c>
      <c r="HB160" s="3">
        <v>2</v>
      </c>
      <c r="HC160" s="12" t="s">
        <v>815</v>
      </c>
      <c r="HD160" s="12" t="s">
        <v>815</v>
      </c>
      <c r="HE160" s="3">
        <v>1</v>
      </c>
      <c r="HF160" s="3">
        <v>1</v>
      </c>
      <c r="HG160" s="3">
        <v>1</v>
      </c>
      <c r="HH160" s="3">
        <v>2</v>
      </c>
      <c r="HI160" s="3">
        <v>2</v>
      </c>
      <c r="HJ160" s="12" t="s">
        <v>815</v>
      </c>
      <c r="HK160" s="3">
        <v>2</v>
      </c>
      <c r="HL160" s="3">
        <v>1</v>
      </c>
      <c r="HM160" s="12" t="s">
        <v>815</v>
      </c>
      <c r="HN160" s="12" t="s">
        <v>815</v>
      </c>
      <c r="HO160" s="3">
        <v>2</v>
      </c>
      <c r="HP160" s="3">
        <v>3</v>
      </c>
      <c r="HQ160" s="12" t="s">
        <v>815</v>
      </c>
      <c r="HR160" s="3">
        <v>2</v>
      </c>
      <c r="HS160" s="12" t="s">
        <v>815</v>
      </c>
      <c r="HT160" s="12" t="s">
        <v>815</v>
      </c>
      <c r="HU160" s="12" t="s">
        <v>815</v>
      </c>
      <c r="HV160" s="3">
        <v>2</v>
      </c>
      <c r="HW160" s="12" t="s">
        <v>815</v>
      </c>
      <c r="HX160" s="3">
        <v>2</v>
      </c>
      <c r="HY160" s="3">
        <v>2</v>
      </c>
      <c r="HZ160" s="3">
        <v>3</v>
      </c>
      <c r="IA160" s="3">
        <v>3</v>
      </c>
      <c r="IB160" s="3">
        <v>3</v>
      </c>
      <c r="IC160" s="3">
        <v>3</v>
      </c>
      <c r="ID160" s="3">
        <v>3</v>
      </c>
      <c r="IE160" s="12" t="s">
        <v>815</v>
      </c>
      <c r="IF160" s="12" t="s">
        <v>815</v>
      </c>
      <c r="IG160" s="12" t="s">
        <v>815</v>
      </c>
      <c r="IH160" s="12" t="s">
        <v>815</v>
      </c>
      <c r="II160" s="3">
        <v>1</v>
      </c>
      <c r="IJ160" s="3">
        <v>2</v>
      </c>
      <c r="IK160" s="12" t="s">
        <v>815</v>
      </c>
      <c r="IL160" s="12" t="s">
        <v>815</v>
      </c>
      <c r="IM160" s="3">
        <v>1</v>
      </c>
      <c r="IN160" s="12" t="s">
        <v>815</v>
      </c>
      <c r="IO160" s="12" t="s">
        <v>815</v>
      </c>
      <c r="IP160" s="12" t="s">
        <v>815</v>
      </c>
      <c r="IQ160" s="3">
        <v>2</v>
      </c>
      <c r="IR160" s="3" t="s">
        <v>274</v>
      </c>
      <c r="IS160" s="3">
        <v>4</v>
      </c>
      <c r="IT160" s="3">
        <v>3</v>
      </c>
      <c r="IU160" s="3">
        <v>4</v>
      </c>
      <c r="IV160" s="3">
        <v>3</v>
      </c>
      <c r="IW160" s="3">
        <v>2</v>
      </c>
      <c r="IX160" s="12" t="s">
        <v>815</v>
      </c>
      <c r="IY160" s="12" t="s">
        <v>815</v>
      </c>
      <c r="IZ160" s="2" t="s">
        <v>816</v>
      </c>
    </row>
    <row r="161" spans="1:260" ht="13.2" x14ac:dyDescent="0.25">
      <c r="A161" s="10" t="s">
        <v>274</v>
      </c>
      <c r="B161" s="2" t="s">
        <v>1141</v>
      </c>
      <c r="C161" s="2" t="s">
        <v>276</v>
      </c>
      <c r="D161" s="2" t="s">
        <v>270</v>
      </c>
      <c r="E161" s="2">
        <v>24</v>
      </c>
      <c r="F161" s="11" t="s">
        <v>1142</v>
      </c>
      <c r="G161" s="11" t="s">
        <v>1143</v>
      </c>
      <c r="H161" s="2" t="s">
        <v>1144</v>
      </c>
      <c r="I161" s="3">
        <v>2</v>
      </c>
      <c r="J161" s="3">
        <v>1</v>
      </c>
      <c r="K161" s="3">
        <v>4</v>
      </c>
      <c r="L161" s="3">
        <v>4</v>
      </c>
      <c r="M161" s="3">
        <v>3</v>
      </c>
      <c r="N161" s="3">
        <v>3</v>
      </c>
      <c r="O161" s="3">
        <v>3</v>
      </c>
      <c r="P161" s="3">
        <v>4</v>
      </c>
      <c r="Q161" s="3">
        <v>3</v>
      </c>
      <c r="R161" s="3">
        <v>3</v>
      </c>
      <c r="S161" s="3">
        <v>1</v>
      </c>
      <c r="T161" s="3">
        <v>1</v>
      </c>
      <c r="U161" s="3">
        <v>1</v>
      </c>
      <c r="V161" s="3">
        <v>2</v>
      </c>
      <c r="W161" s="3">
        <v>3</v>
      </c>
      <c r="X161" s="3">
        <v>1</v>
      </c>
      <c r="Y161" s="3">
        <v>3</v>
      </c>
      <c r="Z161" s="3">
        <v>1</v>
      </c>
      <c r="AA161" s="3">
        <v>3</v>
      </c>
      <c r="AB161" s="12" t="s">
        <v>815</v>
      </c>
      <c r="AC161" s="3">
        <v>2</v>
      </c>
      <c r="AD161" s="3">
        <v>1</v>
      </c>
      <c r="AE161" s="3">
        <v>3</v>
      </c>
      <c r="AF161" s="12" t="s">
        <v>815</v>
      </c>
      <c r="AG161" s="12" t="s">
        <v>815</v>
      </c>
      <c r="AH161" s="12" t="s">
        <v>815</v>
      </c>
      <c r="AI161" s="3">
        <v>3</v>
      </c>
      <c r="AJ161" s="3">
        <v>3</v>
      </c>
      <c r="AK161" s="3">
        <v>3</v>
      </c>
      <c r="AL161" s="3">
        <v>3</v>
      </c>
      <c r="AM161" s="12" t="s">
        <v>815</v>
      </c>
      <c r="AN161" s="3">
        <v>4</v>
      </c>
      <c r="AO161" s="3">
        <v>4</v>
      </c>
      <c r="AP161" s="3">
        <v>4</v>
      </c>
      <c r="AQ161" s="3">
        <v>2</v>
      </c>
      <c r="AR161" s="3">
        <v>2</v>
      </c>
      <c r="AS161" s="3">
        <v>2</v>
      </c>
      <c r="AT161" s="3">
        <v>2</v>
      </c>
      <c r="AU161" s="3">
        <v>3</v>
      </c>
      <c r="AV161" s="3">
        <v>1</v>
      </c>
      <c r="AW161" s="3">
        <v>3</v>
      </c>
      <c r="AX161" s="3">
        <v>1</v>
      </c>
      <c r="AY161" s="3">
        <v>2</v>
      </c>
      <c r="AZ161" s="3">
        <v>1</v>
      </c>
      <c r="BA161" s="3">
        <v>1</v>
      </c>
      <c r="BB161" s="3">
        <v>1</v>
      </c>
      <c r="BC161" s="3">
        <v>3</v>
      </c>
      <c r="BD161" s="12" t="s">
        <v>815</v>
      </c>
      <c r="BE161" s="12" t="s">
        <v>815</v>
      </c>
      <c r="BF161" s="3">
        <v>1</v>
      </c>
      <c r="BG161" s="3">
        <v>3</v>
      </c>
      <c r="BH161" s="3">
        <v>3</v>
      </c>
      <c r="BI161" s="3">
        <v>3</v>
      </c>
      <c r="BJ161" s="3">
        <v>2</v>
      </c>
      <c r="BK161" s="3">
        <v>3</v>
      </c>
      <c r="BL161" s="3">
        <v>1</v>
      </c>
      <c r="BM161" s="3" t="s">
        <v>1145</v>
      </c>
      <c r="BN161" s="3">
        <v>3</v>
      </c>
      <c r="BO161" s="3">
        <v>1</v>
      </c>
      <c r="BP161" s="3">
        <v>3</v>
      </c>
      <c r="BQ161" s="3">
        <v>3</v>
      </c>
      <c r="BR161" s="3">
        <v>2</v>
      </c>
      <c r="BS161" s="3">
        <v>3</v>
      </c>
      <c r="BT161" s="3">
        <v>1</v>
      </c>
      <c r="BU161" s="2">
        <v>4</v>
      </c>
      <c r="BV161" s="2">
        <v>3</v>
      </c>
      <c r="BW161" s="2">
        <v>4</v>
      </c>
      <c r="BX161" s="2">
        <v>4</v>
      </c>
      <c r="BY161" s="2">
        <v>4</v>
      </c>
      <c r="BZ161" s="2">
        <v>3</v>
      </c>
      <c r="CA161" s="2">
        <v>4</v>
      </c>
      <c r="CB161" s="2">
        <v>3</v>
      </c>
      <c r="CC161" s="2">
        <v>3</v>
      </c>
      <c r="CD161" s="2">
        <v>3</v>
      </c>
      <c r="CE161" s="2">
        <v>3</v>
      </c>
      <c r="CF161" s="2">
        <v>3</v>
      </c>
      <c r="CG161" s="2">
        <v>3</v>
      </c>
      <c r="CH161" s="2">
        <v>2</v>
      </c>
      <c r="CI161" s="2">
        <v>3</v>
      </c>
      <c r="CJ161" s="2">
        <v>3</v>
      </c>
      <c r="CK161" s="2">
        <v>3</v>
      </c>
      <c r="CL161" s="2">
        <v>3</v>
      </c>
      <c r="CM161" s="2">
        <v>3</v>
      </c>
      <c r="CN161" s="2">
        <v>3</v>
      </c>
      <c r="CO161" s="2">
        <v>3</v>
      </c>
      <c r="CP161" s="2">
        <v>3</v>
      </c>
      <c r="CQ161" s="2">
        <v>2</v>
      </c>
      <c r="CR161" s="2">
        <v>3</v>
      </c>
      <c r="CS161" s="2">
        <v>3</v>
      </c>
      <c r="CT161" s="2">
        <v>2</v>
      </c>
      <c r="CU161" s="2">
        <v>3</v>
      </c>
      <c r="CV161" s="2">
        <v>3</v>
      </c>
      <c r="CW161" s="2">
        <v>3</v>
      </c>
      <c r="CX161" s="2">
        <v>3</v>
      </c>
      <c r="CY161" s="2">
        <v>2</v>
      </c>
      <c r="CZ161" s="2">
        <v>3</v>
      </c>
      <c r="DA161" s="2">
        <v>3</v>
      </c>
      <c r="DB161" s="2">
        <v>3</v>
      </c>
      <c r="DC161" s="2">
        <v>2</v>
      </c>
      <c r="DD161" s="2">
        <v>3</v>
      </c>
      <c r="DE161" s="2">
        <v>3</v>
      </c>
      <c r="DF161" s="2">
        <v>3</v>
      </c>
      <c r="DG161" s="2">
        <v>3</v>
      </c>
      <c r="DH161" s="2">
        <v>3</v>
      </c>
      <c r="DI161" s="2">
        <v>3</v>
      </c>
      <c r="DJ161" s="2">
        <v>3</v>
      </c>
      <c r="DK161" s="2">
        <v>3</v>
      </c>
      <c r="DL161" s="2">
        <v>3</v>
      </c>
      <c r="DM161" s="2">
        <v>3</v>
      </c>
      <c r="DN161" s="2">
        <v>3</v>
      </c>
      <c r="DO161" s="2">
        <v>3</v>
      </c>
      <c r="DP161" s="2">
        <v>4</v>
      </c>
      <c r="DQ161" s="2">
        <v>4</v>
      </c>
      <c r="DR161" s="2">
        <v>3</v>
      </c>
      <c r="DS161" s="2">
        <v>3</v>
      </c>
      <c r="DT161" s="2">
        <v>3</v>
      </c>
      <c r="DU161" s="2">
        <v>3</v>
      </c>
      <c r="DV161" s="2">
        <v>3</v>
      </c>
      <c r="DW161" s="2">
        <v>3</v>
      </c>
      <c r="DX161" s="2">
        <v>3</v>
      </c>
      <c r="DY161" s="2">
        <v>3</v>
      </c>
      <c r="DZ161" s="2">
        <v>3</v>
      </c>
      <c r="EA161" s="2">
        <v>3</v>
      </c>
      <c r="EB161" s="11" t="s">
        <v>815</v>
      </c>
      <c r="EC161" s="11" t="s">
        <v>815</v>
      </c>
      <c r="ED161" s="11" t="s">
        <v>815</v>
      </c>
      <c r="EE161" s="11" t="s">
        <v>815</v>
      </c>
      <c r="EF161" s="11" t="s">
        <v>815</v>
      </c>
      <c r="EG161" s="11" t="s">
        <v>815</v>
      </c>
      <c r="EH161" s="11" t="s">
        <v>815</v>
      </c>
      <c r="EI161" s="2">
        <v>3</v>
      </c>
      <c r="EJ161" s="2">
        <v>3</v>
      </c>
      <c r="EK161" s="2">
        <v>3</v>
      </c>
      <c r="EL161" s="2">
        <v>3</v>
      </c>
      <c r="EM161" s="2">
        <v>3</v>
      </c>
      <c r="EN161" s="11" t="s">
        <v>815</v>
      </c>
      <c r="EO161" s="11" t="s">
        <v>815</v>
      </c>
      <c r="EP161" s="11" t="s">
        <v>815</v>
      </c>
      <c r="EQ161" s="2">
        <v>3</v>
      </c>
      <c r="ER161" s="2">
        <v>3</v>
      </c>
      <c r="ES161" s="2">
        <v>1</v>
      </c>
      <c r="ET161" s="2">
        <v>3</v>
      </c>
      <c r="EU161" s="2">
        <v>3</v>
      </c>
      <c r="EV161" s="2">
        <v>3</v>
      </c>
      <c r="EW161" s="2">
        <v>3</v>
      </c>
      <c r="EX161" s="2">
        <v>3</v>
      </c>
      <c r="EY161" s="2">
        <v>3</v>
      </c>
      <c r="EZ161" s="2">
        <v>3</v>
      </c>
      <c r="FA161" s="2">
        <v>3</v>
      </c>
      <c r="FB161" s="2">
        <v>3</v>
      </c>
      <c r="FC161" s="2">
        <v>4</v>
      </c>
      <c r="FD161" s="2">
        <v>3</v>
      </c>
      <c r="FE161" s="2">
        <v>3</v>
      </c>
      <c r="FF161" s="2">
        <v>3</v>
      </c>
      <c r="FG161" s="2">
        <v>3</v>
      </c>
      <c r="FH161" s="2">
        <v>3</v>
      </c>
      <c r="FI161" s="2">
        <v>3</v>
      </c>
      <c r="FJ161" s="2">
        <v>3</v>
      </c>
      <c r="FK161" s="2">
        <v>3</v>
      </c>
      <c r="FL161" s="2">
        <v>3</v>
      </c>
      <c r="FM161" s="2">
        <v>3</v>
      </c>
      <c r="FN161" s="2">
        <v>3</v>
      </c>
      <c r="FO161" s="2">
        <v>3</v>
      </c>
      <c r="FP161" s="2">
        <v>3</v>
      </c>
      <c r="FQ161" s="11" t="s">
        <v>815</v>
      </c>
      <c r="FR161" s="11" t="s">
        <v>815</v>
      </c>
      <c r="FS161" s="11" t="s">
        <v>815</v>
      </c>
      <c r="FT161" s="11" t="s">
        <v>815</v>
      </c>
      <c r="FU161" s="2">
        <v>4</v>
      </c>
      <c r="FV161" s="2">
        <v>4</v>
      </c>
      <c r="FW161" s="2">
        <v>3</v>
      </c>
      <c r="FX161" s="2">
        <v>3</v>
      </c>
      <c r="FY161" s="2">
        <v>2</v>
      </c>
      <c r="FZ161" s="2">
        <v>2</v>
      </c>
      <c r="GA161" s="2">
        <v>3</v>
      </c>
      <c r="GB161" s="2">
        <v>3</v>
      </c>
      <c r="GC161" s="2" t="s">
        <v>1146</v>
      </c>
      <c r="GD161" s="2">
        <v>3</v>
      </c>
      <c r="GE161" s="2">
        <v>4</v>
      </c>
      <c r="GF161" s="2">
        <v>4</v>
      </c>
      <c r="GG161" s="2">
        <v>3</v>
      </c>
      <c r="GH161" s="2">
        <v>3</v>
      </c>
      <c r="GI161" s="2">
        <v>3</v>
      </c>
      <c r="GJ161" s="2">
        <v>3</v>
      </c>
      <c r="GK161" s="2">
        <v>2</v>
      </c>
      <c r="GL161" s="2">
        <v>3</v>
      </c>
      <c r="GM161" s="2">
        <v>3</v>
      </c>
      <c r="GN161" s="3">
        <v>2</v>
      </c>
      <c r="GO161" s="3">
        <v>2</v>
      </c>
      <c r="GP161" s="3">
        <v>2</v>
      </c>
      <c r="GQ161" s="3">
        <v>3</v>
      </c>
      <c r="GR161" s="3">
        <v>3</v>
      </c>
      <c r="GS161" s="3">
        <v>3</v>
      </c>
      <c r="GT161" s="3">
        <v>3</v>
      </c>
      <c r="GU161" s="3">
        <v>3</v>
      </c>
      <c r="GV161" s="3">
        <v>2</v>
      </c>
      <c r="GW161" s="3">
        <v>3</v>
      </c>
      <c r="GX161" s="3">
        <v>3</v>
      </c>
      <c r="GY161" s="3">
        <v>1</v>
      </c>
      <c r="GZ161" s="3">
        <v>3</v>
      </c>
      <c r="HA161" s="3">
        <v>3</v>
      </c>
      <c r="HB161" s="3">
        <v>3</v>
      </c>
      <c r="HC161" s="3">
        <v>2</v>
      </c>
      <c r="HD161" s="3">
        <v>1</v>
      </c>
      <c r="HE161" s="3">
        <v>1</v>
      </c>
      <c r="HF161" s="3">
        <v>1</v>
      </c>
      <c r="HG161" s="3">
        <v>3</v>
      </c>
      <c r="HH161" s="3">
        <v>3</v>
      </c>
      <c r="HI161" s="3">
        <v>3</v>
      </c>
      <c r="HJ161" s="3">
        <v>3</v>
      </c>
      <c r="HK161" s="3">
        <v>3</v>
      </c>
      <c r="HL161" s="3">
        <v>1</v>
      </c>
      <c r="HM161" s="3">
        <v>3</v>
      </c>
      <c r="HN161" s="3">
        <v>3</v>
      </c>
      <c r="HO161" s="3">
        <v>3</v>
      </c>
      <c r="HP161" s="3">
        <v>3</v>
      </c>
      <c r="HQ161" s="3">
        <v>3</v>
      </c>
      <c r="HR161" s="12" t="s">
        <v>815</v>
      </c>
      <c r="HS161" s="12" t="s">
        <v>815</v>
      </c>
      <c r="HT161" s="12" t="s">
        <v>815</v>
      </c>
      <c r="HU161" s="12" t="s">
        <v>815</v>
      </c>
      <c r="HV161" s="3">
        <v>3</v>
      </c>
      <c r="HW161" s="3">
        <v>3</v>
      </c>
      <c r="HX161" s="12" t="s">
        <v>815</v>
      </c>
      <c r="HY161" s="12" t="s">
        <v>815</v>
      </c>
      <c r="HZ161" s="3">
        <v>3</v>
      </c>
      <c r="IA161" s="3">
        <v>3</v>
      </c>
      <c r="IB161" s="3">
        <v>3</v>
      </c>
      <c r="IC161" s="3">
        <v>2</v>
      </c>
      <c r="ID161" s="3">
        <v>3</v>
      </c>
      <c r="IE161" s="3">
        <v>3</v>
      </c>
      <c r="IF161" s="12" t="s">
        <v>815</v>
      </c>
      <c r="IG161" s="12" t="s">
        <v>815</v>
      </c>
      <c r="IH161" s="3">
        <v>1</v>
      </c>
      <c r="II161" s="3">
        <v>3</v>
      </c>
      <c r="IJ161" s="3">
        <v>3</v>
      </c>
      <c r="IK161" s="3">
        <v>1</v>
      </c>
      <c r="IL161" s="3">
        <v>1</v>
      </c>
      <c r="IM161" s="12" t="s">
        <v>815</v>
      </c>
      <c r="IN161" s="12" t="s">
        <v>815</v>
      </c>
      <c r="IO161" s="12" t="s">
        <v>815</v>
      </c>
      <c r="IP161" s="3">
        <v>1</v>
      </c>
      <c r="IQ161" s="3">
        <v>3</v>
      </c>
      <c r="IR161" s="3" t="s">
        <v>1147</v>
      </c>
      <c r="IS161" s="3">
        <v>3</v>
      </c>
      <c r="IT161" s="3">
        <v>3</v>
      </c>
      <c r="IU161" s="3">
        <v>1</v>
      </c>
      <c r="IV161" s="3">
        <v>1</v>
      </c>
      <c r="IW161" s="3">
        <v>1</v>
      </c>
      <c r="IX161" s="3">
        <v>1</v>
      </c>
      <c r="IY161" s="3">
        <v>1</v>
      </c>
      <c r="IZ161" s="2" t="s">
        <v>816</v>
      </c>
    </row>
    <row r="162" spans="1:260" ht="13.2" x14ac:dyDescent="0.25">
      <c r="A162" s="10" t="s">
        <v>274</v>
      </c>
      <c r="B162" s="2" t="s">
        <v>1141</v>
      </c>
      <c r="C162" s="2" t="s">
        <v>276</v>
      </c>
      <c r="D162" s="2" t="s">
        <v>270</v>
      </c>
      <c r="E162" s="2">
        <v>24</v>
      </c>
      <c r="F162" s="11" t="s">
        <v>1142</v>
      </c>
      <c r="G162" s="11" t="s">
        <v>1148</v>
      </c>
      <c r="H162" s="2" t="s">
        <v>1149</v>
      </c>
      <c r="I162" s="3">
        <v>1</v>
      </c>
      <c r="J162" s="3">
        <v>1</v>
      </c>
      <c r="K162" s="3">
        <v>3</v>
      </c>
      <c r="L162" s="3">
        <v>3</v>
      </c>
      <c r="M162" s="3">
        <v>3</v>
      </c>
      <c r="N162" s="3">
        <v>3</v>
      </c>
      <c r="O162" s="3">
        <v>3</v>
      </c>
      <c r="P162" s="3">
        <v>3</v>
      </c>
      <c r="Q162" s="3">
        <v>3</v>
      </c>
      <c r="R162" s="3">
        <v>3</v>
      </c>
      <c r="S162" s="3">
        <v>3</v>
      </c>
      <c r="T162" s="3">
        <v>3</v>
      </c>
      <c r="U162" s="3">
        <v>3</v>
      </c>
      <c r="V162" s="3">
        <v>1</v>
      </c>
      <c r="W162" s="3">
        <v>3</v>
      </c>
      <c r="X162" s="3">
        <v>3</v>
      </c>
      <c r="Y162" s="3">
        <v>3</v>
      </c>
      <c r="Z162" s="3">
        <v>3</v>
      </c>
      <c r="AA162" s="3">
        <v>3</v>
      </c>
      <c r="AB162" s="3">
        <v>3</v>
      </c>
      <c r="AC162" s="3">
        <v>3</v>
      </c>
      <c r="AD162" s="3">
        <v>3</v>
      </c>
      <c r="AE162" s="3">
        <v>3</v>
      </c>
      <c r="AF162" s="3">
        <v>3</v>
      </c>
      <c r="AG162" s="3">
        <v>3</v>
      </c>
      <c r="AH162" s="3">
        <v>1</v>
      </c>
      <c r="AI162" s="3">
        <v>3</v>
      </c>
      <c r="AJ162" s="3">
        <v>1</v>
      </c>
      <c r="AK162" s="3">
        <v>3</v>
      </c>
      <c r="AL162" s="3">
        <v>1</v>
      </c>
      <c r="AM162" s="12" t="s">
        <v>815</v>
      </c>
      <c r="AN162" s="3">
        <v>3</v>
      </c>
      <c r="AO162" s="3">
        <v>3</v>
      </c>
      <c r="AP162" s="3">
        <v>1</v>
      </c>
      <c r="AQ162" s="3">
        <v>3</v>
      </c>
      <c r="AR162" s="3">
        <v>3</v>
      </c>
      <c r="AS162" s="3">
        <v>3</v>
      </c>
      <c r="AT162" s="3">
        <v>3</v>
      </c>
      <c r="AU162" s="3">
        <v>3</v>
      </c>
      <c r="AV162" s="3">
        <v>3</v>
      </c>
      <c r="AW162" s="3">
        <v>3</v>
      </c>
      <c r="AX162" s="3">
        <v>3</v>
      </c>
      <c r="AY162" s="3">
        <v>3</v>
      </c>
      <c r="AZ162" s="3">
        <v>3</v>
      </c>
      <c r="BA162" s="3">
        <v>2</v>
      </c>
      <c r="BB162" s="3">
        <v>2</v>
      </c>
      <c r="BC162" s="3">
        <v>3</v>
      </c>
      <c r="BD162" s="3">
        <v>3</v>
      </c>
      <c r="BE162" s="3">
        <v>1</v>
      </c>
      <c r="BF162" s="3">
        <v>3</v>
      </c>
      <c r="BG162" s="3">
        <v>3</v>
      </c>
      <c r="BH162" s="3">
        <v>3</v>
      </c>
      <c r="BI162" s="3">
        <v>3</v>
      </c>
      <c r="BJ162" s="3">
        <v>1</v>
      </c>
      <c r="BK162" s="3">
        <v>3</v>
      </c>
      <c r="BL162" s="3">
        <v>3</v>
      </c>
      <c r="BM162" s="3" t="s">
        <v>1150</v>
      </c>
      <c r="BN162" s="3">
        <v>3</v>
      </c>
      <c r="BO162" s="3">
        <v>3</v>
      </c>
      <c r="BP162" s="3">
        <v>3</v>
      </c>
      <c r="BQ162" s="3">
        <v>3</v>
      </c>
      <c r="BR162" s="3">
        <v>3</v>
      </c>
      <c r="BS162" s="3">
        <v>3</v>
      </c>
      <c r="BT162" s="3">
        <v>3</v>
      </c>
      <c r="BU162" s="2">
        <v>3</v>
      </c>
      <c r="BV162" s="2">
        <v>3</v>
      </c>
      <c r="BW162" s="2">
        <v>3</v>
      </c>
      <c r="BX162" s="2">
        <v>3</v>
      </c>
      <c r="BY162" s="2">
        <v>3</v>
      </c>
      <c r="BZ162" s="2">
        <v>1</v>
      </c>
      <c r="CA162" s="2">
        <v>1</v>
      </c>
      <c r="CB162" s="2">
        <v>3</v>
      </c>
      <c r="CC162" s="2">
        <v>3</v>
      </c>
      <c r="CD162" s="2">
        <v>4</v>
      </c>
      <c r="CE162" s="2">
        <v>3</v>
      </c>
      <c r="CF162" s="2">
        <v>3</v>
      </c>
      <c r="CG162" s="2">
        <v>3</v>
      </c>
      <c r="CH162" s="2">
        <v>3</v>
      </c>
      <c r="CI162" s="2">
        <v>3</v>
      </c>
      <c r="CJ162" s="2">
        <v>3</v>
      </c>
      <c r="CK162" s="2">
        <v>3</v>
      </c>
      <c r="CL162" s="2">
        <v>1</v>
      </c>
      <c r="CM162" s="2">
        <v>3</v>
      </c>
      <c r="CN162" s="2">
        <v>3</v>
      </c>
      <c r="CO162" s="2">
        <v>3</v>
      </c>
      <c r="CP162" s="2">
        <v>1</v>
      </c>
      <c r="CQ162" s="2">
        <v>1</v>
      </c>
      <c r="CR162" s="2">
        <v>3</v>
      </c>
      <c r="CS162" s="2">
        <v>3</v>
      </c>
      <c r="CT162" s="2">
        <v>3</v>
      </c>
      <c r="CU162" s="2">
        <v>3</v>
      </c>
      <c r="CV162" s="2">
        <v>3</v>
      </c>
      <c r="CW162" s="2">
        <v>3</v>
      </c>
      <c r="CX162" s="2">
        <v>3</v>
      </c>
      <c r="CY162" s="2">
        <v>2</v>
      </c>
      <c r="CZ162" s="2">
        <v>2</v>
      </c>
      <c r="DA162" s="2">
        <v>3</v>
      </c>
      <c r="DB162" s="2">
        <v>3</v>
      </c>
      <c r="DC162" s="2">
        <v>1</v>
      </c>
      <c r="DD162" s="2">
        <v>1</v>
      </c>
      <c r="DE162" s="2">
        <v>3</v>
      </c>
      <c r="DF162" s="2">
        <v>4</v>
      </c>
      <c r="DG162" s="2">
        <v>3</v>
      </c>
      <c r="DH162" s="2">
        <v>1</v>
      </c>
      <c r="DI162" s="2">
        <v>3</v>
      </c>
      <c r="DJ162" s="2">
        <v>3</v>
      </c>
      <c r="DK162" s="2">
        <v>1</v>
      </c>
      <c r="DL162" s="2">
        <v>3</v>
      </c>
      <c r="DM162" s="2">
        <v>3</v>
      </c>
      <c r="DN162" s="2">
        <v>3</v>
      </c>
      <c r="DO162" s="2">
        <v>1</v>
      </c>
      <c r="DP162" s="2">
        <v>1</v>
      </c>
      <c r="DQ162" s="2">
        <v>3</v>
      </c>
      <c r="DR162" s="2">
        <v>1</v>
      </c>
      <c r="DS162" s="2">
        <v>3</v>
      </c>
      <c r="DT162" s="2">
        <v>3</v>
      </c>
      <c r="DU162" s="2">
        <v>1</v>
      </c>
      <c r="DV162" s="2">
        <v>3</v>
      </c>
      <c r="DW162" s="2">
        <v>3</v>
      </c>
      <c r="DX162" s="2">
        <v>3</v>
      </c>
      <c r="DY162" s="2">
        <v>3</v>
      </c>
      <c r="DZ162" s="2">
        <v>3</v>
      </c>
      <c r="EA162" s="2">
        <v>3</v>
      </c>
      <c r="EB162" s="2">
        <v>3</v>
      </c>
      <c r="EC162" s="2">
        <v>3</v>
      </c>
      <c r="ED162" s="2">
        <v>1</v>
      </c>
      <c r="EE162" s="2">
        <v>3</v>
      </c>
      <c r="EF162" s="2">
        <v>3</v>
      </c>
      <c r="EG162" s="2">
        <v>3</v>
      </c>
      <c r="EH162" s="2">
        <v>3</v>
      </c>
      <c r="EI162" s="2">
        <v>3</v>
      </c>
      <c r="EJ162" s="2">
        <v>3</v>
      </c>
      <c r="EK162" s="2">
        <v>3</v>
      </c>
      <c r="EL162" s="2">
        <v>3</v>
      </c>
      <c r="EM162" s="2">
        <v>3</v>
      </c>
      <c r="EN162" s="2">
        <v>3</v>
      </c>
      <c r="EO162" s="2">
        <v>3</v>
      </c>
      <c r="EP162" s="2">
        <v>3</v>
      </c>
      <c r="EQ162" s="2">
        <v>3</v>
      </c>
      <c r="ER162" s="2">
        <v>1</v>
      </c>
      <c r="ES162" s="2">
        <v>1</v>
      </c>
      <c r="ET162" s="2">
        <v>1</v>
      </c>
      <c r="EU162" s="2">
        <v>3</v>
      </c>
      <c r="EV162" s="2">
        <v>3</v>
      </c>
      <c r="EW162" s="2">
        <v>3</v>
      </c>
      <c r="EX162" s="2">
        <v>3</v>
      </c>
      <c r="EY162" s="2">
        <v>3</v>
      </c>
      <c r="EZ162" s="2">
        <v>3</v>
      </c>
      <c r="FA162" s="2">
        <v>3</v>
      </c>
      <c r="FB162" s="2">
        <v>3</v>
      </c>
      <c r="FC162" s="2">
        <v>3</v>
      </c>
      <c r="FD162" s="2">
        <v>3</v>
      </c>
      <c r="FE162" s="2">
        <v>3</v>
      </c>
      <c r="FF162" s="2">
        <v>1</v>
      </c>
      <c r="FG162" s="2">
        <v>3</v>
      </c>
      <c r="FH162" s="2">
        <v>3</v>
      </c>
      <c r="FI162" s="2">
        <v>3</v>
      </c>
      <c r="FJ162" s="2">
        <v>3</v>
      </c>
      <c r="FK162" s="2">
        <v>3</v>
      </c>
      <c r="FL162" s="2">
        <v>3</v>
      </c>
      <c r="FM162" s="2">
        <v>3</v>
      </c>
      <c r="FN162" s="2">
        <v>3</v>
      </c>
      <c r="FO162" s="2">
        <v>3</v>
      </c>
      <c r="FP162" s="2">
        <v>3</v>
      </c>
      <c r="FQ162" s="2">
        <v>1</v>
      </c>
      <c r="FR162" s="2">
        <v>1</v>
      </c>
      <c r="FS162" s="2">
        <v>1</v>
      </c>
      <c r="FT162" s="2">
        <v>3</v>
      </c>
      <c r="FU162" s="2">
        <v>3</v>
      </c>
      <c r="FV162" s="2">
        <v>3</v>
      </c>
      <c r="FW162" s="2">
        <v>3</v>
      </c>
      <c r="FX162" s="2">
        <v>3</v>
      </c>
      <c r="FY162" s="2">
        <v>3</v>
      </c>
      <c r="FZ162" s="2">
        <v>3</v>
      </c>
      <c r="GA162" s="2">
        <v>3</v>
      </c>
      <c r="GB162" s="2">
        <v>3</v>
      </c>
      <c r="GC162" s="2" t="s">
        <v>1151</v>
      </c>
      <c r="GD162" s="2">
        <v>3</v>
      </c>
      <c r="GE162" s="2">
        <v>1</v>
      </c>
      <c r="GF162" s="2">
        <v>3</v>
      </c>
      <c r="GG162" s="2">
        <v>1</v>
      </c>
      <c r="GH162" s="2">
        <v>3</v>
      </c>
      <c r="GI162" s="2">
        <v>3</v>
      </c>
      <c r="GJ162" s="2">
        <v>3</v>
      </c>
      <c r="GK162" s="2">
        <v>3</v>
      </c>
      <c r="GL162" s="2">
        <v>3</v>
      </c>
      <c r="GM162" s="2">
        <v>3</v>
      </c>
      <c r="GN162" s="3">
        <v>3</v>
      </c>
      <c r="GO162" s="3">
        <v>3</v>
      </c>
      <c r="GP162" s="3">
        <v>3</v>
      </c>
      <c r="GQ162" s="3">
        <v>3</v>
      </c>
      <c r="GR162" s="3">
        <v>3</v>
      </c>
      <c r="GS162" s="3">
        <v>1</v>
      </c>
      <c r="GT162" s="3">
        <v>3</v>
      </c>
      <c r="GU162" s="3">
        <v>1</v>
      </c>
      <c r="GV162" s="3">
        <v>1</v>
      </c>
      <c r="GW162" s="3">
        <v>3</v>
      </c>
      <c r="GX162" s="3">
        <v>1</v>
      </c>
      <c r="GY162" s="3">
        <v>1</v>
      </c>
      <c r="GZ162" s="3">
        <v>3</v>
      </c>
      <c r="HA162" s="3">
        <v>3</v>
      </c>
      <c r="HB162" s="3">
        <v>3</v>
      </c>
      <c r="HC162" s="3">
        <v>3</v>
      </c>
      <c r="HD162" s="3">
        <v>3</v>
      </c>
      <c r="HE162" s="3">
        <v>3</v>
      </c>
      <c r="HF162" s="3">
        <v>3</v>
      </c>
      <c r="HG162" s="3">
        <v>3</v>
      </c>
      <c r="HH162" s="3">
        <v>3</v>
      </c>
      <c r="HI162" s="3">
        <v>1</v>
      </c>
      <c r="HJ162" s="3">
        <v>1</v>
      </c>
      <c r="HK162" s="3">
        <v>3</v>
      </c>
      <c r="HL162" s="3">
        <v>1</v>
      </c>
      <c r="HM162" s="3">
        <v>3</v>
      </c>
      <c r="HN162" s="12" t="s">
        <v>815</v>
      </c>
      <c r="HO162" s="3">
        <v>3</v>
      </c>
      <c r="HP162" s="3">
        <v>1</v>
      </c>
      <c r="HQ162" s="3">
        <v>3</v>
      </c>
      <c r="HR162" s="3">
        <v>1</v>
      </c>
      <c r="HS162" s="3">
        <v>3</v>
      </c>
      <c r="HT162" s="3">
        <v>3</v>
      </c>
      <c r="HU162" s="3">
        <v>3</v>
      </c>
      <c r="HV162" s="3">
        <v>3</v>
      </c>
      <c r="HW162" s="3">
        <v>3</v>
      </c>
      <c r="HX162" s="3">
        <v>3</v>
      </c>
      <c r="HY162" s="3">
        <v>3</v>
      </c>
      <c r="HZ162" s="3">
        <v>3</v>
      </c>
      <c r="IA162" s="3">
        <v>3</v>
      </c>
      <c r="IB162" s="12" t="s">
        <v>815</v>
      </c>
      <c r="IC162" s="3">
        <v>3</v>
      </c>
      <c r="ID162" s="3">
        <v>3</v>
      </c>
      <c r="IE162" s="3">
        <v>3</v>
      </c>
      <c r="IF162" s="3">
        <v>3</v>
      </c>
      <c r="IG162" s="3">
        <v>3</v>
      </c>
      <c r="IH162" s="3">
        <v>2</v>
      </c>
      <c r="II162" s="3">
        <v>3</v>
      </c>
      <c r="IJ162" s="3">
        <v>3</v>
      </c>
      <c r="IK162" s="3">
        <v>3</v>
      </c>
      <c r="IL162" s="12" t="s">
        <v>815</v>
      </c>
      <c r="IM162" s="12" t="s">
        <v>815</v>
      </c>
      <c r="IN162" s="12" t="s">
        <v>815</v>
      </c>
      <c r="IO162" s="12" t="s">
        <v>815</v>
      </c>
      <c r="IP162" s="12" t="s">
        <v>815</v>
      </c>
      <c r="IQ162" s="3">
        <v>3</v>
      </c>
      <c r="IR162" s="3" t="s">
        <v>1152</v>
      </c>
      <c r="IS162" s="3">
        <v>3</v>
      </c>
      <c r="IT162" s="3">
        <v>3</v>
      </c>
      <c r="IU162" s="3">
        <v>1</v>
      </c>
      <c r="IV162" s="3">
        <v>3</v>
      </c>
      <c r="IW162" s="3">
        <v>3</v>
      </c>
      <c r="IX162" s="3">
        <v>1</v>
      </c>
      <c r="IY162" s="3">
        <v>3</v>
      </c>
      <c r="IZ162" s="2" t="s">
        <v>816</v>
      </c>
    </row>
    <row r="163" spans="1:260" ht="13.2" x14ac:dyDescent="0.25">
      <c r="A163" s="10" t="s">
        <v>274</v>
      </c>
      <c r="B163" s="2" t="s">
        <v>1082</v>
      </c>
      <c r="C163" s="2" t="s">
        <v>276</v>
      </c>
      <c r="D163" s="2" t="s">
        <v>270</v>
      </c>
      <c r="E163" s="2">
        <v>31</v>
      </c>
      <c r="F163" s="11" t="s">
        <v>1083</v>
      </c>
      <c r="G163" s="11" t="s">
        <v>1153</v>
      </c>
      <c r="H163" s="2" t="s">
        <v>1154</v>
      </c>
      <c r="I163" s="12" t="s">
        <v>815</v>
      </c>
      <c r="J163" s="3">
        <v>1</v>
      </c>
      <c r="K163" s="3">
        <v>4</v>
      </c>
      <c r="L163" s="3">
        <v>4</v>
      </c>
      <c r="M163" s="3">
        <v>3</v>
      </c>
      <c r="N163" s="3">
        <v>4</v>
      </c>
      <c r="O163" s="3">
        <v>3</v>
      </c>
      <c r="P163" s="3">
        <v>2</v>
      </c>
      <c r="Q163" s="3">
        <v>1</v>
      </c>
      <c r="R163" s="3">
        <v>3</v>
      </c>
      <c r="S163" s="3">
        <v>2</v>
      </c>
      <c r="T163" s="3">
        <v>1</v>
      </c>
      <c r="U163" s="3">
        <v>2</v>
      </c>
      <c r="V163" s="3">
        <v>4</v>
      </c>
      <c r="W163" s="3">
        <v>3</v>
      </c>
      <c r="X163" s="3">
        <v>4</v>
      </c>
      <c r="Y163" s="3">
        <v>4</v>
      </c>
      <c r="Z163" s="3">
        <v>4</v>
      </c>
      <c r="AA163" s="3">
        <v>2</v>
      </c>
      <c r="AB163" s="3">
        <v>3</v>
      </c>
      <c r="AC163" s="3">
        <v>2</v>
      </c>
      <c r="AD163" s="3">
        <v>4</v>
      </c>
      <c r="AE163" s="3">
        <v>4</v>
      </c>
      <c r="AF163" s="3">
        <v>2</v>
      </c>
      <c r="AG163" s="3">
        <v>2</v>
      </c>
      <c r="AH163" s="3">
        <v>2</v>
      </c>
      <c r="AI163" s="3">
        <v>4</v>
      </c>
      <c r="AJ163" s="3">
        <v>3</v>
      </c>
      <c r="AK163" s="3">
        <v>4</v>
      </c>
      <c r="AL163" s="3">
        <v>4</v>
      </c>
      <c r="AM163" s="3">
        <v>2</v>
      </c>
      <c r="AN163" s="3">
        <v>3</v>
      </c>
      <c r="AO163" s="3">
        <v>4</v>
      </c>
      <c r="AP163" s="3">
        <v>4</v>
      </c>
      <c r="AQ163" s="3">
        <v>4</v>
      </c>
      <c r="AR163" s="3">
        <v>3</v>
      </c>
      <c r="AS163" s="3">
        <v>3</v>
      </c>
      <c r="AT163" s="3">
        <v>3</v>
      </c>
      <c r="AU163" s="3">
        <v>3</v>
      </c>
      <c r="AV163" s="3">
        <v>2</v>
      </c>
      <c r="AW163" s="3">
        <v>4</v>
      </c>
      <c r="AX163" s="3">
        <v>4</v>
      </c>
      <c r="AY163" s="3">
        <v>4</v>
      </c>
      <c r="AZ163" s="3">
        <v>4</v>
      </c>
      <c r="BA163" s="3">
        <v>3</v>
      </c>
      <c r="BB163" s="3">
        <v>3</v>
      </c>
      <c r="BC163" s="3">
        <v>3</v>
      </c>
      <c r="BD163" s="3">
        <v>4</v>
      </c>
      <c r="BE163" s="3">
        <v>3</v>
      </c>
      <c r="BF163" s="3">
        <v>3</v>
      </c>
      <c r="BG163" s="3">
        <v>2</v>
      </c>
      <c r="BH163" s="3">
        <v>2</v>
      </c>
      <c r="BI163" s="3">
        <v>3</v>
      </c>
      <c r="BJ163" s="3">
        <v>3</v>
      </c>
      <c r="BK163" s="3">
        <v>3</v>
      </c>
      <c r="BL163" s="3">
        <v>3</v>
      </c>
      <c r="BM163" s="3" t="s">
        <v>1155</v>
      </c>
      <c r="BN163" s="3">
        <v>3</v>
      </c>
      <c r="BO163" s="3">
        <v>3</v>
      </c>
      <c r="BP163" s="3">
        <v>4</v>
      </c>
      <c r="BQ163" s="3">
        <v>3</v>
      </c>
      <c r="BR163" s="3">
        <v>3</v>
      </c>
      <c r="BS163" s="3">
        <v>3</v>
      </c>
      <c r="BT163" s="3">
        <v>4</v>
      </c>
      <c r="BU163" s="2">
        <v>2</v>
      </c>
      <c r="BV163" s="2">
        <v>2</v>
      </c>
      <c r="BW163" s="2">
        <v>3</v>
      </c>
      <c r="BX163" s="2">
        <v>2</v>
      </c>
      <c r="BY163" s="2">
        <v>2</v>
      </c>
      <c r="BZ163" s="2">
        <v>1</v>
      </c>
      <c r="CA163" s="2">
        <v>3</v>
      </c>
      <c r="CB163" s="2">
        <v>4</v>
      </c>
      <c r="CC163" s="2">
        <v>2</v>
      </c>
      <c r="CD163" s="2">
        <v>4</v>
      </c>
      <c r="CE163" s="2">
        <v>1</v>
      </c>
      <c r="CF163" s="2">
        <v>4</v>
      </c>
      <c r="CG163" s="2">
        <v>4</v>
      </c>
      <c r="CH163" s="2">
        <v>2</v>
      </c>
      <c r="CI163" s="2">
        <v>3</v>
      </c>
      <c r="CJ163" s="2">
        <v>1</v>
      </c>
      <c r="CK163" s="2">
        <v>3</v>
      </c>
      <c r="CL163" s="2">
        <v>1</v>
      </c>
      <c r="CM163" s="2">
        <v>4</v>
      </c>
      <c r="CN163" s="2">
        <v>3</v>
      </c>
      <c r="CO163" s="2">
        <v>4</v>
      </c>
      <c r="CP163" s="2">
        <v>1</v>
      </c>
      <c r="CQ163" s="2">
        <v>2</v>
      </c>
      <c r="CR163" s="2">
        <v>3</v>
      </c>
      <c r="CS163" s="2">
        <v>2</v>
      </c>
      <c r="CT163" s="2">
        <v>4</v>
      </c>
      <c r="CU163" s="2">
        <v>1</v>
      </c>
      <c r="CV163" s="11" t="s">
        <v>815</v>
      </c>
      <c r="CW163" s="2">
        <v>2</v>
      </c>
      <c r="CX163" s="2">
        <v>2</v>
      </c>
      <c r="CY163" s="11" t="s">
        <v>815</v>
      </c>
      <c r="CZ163" s="2">
        <v>3</v>
      </c>
      <c r="DA163" s="2">
        <v>4</v>
      </c>
      <c r="DB163" s="2">
        <v>3</v>
      </c>
      <c r="DC163" s="2">
        <v>2</v>
      </c>
      <c r="DD163" s="11" t="s">
        <v>815</v>
      </c>
      <c r="DE163" s="2">
        <v>2</v>
      </c>
      <c r="DF163" s="2">
        <v>3</v>
      </c>
      <c r="DG163" s="2">
        <v>1</v>
      </c>
      <c r="DH163" s="2">
        <v>3</v>
      </c>
      <c r="DI163" s="2">
        <v>3</v>
      </c>
      <c r="DJ163" s="2">
        <v>2</v>
      </c>
      <c r="DK163" s="11" t="s">
        <v>815</v>
      </c>
      <c r="DL163" s="2">
        <v>3</v>
      </c>
      <c r="DM163" s="2">
        <v>3</v>
      </c>
      <c r="DN163" s="2">
        <v>3</v>
      </c>
      <c r="DO163" s="11" t="s">
        <v>815</v>
      </c>
      <c r="DP163" s="2">
        <v>1</v>
      </c>
      <c r="DQ163" s="2">
        <v>2</v>
      </c>
      <c r="DR163" s="11" t="s">
        <v>815</v>
      </c>
      <c r="DS163" s="2">
        <v>3</v>
      </c>
      <c r="DT163" s="2">
        <v>4</v>
      </c>
      <c r="DU163" s="2">
        <v>3</v>
      </c>
      <c r="DV163" s="2">
        <v>1</v>
      </c>
      <c r="DW163" s="2">
        <v>2</v>
      </c>
      <c r="DX163" s="2">
        <v>4</v>
      </c>
      <c r="DY163" s="2">
        <v>3</v>
      </c>
      <c r="DZ163" s="2">
        <v>4</v>
      </c>
      <c r="EA163" s="2">
        <v>3</v>
      </c>
      <c r="EB163" s="2">
        <v>2</v>
      </c>
      <c r="EC163" s="2">
        <v>2</v>
      </c>
      <c r="ED163" s="2">
        <v>1</v>
      </c>
      <c r="EE163" s="2">
        <v>3</v>
      </c>
      <c r="EF163" s="2">
        <v>2</v>
      </c>
      <c r="EG163" s="2">
        <v>2</v>
      </c>
      <c r="EH163" s="11" t="s">
        <v>815</v>
      </c>
      <c r="EI163" s="2">
        <v>4</v>
      </c>
      <c r="EJ163" s="2">
        <v>4</v>
      </c>
      <c r="EK163" s="2">
        <v>2</v>
      </c>
      <c r="EL163" s="2">
        <v>4</v>
      </c>
      <c r="EM163" s="2">
        <v>4</v>
      </c>
      <c r="EN163" s="2">
        <v>1</v>
      </c>
      <c r="EO163" s="2">
        <v>2</v>
      </c>
      <c r="EP163" s="2">
        <v>2</v>
      </c>
      <c r="EQ163" s="2">
        <v>2</v>
      </c>
      <c r="ER163" s="2">
        <v>2</v>
      </c>
      <c r="ES163" s="2">
        <v>2</v>
      </c>
      <c r="ET163" s="11" t="s">
        <v>815</v>
      </c>
      <c r="EU163" s="2">
        <v>3</v>
      </c>
      <c r="EV163" s="2">
        <v>3</v>
      </c>
      <c r="EW163" s="11" t="s">
        <v>815</v>
      </c>
      <c r="EX163" s="2">
        <v>3</v>
      </c>
      <c r="EY163" s="2">
        <v>3</v>
      </c>
      <c r="EZ163" s="11" t="s">
        <v>815</v>
      </c>
      <c r="FA163" s="2">
        <v>2</v>
      </c>
      <c r="FB163" s="2">
        <v>2</v>
      </c>
      <c r="FC163" s="2">
        <v>3</v>
      </c>
      <c r="FD163" s="11" t="s">
        <v>815</v>
      </c>
      <c r="FE163" s="2">
        <v>3</v>
      </c>
      <c r="FF163" s="2">
        <v>2</v>
      </c>
      <c r="FG163" s="2">
        <v>2</v>
      </c>
      <c r="FH163" s="11" t="s">
        <v>815</v>
      </c>
      <c r="FI163" s="2">
        <v>3</v>
      </c>
      <c r="FJ163" s="2">
        <v>3</v>
      </c>
      <c r="FK163" s="2">
        <v>3</v>
      </c>
      <c r="FL163" s="2">
        <v>3</v>
      </c>
      <c r="FM163" s="2">
        <v>3</v>
      </c>
      <c r="FN163" s="2">
        <v>2</v>
      </c>
      <c r="FO163" s="2">
        <v>2</v>
      </c>
      <c r="FP163" s="2">
        <v>2</v>
      </c>
      <c r="FQ163" s="2">
        <v>3</v>
      </c>
      <c r="FR163" s="2">
        <v>3</v>
      </c>
      <c r="FS163" s="2">
        <v>2</v>
      </c>
      <c r="FT163" s="2">
        <v>2</v>
      </c>
      <c r="FU163" s="2">
        <v>3</v>
      </c>
      <c r="FV163" s="2">
        <v>3</v>
      </c>
      <c r="FW163" s="2">
        <v>1</v>
      </c>
      <c r="FX163" s="2">
        <v>3</v>
      </c>
      <c r="FY163" s="2">
        <v>3</v>
      </c>
      <c r="FZ163" s="2">
        <v>3</v>
      </c>
      <c r="GA163" s="2">
        <v>2</v>
      </c>
      <c r="GB163" s="11" t="s">
        <v>815</v>
      </c>
      <c r="GC163" s="2" t="s">
        <v>1156</v>
      </c>
      <c r="GD163" s="2">
        <v>3</v>
      </c>
      <c r="GE163" s="2">
        <v>2</v>
      </c>
      <c r="GF163" s="2">
        <v>4</v>
      </c>
      <c r="GG163" s="11" t="s">
        <v>815</v>
      </c>
      <c r="GH163" s="2">
        <v>4</v>
      </c>
      <c r="GI163" s="2">
        <v>4</v>
      </c>
      <c r="GJ163" s="2">
        <v>4</v>
      </c>
      <c r="GK163" s="2">
        <v>4</v>
      </c>
      <c r="GL163" s="2">
        <v>2</v>
      </c>
      <c r="GM163" s="2">
        <v>4</v>
      </c>
      <c r="GN163" s="3">
        <v>3</v>
      </c>
      <c r="GO163" s="3">
        <v>4</v>
      </c>
      <c r="GP163" s="3">
        <v>2</v>
      </c>
      <c r="GQ163" s="3">
        <v>3</v>
      </c>
      <c r="GR163" s="3">
        <v>3</v>
      </c>
      <c r="GS163" s="3">
        <v>4</v>
      </c>
      <c r="GT163" s="3">
        <v>3</v>
      </c>
      <c r="GU163" s="12" t="s">
        <v>815</v>
      </c>
      <c r="GV163" s="3">
        <v>3</v>
      </c>
      <c r="GW163" s="3">
        <v>4</v>
      </c>
      <c r="GX163" s="3">
        <v>1</v>
      </c>
      <c r="GY163" s="12" t="s">
        <v>815</v>
      </c>
      <c r="GZ163" s="3">
        <v>3</v>
      </c>
      <c r="HA163" s="12" t="s">
        <v>815</v>
      </c>
      <c r="HB163" s="3">
        <v>3</v>
      </c>
      <c r="HC163" s="12" t="s">
        <v>815</v>
      </c>
      <c r="HD163" s="3">
        <v>2</v>
      </c>
      <c r="HE163" s="12" t="s">
        <v>815</v>
      </c>
      <c r="HF163" s="3">
        <v>2</v>
      </c>
      <c r="HG163" s="12" t="s">
        <v>815</v>
      </c>
      <c r="HH163" s="3">
        <v>3</v>
      </c>
      <c r="HI163" s="12" t="s">
        <v>815</v>
      </c>
      <c r="HJ163" s="3">
        <v>3</v>
      </c>
      <c r="HK163" s="3">
        <v>3</v>
      </c>
      <c r="HL163" s="3">
        <v>1</v>
      </c>
      <c r="HM163" s="3">
        <v>2</v>
      </c>
      <c r="HN163" s="12" t="s">
        <v>815</v>
      </c>
      <c r="HO163" s="3">
        <v>3</v>
      </c>
      <c r="HP163" s="3">
        <v>1</v>
      </c>
      <c r="HQ163" s="3">
        <v>4</v>
      </c>
      <c r="HR163" s="3">
        <v>4</v>
      </c>
      <c r="HS163" s="3">
        <v>2</v>
      </c>
      <c r="HT163" s="3">
        <v>3</v>
      </c>
      <c r="HU163" s="3">
        <v>1</v>
      </c>
      <c r="HV163" s="3">
        <v>4</v>
      </c>
      <c r="HW163" s="3">
        <v>2</v>
      </c>
      <c r="HX163" s="3">
        <v>1</v>
      </c>
      <c r="HY163" s="3">
        <v>1</v>
      </c>
      <c r="HZ163" s="3">
        <v>2</v>
      </c>
      <c r="IA163" s="3">
        <v>3</v>
      </c>
      <c r="IB163" s="3">
        <v>3</v>
      </c>
      <c r="IC163" s="3">
        <v>3</v>
      </c>
      <c r="ID163" s="3">
        <v>3</v>
      </c>
      <c r="IE163" s="3">
        <v>1</v>
      </c>
      <c r="IF163" s="3">
        <v>3</v>
      </c>
      <c r="IG163" s="3">
        <v>2</v>
      </c>
      <c r="IH163" s="3">
        <v>2</v>
      </c>
      <c r="II163" s="3">
        <v>1</v>
      </c>
      <c r="IJ163" s="3">
        <v>3</v>
      </c>
      <c r="IK163" s="3">
        <v>2</v>
      </c>
      <c r="IL163" s="3">
        <v>1</v>
      </c>
      <c r="IM163" s="3">
        <v>3</v>
      </c>
      <c r="IN163" s="12" t="s">
        <v>815</v>
      </c>
      <c r="IO163" s="3">
        <v>3</v>
      </c>
      <c r="IP163" s="3">
        <v>1</v>
      </c>
      <c r="IQ163" s="3">
        <v>3</v>
      </c>
      <c r="IR163" s="3" t="s">
        <v>1157</v>
      </c>
      <c r="IS163" s="3">
        <v>4</v>
      </c>
      <c r="IT163" s="3">
        <v>4</v>
      </c>
      <c r="IU163" s="12" t="s">
        <v>815</v>
      </c>
      <c r="IV163" s="3">
        <v>3</v>
      </c>
      <c r="IW163" s="3">
        <v>3</v>
      </c>
      <c r="IX163" s="3">
        <v>3</v>
      </c>
      <c r="IY163" s="3">
        <v>2</v>
      </c>
      <c r="IZ163" s="2" t="s">
        <v>816</v>
      </c>
    </row>
    <row r="164" spans="1:260" ht="13.2" x14ac:dyDescent="0.25">
      <c r="A164" s="10" t="s">
        <v>274</v>
      </c>
      <c r="B164" s="2" t="s">
        <v>1158</v>
      </c>
      <c r="C164" s="2" t="s">
        <v>276</v>
      </c>
      <c r="D164" s="2" t="s">
        <v>262</v>
      </c>
      <c r="E164" s="2">
        <v>30</v>
      </c>
      <c r="F164" s="11" t="s">
        <v>1159</v>
      </c>
      <c r="G164" s="11" t="s">
        <v>1160</v>
      </c>
      <c r="H164" s="2" t="s">
        <v>1161</v>
      </c>
      <c r="I164" s="3">
        <v>1</v>
      </c>
      <c r="J164" s="3">
        <v>2</v>
      </c>
      <c r="K164" s="3">
        <v>1</v>
      </c>
      <c r="L164" s="3">
        <v>3</v>
      </c>
      <c r="M164" s="3">
        <v>3</v>
      </c>
      <c r="N164" s="3">
        <v>2</v>
      </c>
      <c r="O164" s="3">
        <v>2</v>
      </c>
      <c r="P164" s="3">
        <v>2</v>
      </c>
      <c r="Q164" s="3">
        <v>2</v>
      </c>
      <c r="R164" s="3">
        <v>1</v>
      </c>
      <c r="S164" s="3">
        <v>1</v>
      </c>
      <c r="T164" s="3">
        <v>1</v>
      </c>
      <c r="U164" s="3">
        <v>2</v>
      </c>
      <c r="V164" s="3">
        <v>2</v>
      </c>
      <c r="W164" s="3">
        <v>1</v>
      </c>
      <c r="X164" s="3">
        <v>1</v>
      </c>
      <c r="Y164" s="3">
        <v>2</v>
      </c>
      <c r="Z164" s="3">
        <v>2</v>
      </c>
      <c r="AA164" s="3">
        <v>2</v>
      </c>
      <c r="AB164" s="3">
        <v>2</v>
      </c>
      <c r="AC164" s="3">
        <v>1</v>
      </c>
      <c r="AD164" s="3">
        <v>2</v>
      </c>
      <c r="AE164" s="3">
        <v>2</v>
      </c>
      <c r="AF164" s="3">
        <v>2</v>
      </c>
      <c r="AG164" s="3">
        <v>3</v>
      </c>
      <c r="AH164" s="3">
        <v>2</v>
      </c>
      <c r="AI164" s="3">
        <v>3</v>
      </c>
      <c r="AJ164" s="3">
        <v>3</v>
      </c>
      <c r="AK164" s="3">
        <v>3</v>
      </c>
      <c r="AL164" s="3">
        <v>3</v>
      </c>
      <c r="AM164" s="3">
        <v>3</v>
      </c>
      <c r="AN164" s="3">
        <v>1</v>
      </c>
      <c r="AO164" s="3">
        <v>3</v>
      </c>
      <c r="AP164" s="3">
        <v>1</v>
      </c>
      <c r="AQ164" s="3">
        <v>1</v>
      </c>
      <c r="AR164" s="3">
        <v>1</v>
      </c>
      <c r="AS164" s="3">
        <v>1</v>
      </c>
      <c r="AT164" s="3">
        <v>1</v>
      </c>
      <c r="AU164" s="3">
        <v>2</v>
      </c>
      <c r="AV164" s="3">
        <v>1</v>
      </c>
      <c r="AW164" s="3">
        <v>1</v>
      </c>
      <c r="AX164" s="3">
        <v>1</v>
      </c>
      <c r="AY164" s="3">
        <v>1</v>
      </c>
      <c r="AZ164" s="3">
        <v>1</v>
      </c>
      <c r="BA164" s="3">
        <v>1</v>
      </c>
      <c r="BB164" s="3">
        <v>2</v>
      </c>
      <c r="BC164" s="3">
        <v>1</v>
      </c>
      <c r="BD164" s="3">
        <v>2</v>
      </c>
      <c r="BE164" s="3">
        <v>2</v>
      </c>
      <c r="BF164" s="3">
        <v>2</v>
      </c>
      <c r="BG164" s="3">
        <v>2</v>
      </c>
      <c r="BH164" s="3">
        <v>2</v>
      </c>
      <c r="BI164" s="3">
        <v>2</v>
      </c>
      <c r="BJ164" s="3">
        <v>3</v>
      </c>
      <c r="BK164" s="3">
        <v>2</v>
      </c>
      <c r="BL164" s="3">
        <v>1</v>
      </c>
      <c r="BM164" s="3" t="s">
        <v>1162</v>
      </c>
      <c r="BN164" s="3">
        <v>2</v>
      </c>
      <c r="BO164" s="3">
        <v>2</v>
      </c>
      <c r="BP164" s="3">
        <v>2</v>
      </c>
      <c r="BQ164" s="3">
        <v>2</v>
      </c>
      <c r="BR164" s="3">
        <v>2</v>
      </c>
      <c r="BS164" s="3">
        <v>3</v>
      </c>
      <c r="BT164" s="3">
        <v>2</v>
      </c>
      <c r="BU164" s="11" t="s">
        <v>815</v>
      </c>
      <c r="BV164" s="2">
        <v>1</v>
      </c>
      <c r="BW164" s="2">
        <v>2</v>
      </c>
      <c r="BX164" s="2">
        <v>2</v>
      </c>
      <c r="BY164" s="2">
        <v>1</v>
      </c>
      <c r="BZ164" s="11" t="s">
        <v>815</v>
      </c>
      <c r="CA164" s="2">
        <v>2</v>
      </c>
      <c r="CB164" s="2">
        <v>1</v>
      </c>
      <c r="CC164" s="2">
        <v>1</v>
      </c>
      <c r="CD164" s="2">
        <v>1</v>
      </c>
      <c r="CE164" s="11" t="s">
        <v>815</v>
      </c>
      <c r="CF164" s="2">
        <v>2</v>
      </c>
      <c r="CG164" s="2">
        <v>2</v>
      </c>
      <c r="CH164" s="11" t="s">
        <v>815</v>
      </c>
      <c r="CI164" s="2">
        <v>1</v>
      </c>
      <c r="CJ164" s="2">
        <v>1</v>
      </c>
      <c r="CK164" s="2">
        <v>2</v>
      </c>
      <c r="CL164" s="2">
        <v>2</v>
      </c>
      <c r="CM164" s="2">
        <v>3</v>
      </c>
      <c r="CN164" s="2">
        <v>3</v>
      </c>
      <c r="CO164" s="2">
        <v>3</v>
      </c>
      <c r="CP164" s="11" t="s">
        <v>815</v>
      </c>
      <c r="CQ164" s="2">
        <v>1</v>
      </c>
      <c r="CR164" s="11" t="s">
        <v>815</v>
      </c>
      <c r="CS164" s="11" t="s">
        <v>815</v>
      </c>
      <c r="CT164" s="2">
        <v>2</v>
      </c>
      <c r="CU164" s="11" t="s">
        <v>815</v>
      </c>
      <c r="CV164" s="2">
        <v>1</v>
      </c>
      <c r="CW164" s="2">
        <v>1</v>
      </c>
      <c r="CX164" s="2">
        <v>1</v>
      </c>
      <c r="CY164" s="11" t="s">
        <v>815</v>
      </c>
      <c r="CZ164" s="11" t="s">
        <v>815</v>
      </c>
      <c r="DA164" s="11" t="s">
        <v>815</v>
      </c>
      <c r="DB164" s="11" t="s">
        <v>815</v>
      </c>
      <c r="DC164" s="11" t="s">
        <v>815</v>
      </c>
      <c r="DD164" s="11" t="s">
        <v>815</v>
      </c>
      <c r="DE164" s="2">
        <v>2</v>
      </c>
      <c r="DF164" s="2">
        <v>2</v>
      </c>
      <c r="DG164" s="2">
        <v>2</v>
      </c>
      <c r="DH164" s="2">
        <v>3</v>
      </c>
      <c r="DI164" s="2">
        <v>3</v>
      </c>
      <c r="DJ164" s="2">
        <v>1</v>
      </c>
      <c r="DK164" s="11" t="s">
        <v>815</v>
      </c>
      <c r="DL164" s="2">
        <v>2</v>
      </c>
      <c r="DM164" s="2">
        <v>3</v>
      </c>
      <c r="DN164" s="2">
        <v>2</v>
      </c>
      <c r="DO164" s="11" t="s">
        <v>815</v>
      </c>
      <c r="DP164" s="2">
        <v>2</v>
      </c>
      <c r="DQ164" s="2">
        <v>2</v>
      </c>
      <c r="DR164" s="2">
        <v>1</v>
      </c>
      <c r="DS164" s="2">
        <v>3</v>
      </c>
      <c r="DT164" s="2">
        <v>2</v>
      </c>
      <c r="DU164" s="11" t="s">
        <v>815</v>
      </c>
      <c r="DV164" s="11" t="s">
        <v>815</v>
      </c>
      <c r="DW164" s="2">
        <v>2</v>
      </c>
      <c r="DX164" s="2">
        <v>2</v>
      </c>
      <c r="DY164" s="2">
        <v>3</v>
      </c>
      <c r="DZ164" s="2">
        <v>2</v>
      </c>
      <c r="EA164" s="2">
        <v>1</v>
      </c>
      <c r="EB164" s="11" t="s">
        <v>815</v>
      </c>
      <c r="EC164" s="2">
        <v>2</v>
      </c>
      <c r="ED164" s="2">
        <v>1</v>
      </c>
      <c r="EE164" s="2">
        <v>3</v>
      </c>
      <c r="EF164" s="2">
        <v>3</v>
      </c>
      <c r="EG164" s="2">
        <v>2</v>
      </c>
      <c r="EH164" s="11" t="s">
        <v>815</v>
      </c>
      <c r="EI164" s="11" t="s">
        <v>815</v>
      </c>
      <c r="EJ164" s="2">
        <v>2</v>
      </c>
      <c r="EK164" s="2">
        <v>2</v>
      </c>
      <c r="EL164" s="2">
        <v>2</v>
      </c>
      <c r="EM164" s="2">
        <v>2</v>
      </c>
      <c r="EN164" s="2">
        <v>1</v>
      </c>
      <c r="EO164" s="2">
        <v>3</v>
      </c>
      <c r="EP164" s="2">
        <v>3</v>
      </c>
      <c r="EQ164" s="2">
        <v>2</v>
      </c>
      <c r="ER164" s="11" t="s">
        <v>815</v>
      </c>
      <c r="ES164" s="2">
        <v>2</v>
      </c>
      <c r="ET164" s="11" t="s">
        <v>815</v>
      </c>
      <c r="EU164" s="2">
        <v>1</v>
      </c>
      <c r="EV164" s="2">
        <v>2</v>
      </c>
      <c r="EW164" s="2">
        <v>2</v>
      </c>
      <c r="EX164" s="2">
        <v>2</v>
      </c>
      <c r="EY164" s="2">
        <v>3</v>
      </c>
      <c r="EZ164" s="11" t="s">
        <v>815</v>
      </c>
      <c r="FA164" s="2">
        <v>2</v>
      </c>
      <c r="FB164" s="11" t="s">
        <v>815</v>
      </c>
      <c r="FC164" s="2">
        <v>1</v>
      </c>
      <c r="FD164" s="2">
        <v>1</v>
      </c>
      <c r="FE164" s="2">
        <v>1</v>
      </c>
      <c r="FF164" s="11" t="s">
        <v>815</v>
      </c>
      <c r="FG164" s="11" t="s">
        <v>815</v>
      </c>
      <c r="FH164" s="11" t="s">
        <v>815</v>
      </c>
      <c r="FI164" s="2">
        <v>1</v>
      </c>
      <c r="FJ164" s="11" t="s">
        <v>815</v>
      </c>
      <c r="FK164" s="11" t="s">
        <v>815</v>
      </c>
      <c r="FL164" s="2">
        <v>1</v>
      </c>
      <c r="FM164" s="11" t="s">
        <v>815</v>
      </c>
      <c r="FN164" s="11" t="s">
        <v>815</v>
      </c>
      <c r="FO164" s="11" t="s">
        <v>815</v>
      </c>
      <c r="FP164" s="11" t="s">
        <v>815</v>
      </c>
      <c r="FQ164" s="2">
        <v>2</v>
      </c>
      <c r="FR164" s="2">
        <v>1</v>
      </c>
      <c r="FS164" s="2">
        <v>2</v>
      </c>
      <c r="FT164" s="2">
        <v>1</v>
      </c>
      <c r="FU164" s="2">
        <v>2</v>
      </c>
      <c r="FV164" s="2">
        <v>3</v>
      </c>
      <c r="FW164" s="2">
        <v>2</v>
      </c>
      <c r="FX164" s="2">
        <v>2</v>
      </c>
      <c r="FY164" s="2">
        <v>2</v>
      </c>
      <c r="FZ164" s="2">
        <v>1</v>
      </c>
      <c r="GA164" s="11" t="s">
        <v>815</v>
      </c>
      <c r="GB164" s="2">
        <v>1</v>
      </c>
      <c r="GC164" s="2" t="s">
        <v>1163</v>
      </c>
      <c r="GD164" s="2">
        <v>3</v>
      </c>
      <c r="GE164" s="11" t="s">
        <v>815</v>
      </c>
      <c r="GF164" s="2">
        <v>3</v>
      </c>
      <c r="GG164" s="2">
        <v>2</v>
      </c>
      <c r="GH164" s="2">
        <v>2</v>
      </c>
      <c r="GI164" s="2">
        <v>3</v>
      </c>
      <c r="GJ164" s="2">
        <v>3</v>
      </c>
      <c r="GK164" s="2">
        <v>2</v>
      </c>
      <c r="GL164" s="11" t="s">
        <v>815</v>
      </c>
      <c r="GM164" s="2">
        <v>2</v>
      </c>
      <c r="GN164" s="3">
        <v>3</v>
      </c>
      <c r="GO164" s="3">
        <v>3</v>
      </c>
      <c r="GP164" s="3">
        <v>1</v>
      </c>
      <c r="GQ164" s="3">
        <v>1</v>
      </c>
      <c r="GR164" s="3">
        <v>1</v>
      </c>
      <c r="GS164" s="3">
        <v>1</v>
      </c>
      <c r="GT164" s="3">
        <v>2</v>
      </c>
      <c r="GU164" s="3">
        <v>1</v>
      </c>
      <c r="GV164" s="3">
        <v>2</v>
      </c>
      <c r="GW164" s="3">
        <v>1</v>
      </c>
      <c r="GX164" s="12" t="s">
        <v>815</v>
      </c>
      <c r="GY164" s="3">
        <v>2</v>
      </c>
      <c r="GZ164" s="3">
        <v>1</v>
      </c>
      <c r="HA164" s="12" t="s">
        <v>815</v>
      </c>
      <c r="HB164" s="3">
        <v>1</v>
      </c>
      <c r="HC164" s="3">
        <v>1</v>
      </c>
      <c r="HD164" s="3">
        <v>1</v>
      </c>
      <c r="HE164" s="3">
        <v>1</v>
      </c>
      <c r="HF164" s="12" t="s">
        <v>815</v>
      </c>
      <c r="HG164" s="12" t="s">
        <v>815</v>
      </c>
      <c r="HH164" s="3">
        <v>3</v>
      </c>
      <c r="HI164" s="12" t="s">
        <v>815</v>
      </c>
      <c r="HJ164" s="3">
        <v>1</v>
      </c>
      <c r="HK164" s="3">
        <v>3</v>
      </c>
      <c r="HL164" s="12" t="s">
        <v>815</v>
      </c>
      <c r="HM164" s="12" t="s">
        <v>815</v>
      </c>
      <c r="HN164" s="12" t="s">
        <v>815</v>
      </c>
      <c r="HO164" s="3">
        <v>2</v>
      </c>
      <c r="HP164" s="12" t="s">
        <v>815</v>
      </c>
      <c r="HQ164" s="3">
        <v>1</v>
      </c>
      <c r="HR164" s="3">
        <v>2</v>
      </c>
      <c r="HS164" s="3">
        <v>2</v>
      </c>
      <c r="HT164" s="3">
        <v>2</v>
      </c>
      <c r="HU164" s="3">
        <v>2</v>
      </c>
      <c r="HV164" s="3">
        <v>3</v>
      </c>
      <c r="HW164" s="3">
        <v>1</v>
      </c>
      <c r="HX164" s="3">
        <v>1</v>
      </c>
      <c r="HY164" s="12" t="s">
        <v>815</v>
      </c>
      <c r="HZ164" s="12" t="s">
        <v>815</v>
      </c>
      <c r="IA164" s="3">
        <v>1</v>
      </c>
      <c r="IB164" s="3">
        <v>2</v>
      </c>
      <c r="IC164" s="12" t="s">
        <v>815</v>
      </c>
      <c r="ID164" s="3">
        <v>2</v>
      </c>
      <c r="IE164" s="12" t="s">
        <v>815</v>
      </c>
      <c r="IF164" s="3">
        <v>1</v>
      </c>
      <c r="IG164" s="12" t="s">
        <v>815</v>
      </c>
      <c r="IH164" s="12" t="s">
        <v>815</v>
      </c>
      <c r="II164" s="12" t="s">
        <v>815</v>
      </c>
      <c r="IJ164" s="12" t="s">
        <v>815</v>
      </c>
      <c r="IK164" s="12" t="s">
        <v>815</v>
      </c>
      <c r="IL164" s="3">
        <v>1</v>
      </c>
      <c r="IM164" s="12" t="s">
        <v>815</v>
      </c>
      <c r="IN164" s="12" t="s">
        <v>815</v>
      </c>
      <c r="IO164" s="12" t="s">
        <v>815</v>
      </c>
      <c r="IP164" s="12" t="s">
        <v>815</v>
      </c>
      <c r="IQ164" s="3">
        <v>2</v>
      </c>
      <c r="IR164" s="3" t="s">
        <v>1164</v>
      </c>
      <c r="IS164" s="3">
        <v>2</v>
      </c>
      <c r="IT164" s="3">
        <v>2</v>
      </c>
      <c r="IU164" s="3">
        <v>1</v>
      </c>
      <c r="IV164" s="3">
        <v>2</v>
      </c>
      <c r="IW164" s="3">
        <v>2</v>
      </c>
      <c r="IX164" s="3">
        <v>2</v>
      </c>
      <c r="IY164" s="12" t="s">
        <v>815</v>
      </c>
      <c r="IZ164" s="2" t="s">
        <v>816</v>
      </c>
    </row>
    <row r="165" spans="1:260" ht="13.2" x14ac:dyDescent="0.25">
      <c r="A165" s="10" t="s">
        <v>274</v>
      </c>
      <c r="B165" s="2" t="s">
        <v>1165</v>
      </c>
      <c r="C165" s="2" t="s">
        <v>276</v>
      </c>
      <c r="D165" s="2" t="s">
        <v>325</v>
      </c>
      <c r="E165" s="2">
        <v>17</v>
      </c>
      <c r="F165" s="11" t="s">
        <v>1166</v>
      </c>
      <c r="G165" s="11" t="s">
        <v>1167</v>
      </c>
      <c r="H165" s="2" t="s">
        <v>1168</v>
      </c>
      <c r="I165" s="3">
        <v>3</v>
      </c>
      <c r="J165" s="3">
        <v>3</v>
      </c>
      <c r="K165" s="12" t="s">
        <v>815</v>
      </c>
      <c r="L165" s="3">
        <v>3</v>
      </c>
      <c r="M165" s="3">
        <v>2</v>
      </c>
      <c r="N165" s="3">
        <v>2</v>
      </c>
      <c r="O165" s="3">
        <v>2</v>
      </c>
      <c r="P165" s="3">
        <v>2</v>
      </c>
      <c r="Q165" s="3">
        <v>2</v>
      </c>
      <c r="R165" s="3">
        <v>3</v>
      </c>
      <c r="S165" s="3">
        <v>3</v>
      </c>
      <c r="T165" s="3">
        <v>1</v>
      </c>
      <c r="U165" s="3">
        <v>2</v>
      </c>
      <c r="V165" s="3">
        <v>3</v>
      </c>
      <c r="W165" s="3">
        <v>2</v>
      </c>
      <c r="X165" s="3">
        <v>2</v>
      </c>
      <c r="Y165" s="3">
        <v>3</v>
      </c>
      <c r="Z165" s="3">
        <v>2</v>
      </c>
      <c r="AA165" s="3">
        <v>2</v>
      </c>
      <c r="AB165" s="3">
        <v>1</v>
      </c>
      <c r="AC165" s="3">
        <v>2</v>
      </c>
      <c r="AD165" s="3">
        <v>2</v>
      </c>
      <c r="AE165" s="3">
        <v>2</v>
      </c>
      <c r="AF165" s="12" t="s">
        <v>815</v>
      </c>
      <c r="AG165" s="12" t="s">
        <v>815</v>
      </c>
      <c r="AH165" s="12" t="s">
        <v>815</v>
      </c>
      <c r="AI165" s="3">
        <v>2</v>
      </c>
      <c r="AJ165" s="3">
        <v>2</v>
      </c>
      <c r="AK165" s="3">
        <v>2</v>
      </c>
      <c r="AL165" s="3">
        <v>3</v>
      </c>
      <c r="AM165" s="12" t="s">
        <v>815</v>
      </c>
      <c r="AN165" s="12" t="s">
        <v>815</v>
      </c>
      <c r="AO165" s="3">
        <v>3</v>
      </c>
      <c r="AP165" s="3">
        <v>4</v>
      </c>
      <c r="AQ165" s="3">
        <v>3</v>
      </c>
      <c r="AR165" s="3">
        <v>3</v>
      </c>
      <c r="AS165" s="3">
        <v>3</v>
      </c>
      <c r="AT165" s="3">
        <v>2</v>
      </c>
      <c r="AU165" s="3">
        <v>2</v>
      </c>
      <c r="AV165" s="3">
        <v>1</v>
      </c>
      <c r="AW165" s="3">
        <v>4</v>
      </c>
      <c r="AX165" s="3">
        <v>3</v>
      </c>
      <c r="AY165" s="3">
        <v>3</v>
      </c>
      <c r="AZ165" s="3">
        <v>4</v>
      </c>
      <c r="BA165" s="3">
        <v>1</v>
      </c>
      <c r="BB165" s="3">
        <v>1</v>
      </c>
      <c r="BC165" s="12" t="s">
        <v>815</v>
      </c>
      <c r="BD165" s="3">
        <v>1</v>
      </c>
      <c r="BE165" s="3">
        <v>2</v>
      </c>
      <c r="BF165" s="3">
        <v>2</v>
      </c>
      <c r="BG165" s="3">
        <v>2</v>
      </c>
      <c r="BH165" s="3">
        <v>2</v>
      </c>
      <c r="BI165" s="3">
        <v>2</v>
      </c>
      <c r="BJ165" s="3">
        <v>3</v>
      </c>
      <c r="BK165" s="3">
        <v>2</v>
      </c>
      <c r="BL165" s="12" t="s">
        <v>815</v>
      </c>
      <c r="BM165" s="3" t="s">
        <v>1169</v>
      </c>
      <c r="BN165" s="3">
        <v>2</v>
      </c>
      <c r="BO165" s="3">
        <v>2</v>
      </c>
      <c r="BP165" s="3">
        <v>2</v>
      </c>
      <c r="BQ165" s="3">
        <v>2</v>
      </c>
      <c r="BR165" s="3">
        <v>2</v>
      </c>
      <c r="BS165" s="3">
        <v>3</v>
      </c>
      <c r="BT165" s="3">
        <v>4</v>
      </c>
      <c r="BU165" s="2">
        <v>3</v>
      </c>
      <c r="BV165" s="2">
        <v>2</v>
      </c>
      <c r="BW165" s="2">
        <v>2</v>
      </c>
      <c r="BX165" s="2">
        <v>3</v>
      </c>
      <c r="BY165" s="11" t="s">
        <v>815</v>
      </c>
      <c r="BZ165" s="11" t="s">
        <v>815</v>
      </c>
      <c r="CA165" s="11" t="s">
        <v>815</v>
      </c>
      <c r="CB165" s="2">
        <v>2</v>
      </c>
      <c r="CC165" s="2">
        <v>3</v>
      </c>
      <c r="CD165" s="2">
        <v>2</v>
      </c>
      <c r="CE165" s="2">
        <v>2</v>
      </c>
      <c r="CF165" s="2">
        <v>2</v>
      </c>
      <c r="CG165" s="2">
        <v>2</v>
      </c>
      <c r="CH165" s="2">
        <v>2</v>
      </c>
      <c r="CI165" s="2">
        <v>3</v>
      </c>
      <c r="CJ165" s="2">
        <v>2</v>
      </c>
      <c r="CK165" s="2">
        <v>2</v>
      </c>
      <c r="CL165" s="2">
        <v>4</v>
      </c>
      <c r="CM165" s="2">
        <v>2</v>
      </c>
      <c r="CN165" s="2">
        <v>2</v>
      </c>
      <c r="CO165" s="2">
        <v>2</v>
      </c>
      <c r="CP165" s="2">
        <v>2</v>
      </c>
      <c r="CQ165" s="2">
        <v>3</v>
      </c>
      <c r="CR165" s="2">
        <v>3</v>
      </c>
      <c r="CS165" s="2">
        <v>3</v>
      </c>
      <c r="CT165" s="2">
        <v>2</v>
      </c>
      <c r="CU165" s="2">
        <v>2</v>
      </c>
      <c r="CV165" s="2">
        <v>2</v>
      </c>
      <c r="CW165" s="2">
        <v>1</v>
      </c>
      <c r="CX165" s="2">
        <v>2</v>
      </c>
      <c r="CY165" s="2">
        <v>2</v>
      </c>
      <c r="CZ165" s="2">
        <v>1</v>
      </c>
      <c r="DA165" s="11" t="s">
        <v>815</v>
      </c>
      <c r="DB165" s="2">
        <v>2</v>
      </c>
      <c r="DC165" s="11" t="s">
        <v>815</v>
      </c>
      <c r="DD165" s="2">
        <v>2</v>
      </c>
      <c r="DE165" s="2">
        <v>3</v>
      </c>
      <c r="DF165" s="2">
        <v>1</v>
      </c>
      <c r="DG165" s="2">
        <v>3</v>
      </c>
      <c r="DH165" s="2">
        <v>2</v>
      </c>
      <c r="DI165" s="2">
        <v>2</v>
      </c>
      <c r="DJ165" s="2">
        <v>2</v>
      </c>
      <c r="DK165" s="2">
        <v>2</v>
      </c>
      <c r="DL165" s="2">
        <v>1</v>
      </c>
      <c r="DM165" s="2">
        <v>2</v>
      </c>
      <c r="DN165" s="2">
        <v>2</v>
      </c>
      <c r="DO165" s="11" t="s">
        <v>815</v>
      </c>
      <c r="DP165" s="2">
        <v>1</v>
      </c>
      <c r="DQ165" s="2">
        <v>2</v>
      </c>
      <c r="DR165" s="2">
        <v>2</v>
      </c>
      <c r="DS165" s="2">
        <v>2</v>
      </c>
      <c r="DT165" s="2">
        <v>2</v>
      </c>
      <c r="DU165" s="2">
        <v>2</v>
      </c>
      <c r="DV165" s="2">
        <v>2</v>
      </c>
      <c r="DW165" s="2">
        <v>2</v>
      </c>
      <c r="DX165" s="2">
        <v>3</v>
      </c>
      <c r="DY165" s="2">
        <v>3</v>
      </c>
      <c r="DZ165" s="2">
        <v>3</v>
      </c>
      <c r="EA165" s="2">
        <v>3</v>
      </c>
      <c r="EB165" s="11" t="s">
        <v>815</v>
      </c>
      <c r="EC165" s="11" t="s">
        <v>815</v>
      </c>
      <c r="ED165" s="11" t="s">
        <v>815</v>
      </c>
      <c r="EE165" s="11" t="s">
        <v>815</v>
      </c>
      <c r="EF165" s="11" t="s">
        <v>815</v>
      </c>
      <c r="EG165" s="11" t="s">
        <v>815</v>
      </c>
      <c r="EH165" s="11" t="s">
        <v>815</v>
      </c>
      <c r="EI165" s="2">
        <v>4</v>
      </c>
      <c r="EJ165" s="2">
        <v>3</v>
      </c>
      <c r="EK165" s="2">
        <v>3</v>
      </c>
      <c r="EL165" s="2">
        <v>2</v>
      </c>
      <c r="EM165" s="2">
        <v>2</v>
      </c>
      <c r="EN165" s="11" t="s">
        <v>815</v>
      </c>
      <c r="EO165" s="11" t="s">
        <v>815</v>
      </c>
      <c r="EP165" s="11" t="s">
        <v>815</v>
      </c>
      <c r="EQ165" s="11" t="s">
        <v>815</v>
      </c>
      <c r="ER165" s="2">
        <v>2</v>
      </c>
      <c r="ES165" s="2">
        <v>2</v>
      </c>
      <c r="ET165" s="2">
        <v>2</v>
      </c>
      <c r="EU165" s="2">
        <v>3</v>
      </c>
      <c r="EV165" s="2">
        <v>2</v>
      </c>
      <c r="EW165" s="11" t="s">
        <v>815</v>
      </c>
      <c r="EX165" s="11" t="s">
        <v>815</v>
      </c>
      <c r="EY165" s="11" t="s">
        <v>815</v>
      </c>
      <c r="EZ165" s="2">
        <v>2</v>
      </c>
      <c r="FA165" s="2">
        <v>3</v>
      </c>
      <c r="FB165" s="2">
        <v>3</v>
      </c>
      <c r="FC165" s="2">
        <v>2</v>
      </c>
      <c r="FD165" s="2">
        <v>2</v>
      </c>
      <c r="FE165" s="2">
        <v>2</v>
      </c>
      <c r="FF165" s="2">
        <v>1</v>
      </c>
      <c r="FG165" s="2">
        <v>2</v>
      </c>
      <c r="FH165" s="2">
        <v>3</v>
      </c>
      <c r="FI165" s="2">
        <v>2</v>
      </c>
      <c r="FJ165" s="2">
        <v>2</v>
      </c>
      <c r="FK165" s="2">
        <v>2</v>
      </c>
      <c r="FL165" s="2">
        <v>2</v>
      </c>
      <c r="FM165" s="2">
        <v>2</v>
      </c>
      <c r="FN165" s="2">
        <v>2</v>
      </c>
      <c r="FO165" s="2">
        <v>2</v>
      </c>
      <c r="FP165" s="2">
        <v>3</v>
      </c>
      <c r="FQ165" s="2">
        <v>2</v>
      </c>
      <c r="FR165" s="2">
        <v>1</v>
      </c>
      <c r="FS165" s="2">
        <v>2</v>
      </c>
      <c r="FT165" s="2">
        <v>2</v>
      </c>
      <c r="FU165" s="2">
        <v>2</v>
      </c>
      <c r="FV165" s="11" t="s">
        <v>815</v>
      </c>
      <c r="FW165" s="2">
        <v>3</v>
      </c>
      <c r="FX165" s="2">
        <v>2</v>
      </c>
      <c r="FY165" s="11" t="s">
        <v>815</v>
      </c>
      <c r="FZ165" s="2">
        <v>2</v>
      </c>
      <c r="GA165" s="2">
        <v>2</v>
      </c>
      <c r="GB165" s="2">
        <v>2</v>
      </c>
      <c r="GC165" s="2" t="s">
        <v>1170</v>
      </c>
      <c r="GD165" s="2">
        <v>3</v>
      </c>
      <c r="GE165" s="2">
        <v>3</v>
      </c>
      <c r="GF165" s="2">
        <v>2</v>
      </c>
      <c r="GG165" s="2">
        <v>3</v>
      </c>
      <c r="GH165" s="2">
        <v>2</v>
      </c>
      <c r="GI165" s="2">
        <v>2</v>
      </c>
      <c r="GJ165" s="2">
        <v>2</v>
      </c>
      <c r="GK165" s="2">
        <v>2</v>
      </c>
      <c r="GL165" s="2">
        <v>2</v>
      </c>
      <c r="GM165" s="2">
        <v>2</v>
      </c>
      <c r="GN165" s="3">
        <v>3</v>
      </c>
      <c r="GO165" s="3">
        <v>1</v>
      </c>
      <c r="GP165" s="3">
        <v>1</v>
      </c>
      <c r="GQ165" s="3">
        <v>1</v>
      </c>
      <c r="GR165" s="3">
        <v>1</v>
      </c>
      <c r="GS165" s="3">
        <v>2</v>
      </c>
      <c r="GT165" s="3">
        <v>1</v>
      </c>
      <c r="GU165" s="12" t="s">
        <v>815</v>
      </c>
      <c r="GV165" s="3">
        <v>1</v>
      </c>
      <c r="GW165" s="3">
        <v>1</v>
      </c>
      <c r="GX165" s="3">
        <v>2</v>
      </c>
      <c r="GY165" s="12" t="s">
        <v>815</v>
      </c>
      <c r="GZ165" s="3">
        <v>2</v>
      </c>
      <c r="HA165" s="3">
        <v>2</v>
      </c>
      <c r="HB165" s="3">
        <v>2</v>
      </c>
      <c r="HC165" s="12" t="s">
        <v>815</v>
      </c>
      <c r="HD165" s="3">
        <v>1</v>
      </c>
      <c r="HE165" s="12" t="s">
        <v>815</v>
      </c>
      <c r="HF165" s="3">
        <v>2</v>
      </c>
      <c r="HG165" s="12" t="s">
        <v>815</v>
      </c>
      <c r="HH165" s="3">
        <v>2</v>
      </c>
      <c r="HI165" s="12" t="s">
        <v>815</v>
      </c>
      <c r="HJ165" s="3">
        <v>1</v>
      </c>
      <c r="HK165" s="3">
        <v>1</v>
      </c>
      <c r="HL165" s="12" t="s">
        <v>815</v>
      </c>
      <c r="HM165" s="3">
        <v>2</v>
      </c>
      <c r="HN165" s="12" t="s">
        <v>815</v>
      </c>
      <c r="HO165" s="3">
        <v>3</v>
      </c>
      <c r="HP165" s="12" t="s">
        <v>815</v>
      </c>
      <c r="HQ165" s="3">
        <v>3</v>
      </c>
      <c r="HR165" s="12" t="s">
        <v>815</v>
      </c>
      <c r="HS165" s="12" t="s">
        <v>815</v>
      </c>
      <c r="HT165" s="12" t="s">
        <v>815</v>
      </c>
      <c r="HU165" s="12" t="s">
        <v>815</v>
      </c>
      <c r="HV165" s="3">
        <v>3</v>
      </c>
      <c r="HW165" s="12" t="s">
        <v>815</v>
      </c>
      <c r="HX165" s="12" t="s">
        <v>815</v>
      </c>
      <c r="HY165" s="12" t="s">
        <v>815</v>
      </c>
      <c r="HZ165" s="3">
        <v>1</v>
      </c>
      <c r="IA165" s="3">
        <v>1</v>
      </c>
      <c r="IB165" s="12" t="s">
        <v>815</v>
      </c>
      <c r="IC165" s="3">
        <v>3</v>
      </c>
      <c r="ID165" s="3">
        <v>2</v>
      </c>
      <c r="IE165" s="12" t="s">
        <v>815</v>
      </c>
      <c r="IF165" s="3">
        <v>2</v>
      </c>
      <c r="IG165" s="3">
        <v>2</v>
      </c>
      <c r="IH165" s="3">
        <v>2</v>
      </c>
      <c r="II165" s="3">
        <v>2</v>
      </c>
      <c r="IJ165" s="3">
        <v>2</v>
      </c>
      <c r="IK165" s="3">
        <v>2</v>
      </c>
      <c r="IL165" s="3">
        <v>1</v>
      </c>
      <c r="IM165" s="12" t="s">
        <v>815</v>
      </c>
      <c r="IN165" s="12" t="s">
        <v>815</v>
      </c>
      <c r="IO165" s="12" t="s">
        <v>815</v>
      </c>
      <c r="IP165" s="3">
        <v>1</v>
      </c>
      <c r="IQ165" s="3">
        <v>3</v>
      </c>
      <c r="IR165" s="3" t="s">
        <v>1171</v>
      </c>
      <c r="IS165" s="3">
        <v>3</v>
      </c>
      <c r="IT165" s="3">
        <v>2</v>
      </c>
      <c r="IU165" s="12" t="s">
        <v>815</v>
      </c>
      <c r="IV165" s="3">
        <v>3</v>
      </c>
      <c r="IW165" s="3">
        <v>2</v>
      </c>
      <c r="IX165" s="3">
        <v>1</v>
      </c>
      <c r="IY165" s="3">
        <v>2</v>
      </c>
      <c r="IZ165" s="2" t="s">
        <v>816</v>
      </c>
    </row>
    <row r="166" spans="1:260" ht="13.2" x14ac:dyDescent="0.25">
      <c r="A166" s="10" t="s">
        <v>274</v>
      </c>
      <c r="B166" s="2" t="s">
        <v>1172</v>
      </c>
      <c r="C166" s="2" t="s">
        <v>261</v>
      </c>
      <c r="D166" s="2" t="s">
        <v>262</v>
      </c>
      <c r="E166" s="2">
        <v>41</v>
      </c>
      <c r="F166" s="11" t="s">
        <v>1173</v>
      </c>
      <c r="G166" s="11" t="s">
        <v>1174</v>
      </c>
      <c r="H166" s="2" t="s">
        <v>1175</v>
      </c>
      <c r="I166" s="3">
        <v>3</v>
      </c>
      <c r="J166" s="3">
        <v>3</v>
      </c>
      <c r="K166" s="3">
        <v>1</v>
      </c>
      <c r="L166" s="3">
        <v>3</v>
      </c>
      <c r="M166" s="3">
        <v>1</v>
      </c>
      <c r="N166" s="3">
        <v>1</v>
      </c>
      <c r="O166" s="3">
        <v>1</v>
      </c>
      <c r="P166" s="3">
        <v>1</v>
      </c>
      <c r="Q166" s="3">
        <v>1</v>
      </c>
      <c r="R166" s="12" t="s">
        <v>815</v>
      </c>
      <c r="S166" s="12" t="s">
        <v>815</v>
      </c>
      <c r="T166" s="3">
        <v>1</v>
      </c>
      <c r="U166" s="12" t="s">
        <v>815</v>
      </c>
      <c r="V166" s="12" t="s">
        <v>815</v>
      </c>
      <c r="W166" s="12" t="s">
        <v>815</v>
      </c>
      <c r="X166" s="12" t="s">
        <v>815</v>
      </c>
      <c r="Y166" s="3">
        <v>1</v>
      </c>
      <c r="Z166" s="3">
        <v>1</v>
      </c>
      <c r="AA166" s="12" t="s">
        <v>815</v>
      </c>
      <c r="AB166" s="12" t="s">
        <v>815</v>
      </c>
      <c r="AC166" s="12" t="s">
        <v>815</v>
      </c>
      <c r="AD166" s="12" t="s">
        <v>815</v>
      </c>
      <c r="AE166" s="12" t="s">
        <v>815</v>
      </c>
      <c r="AF166" s="3">
        <v>1</v>
      </c>
      <c r="AG166" s="3">
        <v>1</v>
      </c>
      <c r="AH166" s="12" t="s">
        <v>815</v>
      </c>
      <c r="AI166" s="3">
        <v>1</v>
      </c>
      <c r="AJ166" s="3">
        <v>1</v>
      </c>
      <c r="AK166" s="3">
        <v>2</v>
      </c>
      <c r="AL166" s="12" t="s">
        <v>815</v>
      </c>
      <c r="AM166" s="12" t="s">
        <v>815</v>
      </c>
      <c r="AN166" s="12" t="s">
        <v>815</v>
      </c>
      <c r="AO166" s="3">
        <v>3</v>
      </c>
      <c r="AP166" s="12" t="s">
        <v>815</v>
      </c>
      <c r="AQ166" s="3">
        <v>1</v>
      </c>
      <c r="AR166" s="12" t="s">
        <v>815</v>
      </c>
      <c r="AS166" s="12" t="s">
        <v>815</v>
      </c>
      <c r="AT166" s="12" t="s">
        <v>815</v>
      </c>
      <c r="AU166" s="3">
        <v>1</v>
      </c>
      <c r="AV166" s="12" t="s">
        <v>815</v>
      </c>
      <c r="AW166" s="3">
        <v>3</v>
      </c>
      <c r="AX166" s="12" t="s">
        <v>815</v>
      </c>
      <c r="AY166" s="3">
        <v>3</v>
      </c>
      <c r="AZ166" s="3">
        <v>3</v>
      </c>
      <c r="BA166" s="12" t="s">
        <v>815</v>
      </c>
      <c r="BB166" s="3">
        <v>1</v>
      </c>
      <c r="BC166" s="12" t="s">
        <v>815</v>
      </c>
      <c r="BD166" s="3">
        <v>2</v>
      </c>
      <c r="BE166" s="3">
        <v>3</v>
      </c>
      <c r="BF166" s="12" t="s">
        <v>815</v>
      </c>
      <c r="BG166" s="12" t="s">
        <v>815</v>
      </c>
      <c r="BH166" s="3">
        <v>2</v>
      </c>
      <c r="BI166" s="12" t="s">
        <v>815</v>
      </c>
      <c r="BJ166" s="3">
        <v>3</v>
      </c>
      <c r="BK166" s="3">
        <v>2</v>
      </c>
      <c r="BL166" s="12" t="s">
        <v>815</v>
      </c>
      <c r="BM166" s="3" t="s">
        <v>274</v>
      </c>
      <c r="BN166" s="3">
        <v>2</v>
      </c>
      <c r="BO166" s="12" t="s">
        <v>815</v>
      </c>
      <c r="BP166" s="12" t="s">
        <v>815</v>
      </c>
      <c r="BQ166" s="3">
        <v>3</v>
      </c>
      <c r="BR166" s="3">
        <v>2</v>
      </c>
      <c r="BS166" s="12" t="s">
        <v>815</v>
      </c>
      <c r="BT166" s="12" t="s">
        <v>815</v>
      </c>
      <c r="BU166" s="11" t="s">
        <v>815</v>
      </c>
      <c r="BV166" s="11" t="s">
        <v>815</v>
      </c>
      <c r="BW166" s="2">
        <v>1</v>
      </c>
      <c r="BX166" s="11" t="s">
        <v>815</v>
      </c>
      <c r="BY166" s="11" t="s">
        <v>815</v>
      </c>
      <c r="BZ166" s="2">
        <v>1</v>
      </c>
      <c r="CA166" s="11" t="s">
        <v>815</v>
      </c>
      <c r="CB166" s="11" t="s">
        <v>815</v>
      </c>
      <c r="CC166" s="11" t="s">
        <v>815</v>
      </c>
      <c r="CD166" s="11" t="s">
        <v>815</v>
      </c>
      <c r="CE166" s="11" t="s">
        <v>815</v>
      </c>
      <c r="CF166" s="11" t="s">
        <v>815</v>
      </c>
      <c r="CG166" s="11" t="s">
        <v>815</v>
      </c>
      <c r="CH166" s="11" t="s">
        <v>815</v>
      </c>
      <c r="CI166" s="2">
        <v>2</v>
      </c>
      <c r="CJ166" s="11" t="s">
        <v>815</v>
      </c>
      <c r="CK166" s="11" t="s">
        <v>815</v>
      </c>
      <c r="CL166" s="2">
        <v>2</v>
      </c>
      <c r="CM166" s="11" t="s">
        <v>815</v>
      </c>
      <c r="CN166" s="11" t="s">
        <v>815</v>
      </c>
      <c r="CO166" s="11" t="s">
        <v>815</v>
      </c>
      <c r="CP166" s="11" t="s">
        <v>815</v>
      </c>
      <c r="CQ166" s="2">
        <v>2</v>
      </c>
      <c r="CR166" s="11" t="s">
        <v>815</v>
      </c>
      <c r="CS166" s="11" t="s">
        <v>815</v>
      </c>
      <c r="CT166" s="11" t="s">
        <v>815</v>
      </c>
      <c r="CU166" s="11" t="s">
        <v>815</v>
      </c>
      <c r="CV166" s="11" t="s">
        <v>815</v>
      </c>
      <c r="CW166" s="11" t="s">
        <v>815</v>
      </c>
      <c r="CX166" s="11" t="s">
        <v>815</v>
      </c>
      <c r="CY166" s="11" t="s">
        <v>815</v>
      </c>
      <c r="CZ166" s="2">
        <v>1</v>
      </c>
      <c r="DA166" s="2">
        <v>3</v>
      </c>
      <c r="DB166" s="11" t="s">
        <v>815</v>
      </c>
      <c r="DC166" s="11" t="s">
        <v>815</v>
      </c>
      <c r="DD166" s="11" t="s">
        <v>815</v>
      </c>
      <c r="DE166" s="11" t="s">
        <v>815</v>
      </c>
      <c r="DF166" s="11" t="s">
        <v>815</v>
      </c>
      <c r="DG166" s="11" t="s">
        <v>815</v>
      </c>
      <c r="DH166" s="11" t="s">
        <v>815</v>
      </c>
      <c r="DI166" s="11" t="s">
        <v>815</v>
      </c>
      <c r="DJ166" s="11" t="s">
        <v>815</v>
      </c>
      <c r="DK166" s="11" t="s">
        <v>815</v>
      </c>
      <c r="DL166" s="11" t="s">
        <v>815</v>
      </c>
      <c r="DM166" s="11" t="s">
        <v>815</v>
      </c>
      <c r="DN166" s="11" t="s">
        <v>815</v>
      </c>
      <c r="DO166" s="2">
        <v>1</v>
      </c>
      <c r="DP166" s="11" t="s">
        <v>815</v>
      </c>
      <c r="DQ166" s="11" t="s">
        <v>815</v>
      </c>
      <c r="DR166" s="11" t="s">
        <v>815</v>
      </c>
      <c r="DS166" s="11" t="s">
        <v>815</v>
      </c>
      <c r="DT166" s="11" t="s">
        <v>815</v>
      </c>
      <c r="DU166" s="11" t="s">
        <v>815</v>
      </c>
      <c r="DV166" s="11" t="s">
        <v>815</v>
      </c>
      <c r="DW166" s="11" t="s">
        <v>815</v>
      </c>
      <c r="DX166" s="11" t="s">
        <v>815</v>
      </c>
      <c r="DY166" s="11" t="s">
        <v>815</v>
      </c>
      <c r="DZ166" s="11" t="s">
        <v>815</v>
      </c>
      <c r="EA166" s="11" t="s">
        <v>815</v>
      </c>
      <c r="EB166" s="11" t="s">
        <v>815</v>
      </c>
      <c r="EC166" s="2">
        <v>2</v>
      </c>
      <c r="ED166" s="11" t="s">
        <v>815</v>
      </c>
      <c r="EE166" s="2">
        <v>1</v>
      </c>
      <c r="EF166" s="11" t="s">
        <v>815</v>
      </c>
      <c r="EG166" s="11" t="s">
        <v>815</v>
      </c>
      <c r="EH166" s="11" t="s">
        <v>815</v>
      </c>
      <c r="EI166" s="11" t="s">
        <v>815</v>
      </c>
      <c r="EJ166" s="11" t="s">
        <v>815</v>
      </c>
      <c r="EK166" s="2">
        <v>2</v>
      </c>
      <c r="EL166" s="11" t="s">
        <v>815</v>
      </c>
      <c r="EM166" s="11" t="s">
        <v>815</v>
      </c>
      <c r="EN166" s="11" t="s">
        <v>815</v>
      </c>
      <c r="EO166" s="11" t="s">
        <v>815</v>
      </c>
      <c r="EP166" s="11" t="s">
        <v>815</v>
      </c>
      <c r="EQ166" s="11" t="s">
        <v>815</v>
      </c>
      <c r="ER166" s="11" t="s">
        <v>815</v>
      </c>
      <c r="ES166" s="11" t="s">
        <v>815</v>
      </c>
      <c r="ET166" s="11" t="s">
        <v>815</v>
      </c>
      <c r="EU166" s="11" t="s">
        <v>815</v>
      </c>
      <c r="EV166" s="11" t="s">
        <v>815</v>
      </c>
      <c r="EW166" s="2">
        <v>1</v>
      </c>
      <c r="EX166" s="11" t="s">
        <v>815</v>
      </c>
      <c r="EY166" s="11" t="s">
        <v>815</v>
      </c>
      <c r="EZ166" s="11" t="s">
        <v>815</v>
      </c>
      <c r="FA166" s="11" t="s">
        <v>815</v>
      </c>
      <c r="FB166" s="11" t="s">
        <v>815</v>
      </c>
      <c r="FC166" s="11" t="s">
        <v>815</v>
      </c>
      <c r="FD166" s="11" t="s">
        <v>815</v>
      </c>
      <c r="FE166" s="11" t="s">
        <v>815</v>
      </c>
      <c r="FF166" s="11" t="s">
        <v>815</v>
      </c>
      <c r="FG166" s="11" t="s">
        <v>815</v>
      </c>
      <c r="FH166" s="2">
        <v>2</v>
      </c>
      <c r="FI166" s="11" t="s">
        <v>815</v>
      </c>
      <c r="FJ166" s="11" t="s">
        <v>815</v>
      </c>
      <c r="FK166" s="2">
        <v>2</v>
      </c>
      <c r="FL166" s="2">
        <v>3</v>
      </c>
      <c r="FM166" s="2">
        <v>2</v>
      </c>
      <c r="FN166" s="11" t="s">
        <v>815</v>
      </c>
      <c r="FO166" s="2">
        <v>2</v>
      </c>
      <c r="FP166" s="11" t="s">
        <v>815</v>
      </c>
      <c r="FQ166" s="11" t="s">
        <v>815</v>
      </c>
      <c r="FR166" s="11" t="s">
        <v>815</v>
      </c>
      <c r="FS166" s="2">
        <v>1</v>
      </c>
      <c r="FT166" s="11" t="s">
        <v>815</v>
      </c>
      <c r="FU166" s="11" t="s">
        <v>815</v>
      </c>
      <c r="FV166" s="11" t="s">
        <v>815</v>
      </c>
      <c r="FW166" s="2">
        <v>1</v>
      </c>
      <c r="FX166" s="11" t="s">
        <v>815</v>
      </c>
      <c r="FY166" s="11" t="s">
        <v>815</v>
      </c>
      <c r="FZ166" s="11" t="s">
        <v>815</v>
      </c>
      <c r="GA166" s="11" t="s">
        <v>815</v>
      </c>
      <c r="GB166" s="11" t="s">
        <v>815</v>
      </c>
      <c r="GC166" s="2" t="s">
        <v>1176</v>
      </c>
      <c r="GD166" s="11" t="s">
        <v>815</v>
      </c>
      <c r="GE166" s="11" t="s">
        <v>815</v>
      </c>
      <c r="GF166" s="2">
        <v>2</v>
      </c>
      <c r="GG166" s="11" t="s">
        <v>815</v>
      </c>
      <c r="GH166" s="2">
        <v>2</v>
      </c>
      <c r="GI166" s="2">
        <v>3</v>
      </c>
      <c r="GJ166" s="2">
        <v>3</v>
      </c>
      <c r="GK166" s="11" t="s">
        <v>815</v>
      </c>
      <c r="GL166" s="2">
        <v>3</v>
      </c>
      <c r="GM166" s="11" t="s">
        <v>815</v>
      </c>
      <c r="GN166" s="3">
        <v>2</v>
      </c>
      <c r="GO166" s="3">
        <v>2</v>
      </c>
      <c r="GP166" s="12" t="s">
        <v>815</v>
      </c>
      <c r="GQ166" s="3">
        <v>3</v>
      </c>
      <c r="GR166" s="12" t="s">
        <v>815</v>
      </c>
      <c r="GS166" s="12" t="s">
        <v>815</v>
      </c>
      <c r="GT166" s="3">
        <v>1</v>
      </c>
      <c r="GU166" s="3">
        <v>3</v>
      </c>
      <c r="GV166" s="3">
        <v>2</v>
      </c>
      <c r="GW166" s="12" t="s">
        <v>815</v>
      </c>
      <c r="GX166" s="12" t="s">
        <v>815</v>
      </c>
      <c r="GY166" s="3">
        <v>3</v>
      </c>
      <c r="GZ166" s="12" t="s">
        <v>815</v>
      </c>
      <c r="HA166" s="12" t="s">
        <v>815</v>
      </c>
      <c r="HB166" s="12" t="s">
        <v>815</v>
      </c>
      <c r="HC166" s="3">
        <v>3</v>
      </c>
      <c r="HD166" s="12" t="s">
        <v>815</v>
      </c>
      <c r="HE166" s="12" t="s">
        <v>815</v>
      </c>
      <c r="HF166" s="12" t="s">
        <v>815</v>
      </c>
      <c r="HG166" s="3">
        <v>3</v>
      </c>
      <c r="HH166" s="12" t="s">
        <v>815</v>
      </c>
      <c r="HI166" s="3">
        <v>3</v>
      </c>
      <c r="HJ166" s="12" t="s">
        <v>815</v>
      </c>
      <c r="HK166" s="12" t="s">
        <v>815</v>
      </c>
      <c r="HL166" s="12" t="s">
        <v>815</v>
      </c>
      <c r="HM166" s="12" t="s">
        <v>815</v>
      </c>
      <c r="HN166" s="12" t="s">
        <v>815</v>
      </c>
      <c r="HO166" s="12" t="s">
        <v>815</v>
      </c>
      <c r="HP166" s="12" t="s">
        <v>815</v>
      </c>
      <c r="HQ166" s="12" t="s">
        <v>815</v>
      </c>
      <c r="HR166" s="12" t="s">
        <v>815</v>
      </c>
      <c r="HS166" s="12" t="s">
        <v>815</v>
      </c>
      <c r="HT166" s="12" t="s">
        <v>815</v>
      </c>
      <c r="HU166" s="12" t="s">
        <v>815</v>
      </c>
      <c r="HV166" s="12" t="s">
        <v>815</v>
      </c>
      <c r="HW166" s="3">
        <v>3</v>
      </c>
      <c r="HX166" s="12" t="s">
        <v>815</v>
      </c>
      <c r="HY166" s="12" t="s">
        <v>815</v>
      </c>
      <c r="HZ166" s="3">
        <v>4</v>
      </c>
      <c r="IA166" s="12" t="s">
        <v>815</v>
      </c>
      <c r="IB166" s="3">
        <v>3</v>
      </c>
      <c r="IC166" s="12" t="s">
        <v>815</v>
      </c>
      <c r="ID166" s="12" t="s">
        <v>815</v>
      </c>
      <c r="IE166" s="12" t="s">
        <v>815</v>
      </c>
      <c r="IF166" s="12" t="s">
        <v>815</v>
      </c>
      <c r="IG166" s="12" t="s">
        <v>815</v>
      </c>
      <c r="IH166" s="12" t="s">
        <v>815</v>
      </c>
      <c r="II166" s="3">
        <v>1</v>
      </c>
      <c r="IJ166" s="12" t="s">
        <v>815</v>
      </c>
      <c r="IK166" s="12" t="s">
        <v>815</v>
      </c>
      <c r="IL166" s="12" t="s">
        <v>815</v>
      </c>
      <c r="IM166" s="12" t="s">
        <v>815</v>
      </c>
      <c r="IN166" s="12" t="s">
        <v>815</v>
      </c>
      <c r="IO166" s="12" t="s">
        <v>815</v>
      </c>
      <c r="IP166" s="12" t="s">
        <v>815</v>
      </c>
      <c r="IQ166" s="12" t="s">
        <v>815</v>
      </c>
      <c r="IR166" s="3" t="s">
        <v>274</v>
      </c>
      <c r="IS166" s="3">
        <v>1</v>
      </c>
      <c r="IT166" s="12" t="s">
        <v>815</v>
      </c>
      <c r="IU166" s="3">
        <v>3</v>
      </c>
      <c r="IV166" s="12" t="s">
        <v>815</v>
      </c>
      <c r="IW166" s="12" t="s">
        <v>815</v>
      </c>
      <c r="IX166" s="12" t="s">
        <v>815</v>
      </c>
      <c r="IY166" s="12" t="s">
        <v>815</v>
      </c>
      <c r="IZ166" s="2" t="s">
        <v>816</v>
      </c>
    </row>
    <row r="167" spans="1:260" ht="13.2" x14ac:dyDescent="0.25">
      <c r="A167" s="10" t="s">
        <v>274</v>
      </c>
      <c r="B167" s="2" t="s">
        <v>1177</v>
      </c>
      <c r="C167" s="2" t="s">
        <v>276</v>
      </c>
      <c r="D167" s="2" t="s">
        <v>270</v>
      </c>
      <c r="E167" s="2">
        <v>21</v>
      </c>
      <c r="F167" s="11" t="s">
        <v>1178</v>
      </c>
      <c r="G167" s="11" t="s">
        <v>1179</v>
      </c>
      <c r="H167" s="2" t="s">
        <v>1180</v>
      </c>
      <c r="I167" s="3">
        <v>3</v>
      </c>
      <c r="J167" s="3">
        <v>3</v>
      </c>
      <c r="K167" s="3">
        <v>2</v>
      </c>
      <c r="L167" s="3">
        <v>3</v>
      </c>
      <c r="M167" s="3">
        <v>4</v>
      </c>
      <c r="N167" s="3">
        <v>3</v>
      </c>
      <c r="O167" s="3">
        <v>4</v>
      </c>
      <c r="P167" s="3">
        <v>2</v>
      </c>
      <c r="Q167" s="3">
        <v>3</v>
      </c>
      <c r="R167" s="12" t="s">
        <v>815</v>
      </c>
      <c r="S167" s="3">
        <v>3</v>
      </c>
      <c r="T167" s="3">
        <v>3</v>
      </c>
      <c r="U167" s="3">
        <v>3</v>
      </c>
      <c r="V167" s="12" t="s">
        <v>815</v>
      </c>
      <c r="W167" s="3">
        <v>3</v>
      </c>
      <c r="X167" s="3">
        <v>3</v>
      </c>
      <c r="Y167" s="3">
        <v>4</v>
      </c>
      <c r="Z167" s="3">
        <v>4</v>
      </c>
      <c r="AA167" s="3">
        <v>2</v>
      </c>
      <c r="AB167" s="3">
        <v>2</v>
      </c>
      <c r="AC167" s="3">
        <v>2</v>
      </c>
      <c r="AD167" s="3">
        <v>1</v>
      </c>
      <c r="AE167" s="3">
        <v>3</v>
      </c>
      <c r="AF167" s="12" t="s">
        <v>815</v>
      </c>
      <c r="AG167" s="12" t="s">
        <v>815</v>
      </c>
      <c r="AH167" s="12" t="s">
        <v>815</v>
      </c>
      <c r="AI167" s="3">
        <v>3</v>
      </c>
      <c r="AJ167" s="3">
        <v>4</v>
      </c>
      <c r="AK167" s="3">
        <v>3</v>
      </c>
      <c r="AL167" s="3">
        <v>4</v>
      </c>
      <c r="AM167" s="12" t="s">
        <v>815</v>
      </c>
      <c r="AN167" s="12" t="s">
        <v>815</v>
      </c>
      <c r="AO167" s="3">
        <v>4</v>
      </c>
      <c r="AP167" s="3">
        <v>2</v>
      </c>
      <c r="AQ167" s="3">
        <v>3</v>
      </c>
      <c r="AR167" s="12" t="s">
        <v>815</v>
      </c>
      <c r="AS167" s="3">
        <v>3</v>
      </c>
      <c r="AT167" s="12" t="s">
        <v>815</v>
      </c>
      <c r="AU167" s="3">
        <v>3</v>
      </c>
      <c r="AV167" s="12" t="s">
        <v>815</v>
      </c>
      <c r="AW167" s="3">
        <v>2</v>
      </c>
      <c r="AX167" s="12" t="s">
        <v>815</v>
      </c>
      <c r="AY167" s="12" t="s">
        <v>815</v>
      </c>
      <c r="AZ167" s="3">
        <v>2</v>
      </c>
      <c r="BA167" s="12" t="s">
        <v>815</v>
      </c>
      <c r="BB167" s="12" t="s">
        <v>815</v>
      </c>
      <c r="BC167" s="12" t="s">
        <v>815</v>
      </c>
      <c r="BD167" s="3">
        <v>2</v>
      </c>
      <c r="BE167" s="3">
        <v>3</v>
      </c>
      <c r="BF167" s="3">
        <v>4</v>
      </c>
      <c r="BG167" s="3">
        <v>4</v>
      </c>
      <c r="BH167" s="3">
        <v>4</v>
      </c>
      <c r="BI167" s="3">
        <v>1</v>
      </c>
      <c r="BJ167" s="12" t="s">
        <v>815</v>
      </c>
      <c r="BK167" s="3">
        <v>2</v>
      </c>
      <c r="BL167" s="12" t="s">
        <v>815</v>
      </c>
      <c r="BM167" s="3" t="s">
        <v>1181</v>
      </c>
      <c r="BN167" s="3">
        <v>2</v>
      </c>
      <c r="BO167" s="3">
        <v>4</v>
      </c>
      <c r="BP167" s="3">
        <v>4</v>
      </c>
      <c r="BQ167" s="3">
        <v>4</v>
      </c>
      <c r="BR167" s="3">
        <v>2</v>
      </c>
      <c r="BS167" s="3">
        <v>2</v>
      </c>
      <c r="BT167" s="3">
        <v>2</v>
      </c>
      <c r="BU167" s="2">
        <v>3</v>
      </c>
      <c r="BV167" s="2">
        <v>2</v>
      </c>
      <c r="BW167" s="2">
        <v>3</v>
      </c>
      <c r="BX167" s="11" t="s">
        <v>815</v>
      </c>
      <c r="BY167" s="11" t="s">
        <v>815</v>
      </c>
      <c r="BZ167" s="2">
        <v>3</v>
      </c>
      <c r="CA167" s="11" t="s">
        <v>815</v>
      </c>
      <c r="CB167" s="11" t="s">
        <v>815</v>
      </c>
      <c r="CC167" s="2">
        <v>3</v>
      </c>
      <c r="CD167" s="2">
        <v>3</v>
      </c>
      <c r="CE167" s="11" t="s">
        <v>815</v>
      </c>
      <c r="CF167" s="2">
        <v>3</v>
      </c>
      <c r="CG167" s="11" t="s">
        <v>815</v>
      </c>
      <c r="CH167" s="2">
        <v>3</v>
      </c>
      <c r="CI167" s="11" t="s">
        <v>815</v>
      </c>
      <c r="CJ167" s="2">
        <v>2</v>
      </c>
      <c r="CK167" s="2">
        <v>3</v>
      </c>
      <c r="CL167" s="2">
        <v>3</v>
      </c>
      <c r="CM167" s="11" t="s">
        <v>815</v>
      </c>
      <c r="CN167" s="11" t="s">
        <v>815</v>
      </c>
      <c r="CO167" s="11" t="s">
        <v>815</v>
      </c>
      <c r="CP167" s="2">
        <v>3</v>
      </c>
      <c r="CQ167" s="2">
        <v>3</v>
      </c>
      <c r="CR167" s="2">
        <v>2</v>
      </c>
      <c r="CS167" s="2">
        <v>2</v>
      </c>
      <c r="CT167" s="2">
        <v>1</v>
      </c>
      <c r="CU167" s="2">
        <v>3</v>
      </c>
      <c r="CV167" s="11" t="s">
        <v>815</v>
      </c>
      <c r="CW167" s="2">
        <v>1</v>
      </c>
      <c r="CX167" s="11" t="s">
        <v>815</v>
      </c>
      <c r="CY167" s="2">
        <v>3</v>
      </c>
      <c r="CZ167" s="11" t="s">
        <v>815</v>
      </c>
      <c r="DA167" s="2">
        <v>3</v>
      </c>
      <c r="DB167" s="2">
        <v>3</v>
      </c>
      <c r="DC167" s="11" t="s">
        <v>815</v>
      </c>
      <c r="DD167" s="11" t="s">
        <v>815</v>
      </c>
      <c r="DE167" s="2">
        <v>2</v>
      </c>
      <c r="DF167" s="2">
        <v>3</v>
      </c>
      <c r="DG167" s="2">
        <v>2</v>
      </c>
      <c r="DH167" s="2">
        <v>4</v>
      </c>
      <c r="DI167" s="2">
        <v>2</v>
      </c>
      <c r="DJ167" s="11" t="s">
        <v>815</v>
      </c>
      <c r="DK167" s="2">
        <v>4</v>
      </c>
      <c r="DL167" s="2">
        <v>3</v>
      </c>
      <c r="DM167" s="11" t="s">
        <v>815</v>
      </c>
      <c r="DN167" s="11" t="s">
        <v>815</v>
      </c>
      <c r="DO167" s="2">
        <v>3</v>
      </c>
      <c r="DP167" s="11" t="s">
        <v>815</v>
      </c>
      <c r="DQ167" s="2">
        <v>2</v>
      </c>
      <c r="DR167" s="11" t="s">
        <v>815</v>
      </c>
      <c r="DS167" s="2">
        <v>2</v>
      </c>
      <c r="DT167" s="11" t="s">
        <v>815</v>
      </c>
      <c r="DU167" s="11" t="s">
        <v>815</v>
      </c>
      <c r="DV167" s="11" t="s">
        <v>815</v>
      </c>
      <c r="DW167" s="11" t="s">
        <v>815</v>
      </c>
      <c r="DX167" s="2">
        <v>4</v>
      </c>
      <c r="DY167" s="2">
        <v>4</v>
      </c>
      <c r="DZ167" s="2">
        <v>3</v>
      </c>
      <c r="EA167" s="11" t="s">
        <v>815</v>
      </c>
      <c r="EB167" s="2">
        <v>2</v>
      </c>
      <c r="EC167" s="11" t="s">
        <v>815</v>
      </c>
      <c r="ED167" s="11" t="s">
        <v>815</v>
      </c>
      <c r="EE167" s="11" t="s">
        <v>815</v>
      </c>
      <c r="EF167" s="11" t="s">
        <v>815</v>
      </c>
      <c r="EG167" s="11" t="s">
        <v>815</v>
      </c>
      <c r="EH167" s="2">
        <v>3</v>
      </c>
      <c r="EI167" s="2">
        <v>3</v>
      </c>
      <c r="EJ167" s="2">
        <v>3</v>
      </c>
      <c r="EK167" s="11" t="s">
        <v>815</v>
      </c>
      <c r="EL167" s="11" t="s">
        <v>815</v>
      </c>
      <c r="EM167" s="11" t="s">
        <v>815</v>
      </c>
      <c r="EN167" s="11" t="s">
        <v>815</v>
      </c>
      <c r="EO167" s="11" t="s">
        <v>815</v>
      </c>
      <c r="EP167" s="11" t="s">
        <v>815</v>
      </c>
      <c r="EQ167" s="11" t="s">
        <v>815</v>
      </c>
      <c r="ER167" s="11" t="s">
        <v>815</v>
      </c>
      <c r="ES167" s="11" t="s">
        <v>815</v>
      </c>
      <c r="ET167" s="2">
        <v>3</v>
      </c>
      <c r="EU167" s="2">
        <v>3</v>
      </c>
      <c r="EV167" s="2">
        <v>1</v>
      </c>
      <c r="EW167" s="2">
        <v>2</v>
      </c>
      <c r="EX167" s="2">
        <v>3</v>
      </c>
      <c r="EY167" s="11" t="s">
        <v>815</v>
      </c>
      <c r="EZ167" s="2">
        <v>3</v>
      </c>
      <c r="FA167" s="11" t="s">
        <v>815</v>
      </c>
      <c r="FB167" s="2">
        <v>2</v>
      </c>
      <c r="FC167" s="2">
        <v>2</v>
      </c>
      <c r="FD167" s="2">
        <v>1</v>
      </c>
      <c r="FE167" s="11" t="s">
        <v>815</v>
      </c>
      <c r="FF167" s="11" t="s">
        <v>815</v>
      </c>
      <c r="FG167" s="11" t="s">
        <v>815</v>
      </c>
      <c r="FH167" s="11" t="s">
        <v>815</v>
      </c>
      <c r="FI167" s="11" t="s">
        <v>815</v>
      </c>
      <c r="FJ167" s="11" t="s">
        <v>815</v>
      </c>
      <c r="FK167" s="11" t="s">
        <v>815</v>
      </c>
      <c r="FL167" s="2">
        <v>2</v>
      </c>
      <c r="FM167" s="11" t="s">
        <v>815</v>
      </c>
      <c r="FN167" s="11" t="s">
        <v>815</v>
      </c>
      <c r="FO167" s="11" t="s">
        <v>815</v>
      </c>
      <c r="FP167" s="11" t="s">
        <v>815</v>
      </c>
      <c r="FQ167" s="11" t="s">
        <v>815</v>
      </c>
      <c r="FR167" s="2">
        <v>3</v>
      </c>
      <c r="FS167" s="11" t="s">
        <v>815</v>
      </c>
      <c r="FT167" s="11" t="s">
        <v>815</v>
      </c>
      <c r="FU167" s="2">
        <v>2</v>
      </c>
      <c r="FV167" s="2">
        <v>3</v>
      </c>
      <c r="FW167" s="2">
        <v>2</v>
      </c>
      <c r="FX167" s="2">
        <v>3</v>
      </c>
      <c r="FY167" s="11" t="s">
        <v>815</v>
      </c>
      <c r="FZ167" s="2">
        <v>2</v>
      </c>
      <c r="GA167" s="2">
        <v>3</v>
      </c>
      <c r="GB167" s="11" t="s">
        <v>815</v>
      </c>
      <c r="GC167" s="2" t="s">
        <v>1182</v>
      </c>
      <c r="GD167" s="11" t="s">
        <v>815</v>
      </c>
      <c r="GE167" s="2">
        <v>3</v>
      </c>
      <c r="GF167" s="2">
        <v>2</v>
      </c>
      <c r="GG167" s="2">
        <v>2</v>
      </c>
      <c r="GH167" s="2">
        <v>3</v>
      </c>
      <c r="GI167" s="2">
        <v>2</v>
      </c>
      <c r="GJ167" s="2">
        <v>2</v>
      </c>
      <c r="GK167" s="11" t="s">
        <v>815</v>
      </c>
      <c r="GL167" s="2">
        <v>3</v>
      </c>
      <c r="GM167" s="2">
        <v>2</v>
      </c>
      <c r="GN167" s="3">
        <v>3</v>
      </c>
      <c r="GO167" s="3">
        <v>3</v>
      </c>
      <c r="GP167" s="3">
        <v>2</v>
      </c>
      <c r="GQ167" s="3">
        <v>2</v>
      </c>
      <c r="GR167" s="3">
        <v>2</v>
      </c>
      <c r="GS167" s="12" t="s">
        <v>815</v>
      </c>
      <c r="GT167" s="3">
        <v>2</v>
      </c>
      <c r="GU167" s="3">
        <v>3</v>
      </c>
      <c r="GV167" s="3">
        <v>3</v>
      </c>
      <c r="GW167" s="12" t="s">
        <v>815</v>
      </c>
      <c r="GX167" s="12" t="s">
        <v>815</v>
      </c>
      <c r="GY167" s="3">
        <v>2</v>
      </c>
      <c r="GZ167" s="3">
        <v>3</v>
      </c>
      <c r="HA167" s="12" t="s">
        <v>815</v>
      </c>
      <c r="HB167" s="3">
        <v>2</v>
      </c>
      <c r="HC167" s="3">
        <v>2</v>
      </c>
      <c r="HD167" s="12" t="s">
        <v>815</v>
      </c>
      <c r="HE167" s="12" t="s">
        <v>815</v>
      </c>
      <c r="HF167" s="12" t="s">
        <v>815</v>
      </c>
      <c r="HG167" s="12" t="s">
        <v>815</v>
      </c>
      <c r="HH167" s="3">
        <v>3</v>
      </c>
      <c r="HI167" s="3">
        <v>3</v>
      </c>
      <c r="HJ167" s="3">
        <v>2</v>
      </c>
      <c r="HK167" s="3">
        <v>2</v>
      </c>
      <c r="HL167" s="3">
        <v>3</v>
      </c>
      <c r="HM167" s="3">
        <v>2</v>
      </c>
      <c r="HN167" s="3">
        <v>2</v>
      </c>
      <c r="HO167" s="3">
        <v>3</v>
      </c>
      <c r="HP167" s="3">
        <v>3</v>
      </c>
      <c r="HQ167" s="3">
        <v>3</v>
      </c>
      <c r="HR167" s="3">
        <v>2</v>
      </c>
      <c r="HS167" s="3">
        <v>2</v>
      </c>
      <c r="HT167" s="12" t="s">
        <v>815</v>
      </c>
      <c r="HU167" s="12" t="s">
        <v>815</v>
      </c>
      <c r="HV167" s="3">
        <v>4</v>
      </c>
      <c r="HW167" s="3">
        <v>3</v>
      </c>
      <c r="HX167" s="12" t="s">
        <v>815</v>
      </c>
      <c r="HY167" s="12" t="s">
        <v>815</v>
      </c>
      <c r="HZ167" s="12" t="s">
        <v>815</v>
      </c>
      <c r="IA167" s="3">
        <v>3</v>
      </c>
      <c r="IB167" s="3">
        <v>3</v>
      </c>
      <c r="IC167" s="12" t="s">
        <v>815</v>
      </c>
      <c r="ID167" s="3">
        <v>2</v>
      </c>
      <c r="IE167" s="3">
        <v>2</v>
      </c>
      <c r="IF167" s="3">
        <v>2</v>
      </c>
      <c r="IG167" s="12" t="s">
        <v>815</v>
      </c>
      <c r="IH167" s="3">
        <v>2</v>
      </c>
      <c r="II167" s="12" t="s">
        <v>815</v>
      </c>
      <c r="IJ167" s="3">
        <v>2</v>
      </c>
      <c r="IK167" s="12" t="s">
        <v>815</v>
      </c>
      <c r="IL167" s="12" t="s">
        <v>815</v>
      </c>
      <c r="IM167" s="12" t="s">
        <v>815</v>
      </c>
      <c r="IN167" s="12" t="s">
        <v>815</v>
      </c>
      <c r="IO167" s="12" t="s">
        <v>815</v>
      </c>
      <c r="IP167" s="3">
        <v>1</v>
      </c>
      <c r="IQ167" s="3">
        <v>3</v>
      </c>
      <c r="IR167" s="3" t="s">
        <v>274</v>
      </c>
      <c r="IS167" s="3">
        <v>3</v>
      </c>
      <c r="IT167" s="3">
        <v>2</v>
      </c>
      <c r="IU167" s="3">
        <v>3</v>
      </c>
      <c r="IV167" s="3">
        <v>1</v>
      </c>
      <c r="IW167" s="3">
        <v>2</v>
      </c>
      <c r="IX167" s="12" t="s">
        <v>815</v>
      </c>
      <c r="IY167" s="12" t="s">
        <v>815</v>
      </c>
      <c r="IZ167" s="2" t="s">
        <v>816</v>
      </c>
    </row>
    <row r="168" spans="1:260" ht="13.2" x14ac:dyDescent="0.25">
      <c r="A168" s="10" t="s">
        <v>274</v>
      </c>
      <c r="B168" s="2" t="s">
        <v>1183</v>
      </c>
      <c r="C168" s="2" t="s">
        <v>276</v>
      </c>
      <c r="D168" s="2" t="s">
        <v>262</v>
      </c>
      <c r="E168" s="2">
        <v>36</v>
      </c>
      <c r="F168" s="11" t="s">
        <v>1184</v>
      </c>
      <c r="G168" s="11" t="s">
        <v>1185</v>
      </c>
      <c r="H168" s="2" t="s">
        <v>1186</v>
      </c>
      <c r="I168" s="3">
        <v>2</v>
      </c>
      <c r="J168" s="3">
        <v>2</v>
      </c>
      <c r="K168" s="3">
        <v>2</v>
      </c>
      <c r="L168" s="3">
        <v>3</v>
      </c>
      <c r="M168" s="3">
        <v>3</v>
      </c>
      <c r="N168" s="3">
        <v>2</v>
      </c>
      <c r="O168" s="3">
        <v>2</v>
      </c>
      <c r="P168" s="3">
        <v>3</v>
      </c>
      <c r="Q168" s="3">
        <v>2</v>
      </c>
      <c r="R168" s="3">
        <v>2</v>
      </c>
      <c r="S168" s="3">
        <v>1</v>
      </c>
      <c r="T168" s="3">
        <v>1</v>
      </c>
      <c r="U168" s="3">
        <v>1</v>
      </c>
      <c r="V168" s="3">
        <v>2</v>
      </c>
      <c r="W168" s="3">
        <v>2</v>
      </c>
      <c r="X168" s="3">
        <v>3</v>
      </c>
      <c r="Y168" s="3">
        <v>2</v>
      </c>
      <c r="Z168" s="3">
        <v>3</v>
      </c>
      <c r="AA168" s="3">
        <v>4</v>
      </c>
      <c r="AB168" s="3">
        <v>4</v>
      </c>
      <c r="AC168" s="3">
        <v>4</v>
      </c>
      <c r="AD168" s="3">
        <v>4</v>
      </c>
      <c r="AE168" s="3">
        <v>4</v>
      </c>
      <c r="AF168" s="12" t="s">
        <v>815</v>
      </c>
      <c r="AG168" s="12" t="s">
        <v>815</v>
      </c>
      <c r="AH168" s="12" t="s">
        <v>815</v>
      </c>
      <c r="AI168" s="3">
        <v>2</v>
      </c>
      <c r="AJ168" s="3">
        <v>2</v>
      </c>
      <c r="AK168" s="3">
        <v>2</v>
      </c>
      <c r="AL168" s="3">
        <v>2</v>
      </c>
      <c r="AM168" s="3">
        <v>1</v>
      </c>
      <c r="AN168" s="3">
        <v>1</v>
      </c>
      <c r="AO168" s="3">
        <v>2</v>
      </c>
      <c r="AP168" s="3">
        <v>2</v>
      </c>
      <c r="AQ168" s="3">
        <v>2</v>
      </c>
      <c r="AR168" s="3">
        <v>2</v>
      </c>
      <c r="AS168" s="3">
        <v>2</v>
      </c>
      <c r="AT168" s="3">
        <v>2</v>
      </c>
      <c r="AU168" s="3">
        <v>3</v>
      </c>
      <c r="AV168" s="3">
        <v>3</v>
      </c>
      <c r="AW168" s="3">
        <v>1</v>
      </c>
      <c r="AX168" s="3">
        <v>2</v>
      </c>
      <c r="AY168" s="3">
        <v>2</v>
      </c>
      <c r="AZ168" s="3">
        <v>2</v>
      </c>
      <c r="BA168" s="3">
        <v>2</v>
      </c>
      <c r="BB168" s="3">
        <v>4</v>
      </c>
      <c r="BC168" s="3">
        <v>4</v>
      </c>
      <c r="BD168" s="3">
        <v>4</v>
      </c>
      <c r="BE168" s="3">
        <v>2</v>
      </c>
      <c r="BF168" s="3">
        <v>2</v>
      </c>
      <c r="BG168" s="3">
        <v>2</v>
      </c>
      <c r="BH168" s="3">
        <v>3</v>
      </c>
      <c r="BI168" s="3">
        <v>4</v>
      </c>
      <c r="BJ168" s="3">
        <v>3</v>
      </c>
      <c r="BK168" s="3">
        <v>1</v>
      </c>
      <c r="BL168" s="3">
        <v>1</v>
      </c>
      <c r="BM168" s="3" t="s">
        <v>274</v>
      </c>
      <c r="BN168" s="3">
        <v>2</v>
      </c>
      <c r="BO168" s="3">
        <v>2</v>
      </c>
      <c r="BP168" s="3">
        <v>4</v>
      </c>
      <c r="BQ168" s="3">
        <v>2</v>
      </c>
      <c r="BR168" s="3">
        <v>2</v>
      </c>
      <c r="BS168" s="3">
        <v>2</v>
      </c>
      <c r="BT168" s="3">
        <v>2</v>
      </c>
      <c r="BU168" s="2">
        <v>1</v>
      </c>
      <c r="BV168" s="2">
        <v>2</v>
      </c>
      <c r="BW168" s="2">
        <v>2</v>
      </c>
      <c r="BX168" s="2">
        <v>1</v>
      </c>
      <c r="BY168" s="2">
        <v>1</v>
      </c>
      <c r="BZ168" s="2">
        <v>1</v>
      </c>
      <c r="CA168" s="2">
        <v>1</v>
      </c>
      <c r="CB168" s="2">
        <v>2</v>
      </c>
      <c r="CC168" s="2">
        <v>1</v>
      </c>
      <c r="CD168" s="2">
        <v>1</v>
      </c>
      <c r="CE168" s="2">
        <v>2</v>
      </c>
      <c r="CF168" s="2">
        <v>1</v>
      </c>
      <c r="CG168" s="2">
        <v>1</v>
      </c>
      <c r="CH168" s="2">
        <v>1</v>
      </c>
      <c r="CI168" s="2">
        <v>1</v>
      </c>
      <c r="CJ168" s="2">
        <v>1</v>
      </c>
      <c r="CK168" s="2">
        <v>2</v>
      </c>
      <c r="CL168" s="2">
        <v>2</v>
      </c>
      <c r="CM168" s="2">
        <v>1</v>
      </c>
      <c r="CN168" s="2">
        <v>1</v>
      </c>
      <c r="CO168" s="2">
        <v>1</v>
      </c>
      <c r="CP168" s="2">
        <v>1</v>
      </c>
      <c r="CQ168" s="2">
        <v>2</v>
      </c>
      <c r="CR168" s="2">
        <v>1</v>
      </c>
      <c r="CS168" s="2">
        <v>1</v>
      </c>
      <c r="CT168" s="2">
        <v>1</v>
      </c>
      <c r="CU168" s="2">
        <v>2</v>
      </c>
      <c r="CV168" s="2">
        <v>1</v>
      </c>
      <c r="CW168" s="2">
        <v>1</v>
      </c>
      <c r="CX168" s="2">
        <v>1</v>
      </c>
      <c r="CY168" s="2">
        <v>1</v>
      </c>
      <c r="CZ168" s="2">
        <v>1</v>
      </c>
      <c r="DA168" s="2">
        <v>1</v>
      </c>
      <c r="DB168" s="2">
        <v>1</v>
      </c>
      <c r="DC168" s="2">
        <v>1</v>
      </c>
      <c r="DD168" s="2">
        <v>1</v>
      </c>
      <c r="DE168" s="2">
        <v>1</v>
      </c>
      <c r="DF168" s="2">
        <v>2</v>
      </c>
      <c r="DG168" s="2">
        <v>2</v>
      </c>
      <c r="DH168" s="2">
        <v>1</v>
      </c>
      <c r="DI168" s="2">
        <v>1</v>
      </c>
      <c r="DJ168" s="11" t="s">
        <v>815</v>
      </c>
      <c r="DK168" s="11" t="s">
        <v>815</v>
      </c>
      <c r="DL168" s="2">
        <v>1</v>
      </c>
      <c r="DM168" s="2">
        <v>1</v>
      </c>
      <c r="DN168" s="2">
        <v>1</v>
      </c>
      <c r="DO168" s="2">
        <v>1</v>
      </c>
      <c r="DP168" s="2">
        <v>3</v>
      </c>
      <c r="DQ168" s="2">
        <v>3</v>
      </c>
      <c r="DR168" s="2">
        <v>2</v>
      </c>
      <c r="DS168" s="2">
        <v>1</v>
      </c>
      <c r="DT168" s="2">
        <v>1</v>
      </c>
      <c r="DU168" s="2">
        <v>1</v>
      </c>
      <c r="DV168" s="2">
        <v>1</v>
      </c>
      <c r="DW168" s="11" t="s">
        <v>815</v>
      </c>
      <c r="DX168" s="2">
        <v>2</v>
      </c>
      <c r="DY168" s="2">
        <v>1</v>
      </c>
      <c r="DZ168" s="11" t="s">
        <v>815</v>
      </c>
      <c r="EA168" s="11" t="s">
        <v>815</v>
      </c>
      <c r="EB168" s="11" t="s">
        <v>815</v>
      </c>
      <c r="EC168" s="11" t="s">
        <v>815</v>
      </c>
      <c r="ED168" s="11" t="s">
        <v>815</v>
      </c>
      <c r="EE168" s="11" t="s">
        <v>815</v>
      </c>
      <c r="EF168" s="11" t="s">
        <v>815</v>
      </c>
      <c r="EG168" s="11" t="s">
        <v>815</v>
      </c>
      <c r="EH168" s="11" t="s">
        <v>815</v>
      </c>
      <c r="EI168" s="2">
        <v>1</v>
      </c>
      <c r="EJ168" s="2">
        <v>1</v>
      </c>
      <c r="EK168" s="2">
        <v>1</v>
      </c>
      <c r="EL168" s="2">
        <v>1</v>
      </c>
      <c r="EM168" s="2">
        <v>1</v>
      </c>
      <c r="EN168" s="2">
        <v>2</v>
      </c>
      <c r="EO168" s="2">
        <v>1</v>
      </c>
      <c r="EP168" s="2">
        <v>1</v>
      </c>
      <c r="EQ168" s="2">
        <v>1</v>
      </c>
      <c r="ER168" s="2">
        <v>1</v>
      </c>
      <c r="ES168" s="2">
        <v>1</v>
      </c>
      <c r="ET168" s="2">
        <v>1</v>
      </c>
      <c r="EU168" s="2">
        <v>2</v>
      </c>
      <c r="EV168" s="2">
        <v>2</v>
      </c>
      <c r="EW168" s="2">
        <v>2</v>
      </c>
      <c r="EX168" s="2">
        <v>1</v>
      </c>
      <c r="EY168" s="2">
        <v>2</v>
      </c>
      <c r="EZ168" s="2">
        <v>1</v>
      </c>
      <c r="FA168" s="2">
        <v>2</v>
      </c>
      <c r="FB168" s="2">
        <v>2</v>
      </c>
      <c r="FC168" s="2">
        <v>2</v>
      </c>
      <c r="FD168" s="2">
        <v>1</v>
      </c>
      <c r="FE168" s="2">
        <v>1</v>
      </c>
      <c r="FF168" s="2">
        <v>2</v>
      </c>
      <c r="FG168" s="2">
        <v>2</v>
      </c>
      <c r="FH168" s="2">
        <v>2</v>
      </c>
      <c r="FI168" s="2">
        <v>2</v>
      </c>
      <c r="FJ168" s="2">
        <v>1</v>
      </c>
      <c r="FK168" s="2">
        <v>1</v>
      </c>
      <c r="FL168" s="2">
        <v>1</v>
      </c>
      <c r="FM168" s="2">
        <v>1</v>
      </c>
      <c r="FN168" s="2">
        <v>1</v>
      </c>
      <c r="FO168" s="2">
        <v>1</v>
      </c>
      <c r="FP168" s="2">
        <v>1</v>
      </c>
      <c r="FQ168" s="2">
        <v>2</v>
      </c>
      <c r="FR168" s="2">
        <v>1</v>
      </c>
      <c r="FS168" s="2">
        <v>2</v>
      </c>
      <c r="FT168" s="2">
        <v>2</v>
      </c>
      <c r="FU168" s="2">
        <v>1</v>
      </c>
      <c r="FV168" s="2">
        <v>1</v>
      </c>
      <c r="FW168" s="2">
        <v>1</v>
      </c>
      <c r="FX168" s="2">
        <v>1</v>
      </c>
      <c r="FY168" s="2">
        <v>1</v>
      </c>
      <c r="FZ168" s="2">
        <v>1</v>
      </c>
      <c r="GA168" s="2">
        <v>1</v>
      </c>
      <c r="GB168" s="2">
        <v>1</v>
      </c>
      <c r="GC168" s="2" t="s">
        <v>274</v>
      </c>
      <c r="GD168" s="2">
        <v>2</v>
      </c>
      <c r="GE168" s="2">
        <v>1</v>
      </c>
      <c r="GF168" s="2">
        <v>2</v>
      </c>
      <c r="GG168" s="2">
        <v>4</v>
      </c>
      <c r="GH168" s="2">
        <v>2</v>
      </c>
      <c r="GI168" s="2">
        <v>1</v>
      </c>
      <c r="GJ168" s="2">
        <v>1</v>
      </c>
      <c r="GK168" s="2">
        <v>4</v>
      </c>
      <c r="GL168" s="2">
        <v>1</v>
      </c>
      <c r="GM168" s="2">
        <v>2</v>
      </c>
      <c r="GN168" s="3">
        <v>4</v>
      </c>
      <c r="GO168" s="3">
        <v>2</v>
      </c>
      <c r="GP168" s="3">
        <v>1</v>
      </c>
      <c r="GQ168" s="3">
        <v>1</v>
      </c>
      <c r="GR168" s="3">
        <v>1</v>
      </c>
      <c r="GS168" s="3">
        <v>1</v>
      </c>
      <c r="GT168" s="3">
        <v>2</v>
      </c>
      <c r="GU168" s="3">
        <v>1</v>
      </c>
      <c r="GV168" s="3">
        <v>2</v>
      </c>
      <c r="GW168" s="3">
        <v>1</v>
      </c>
      <c r="GX168" s="12" t="s">
        <v>815</v>
      </c>
      <c r="GY168" s="3">
        <v>1</v>
      </c>
      <c r="GZ168" s="3">
        <v>1</v>
      </c>
      <c r="HA168" s="3">
        <v>1</v>
      </c>
      <c r="HB168" s="3">
        <v>1</v>
      </c>
      <c r="HC168" s="3">
        <v>1</v>
      </c>
      <c r="HD168" s="3">
        <v>1</v>
      </c>
      <c r="HE168" s="12" t="s">
        <v>815</v>
      </c>
      <c r="HF168" s="12" t="s">
        <v>815</v>
      </c>
      <c r="HG168" s="12" t="s">
        <v>815</v>
      </c>
      <c r="HH168" s="3">
        <v>2</v>
      </c>
      <c r="HI168" s="3">
        <v>1</v>
      </c>
      <c r="HJ168" s="3">
        <v>2</v>
      </c>
      <c r="HK168" s="3">
        <v>2</v>
      </c>
      <c r="HL168" s="3">
        <v>1</v>
      </c>
      <c r="HM168" s="3">
        <v>1</v>
      </c>
      <c r="HN168" s="12" t="s">
        <v>815</v>
      </c>
      <c r="HO168" s="3">
        <v>1</v>
      </c>
      <c r="HP168" s="12" t="s">
        <v>815</v>
      </c>
      <c r="HQ168" s="12" t="s">
        <v>815</v>
      </c>
      <c r="HR168" s="12" t="s">
        <v>815</v>
      </c>
      <c r="HS168" s="12" t="s">
        <v>815</v>
      </c>
      <c r="HT168" s="12" t="s">
        <v>815</v>
      </c>
      <c r="HU168" s="12" t="s">
        <v>815</v>
      </c>
      <c r="HV168" s="3">
        <v>3</v>
      </c>
      <c r="HW168" s="12" t="s">
        <v>815</v>
      </c>
      <c r="HX168" s="12" t="s">
        <v>815</v>
      </c>
      <c r="HY168" s="12" t="s">
        <v>815</v>
      </c>
      <c r="HZ168" s="12" t="s">
        <v>815</v>
      </c>
      <c r="IA168" s="3">
        <v>1</v>
      </c>
      <c r="IB168" s="3">
        <v>1</v>
      </c>
      <c r="IC168" s="3">
        <v>1</v>
      </c>
      <c r="ID168" s="12" t="s">
        <v>815</v>
      </c>
      <c r="IE168" s="3">
        <v>1</v>
      </c>
      <c r="IF168" s="3">
        <v>1</v>
      </c>
      <c r="IG168" s="3">
        <v>1</v>
      </c>
      <c r="IH168" s="12" t="s">
        <v>815</v>
      </c>
      <c r="II168" s="12" t="s">
        <v>815</v>
      </c>
      <c r="IJ168" s="12" t="s">
        <v>815</v>
      </c>
      <c r="IK168" s="12" t="s">
        <v>815</v>
      </c>
      <c r="IL168" s="12" t="s">
        <v>815</v>
      </c>
      <c r="IM168" s="12" t="s">
        <v>815</v>
      </c>
      <c r="IN168" s="12" t="s">
        <v>815</v>
      </c>
      <c r="IO168" s="3">
        <v>2</v>
      </c>
      <c r="IP168" s="12" t="s">
        <v>815</v>
      </c>
      <c r="IQ168" s="12" t="s">
        <v>815</v>
      </c>
      <c r="IR168" s="3" t="s">
        <v>274</v>
      </c>
      <c r="IS168" s="3">
        <v>1</v>
      </c>
      <c r="IT168" s="3">
        <v>2</v>
      </c>
      <c r="IU168" s="3">
        <v>2</v>
      </c>
      <c r="IV168" s="3">
        <v>2</v>
      </c>
      <c r="IW168" s="3">
        <v>1</v>
      </c>
      <c r="IX168" s="12" t="s">
        <v>815</v>
      </c>
      <c r="IY168" s="3">
        <v>1</v>
      </c>
      <c r="IZ168" s="2" t="s">
        <v>816</v>
      </c>
    </row>
    <row r="169" spans="1:260" ht="13.2" x14ac:dyDescent="0.25">
      <c r="A169" s="10" t="s">
        <v>274</v>
      </c>
      <c r="B169" s="2" t="s">
        <v>1187</v>
      </c>
      <c r="C169" s="2" t="s">
        <v>276</v>
      </c>
      <c r="D169" s="2" t="s">
        <v>270</v>
      </c>
      <c r="E169" s="2">
        <v>14</v>
      </c>
      <c r="F169" s="11" t="s">
        <v>1188</v>
      </c>
      <c r="G169" s="11" t="s">
        <v>1189</v>
      </c>
      <c r="H169" s="2" t="s">
        <v>1190</v>
      </c>
      <c r="I169" s="3">
        <v>2</v>
      </c>
      <c r="J169" s="3">
        <v>2</v>
      </c>
      <c r="K169" s="12" t="s">
        <v>815</v>
      </c>
      <c r="L169" s="3">
        <v>4</v>
      </c>
      <c r="M169" s="3">
        <v>2</v>
      </c>
      <c r="N169" s="12" t="s">
        <v>815</v>
      </c>
      <c r="O169" s="3">
        <v>2</v>
      </c>
      <c r="P169" s="12" t="s">
        <v>815</v>
      </c>
      <c r="Q169" s="12" t="s">
        <v>815</v>
      </c>
      <c r="R169" s="12" t="s">
        <v>815</v>
      </c>
      <c r="S169" s="12" t="s">
        <v>815</v>
      </c>
      <c r="T169" s="12" t="s">
        <v>815</v>
      </c>
      <c r="U169" s="12" t="s">
        <v>815</v>
      </c>
      <c r="V169" s="12" t="s">
        <v>815</v>
      </c>
      <c r="W169" s="12" t="s">
        <v>815</v>
      </c>
      <c r="X169" s="12" t="s">
        <v>815</v>
      </c>
      <c r="Y169" s="3">
        <v>2</v>
      </c>
      <c r="Z169" s="12" t="s">
        <v>815</v>
      </c>
      <c r="AA169" s="3">
        <v>2</v>
      </c>
      <c r="AB169" s="12" t="s">
        <v>815</v>
      </c>
      <c r="AC169" s="3">
        <v>2</v>
      </c>
      <c r="AD169" s="12" t="s">
        <v>815</v>
      </c>
      <c r="AE169" s="12" t="s">
        <v>815</v>
      </c>
      <c r="AF169" s="12" t="s">
        <v>815</v>
      </c>
      <c r="AG169" s="3">
        <v>4</v>
      </c>
      <c r="AH169" s="12" t="s">
        <v>815</v>
      </c>
      <c r="AI169" s="3">
        <v>2</v>
      </c>
      <c r="AJ169" s="12" t="s">
        <v>815</v>
      </c>
      <c r="AK169" s="3">
        <v>2</v>
      </c>
      <c r="AL169" s="12" t="s">
        <v>815</v>
      </c>
      <c r="AM169" s="3">
        <v>3</v>
      </c>
      <c r="AN169" s="12" t="s">
        <v>815</v>
      </c>
      <c r="AO169" s="3">
        <v>3</v>
      </c>
      <c r="AP169" s="12" t="s">
        <v>815</v>
      </c>
      <c r="AQ169" s="12" t="s">
        <v>815</v>
      </c>
      <c r="AR169" s="12" t="s">
        <v>815</v>
      </c>
      <c r="AS169" s="3">
        <v>4</v>
      </c>
      <c r="AT169" s="12" t="s">
        <v>815</v>
      </c>
      <c r="AU169" s="12" t="s">
        <v>815</v>
      </c>
      <c r="AV169" s="12" t="s">
        <v>815</v>
      </c>
      <c r="AW169" s="3">
        <v>3</v>
      </c>
      <c r="AX169" s="12" t="s">
        <v>815</v>
      </c>
      <c r="AY169" s="12" t="s">
        <v>815</v>
      </c>
      <c r="AZ169" s="3">
        <v>3</v>
      </c>
      <c r="BA169" s="12" t="s">
        <v>815</v>
      </c>
      <c r="BB169" s="3">
        <v>2</v>
      </c>
      <c r="BC169" s="12" t="s">
        <v>815</v>
      </c>
      <c r="BD169" s="3">
        <v>4</v>
      </c>
      <c r="BE169" s="3">
        <v>4</v>
      </c>
      <c r="BF169" s="12" t="s">
        <v>815</v>
      </c>
      <c r="BG169" s="12" t="s">
        <v>815</v>
      </c>
      <c r="BH169" s="12" t="s">
        <v>815</v>
      </c>
      <c r="BI169" s="3">
        <v>2</v>
      </c>
      <c r="BJ169" s="12" t="s">
        <v>815</v>
      </c>
      <c r="BK169" s="12" t="s">
        <v>815</v>
      </c>
      <c r="BL169" s="12" t="s">
        <v>815</v>
      </c>
      <c r="BM169" s="3" t="s">
        <v>274</v>
      </c>
      <c r="BN169" s="3">
        <v>2</v>
      </c>
      <c r="BO169" s="12" t="s">
        <v>815</v>
      </c>
      <c r="BP169" s="12" t="s">
        <v>815</v>
      </c>
      <c r="BQ169" s="3">
        <v>2</v>
      </c>
      <c r="BR169" s="3">
        <v>2</v>
      </c>
      <c r="BS169" s="3">
        <v>2</v>
      </c>
      <c r="BT169" s="12" t="s">
        <v>815</v>
      </c>
      <c r="BU169" s="2">
        <v>2</v>
      </c>
      <c r="BV169" s="2">
        <v>2</v>
      </c>
      <c r="BW169" s="2">
        <v>2</v>
      </c>
      <c r="BX169" s="11" t="s">
        <v>815</v>
      </c>
      <c r="BY169" s="11" t="s">
        <v>815</v>
      </c>
      <c r="BZ169" s="11" t="s">
        <v>815</v>
      </c>
      <c r="CA169" s="2">
        <v>2</v>
      </c>
      <c r="CB169" s="11" t="s">
        <v>815</v>
      </c>
      <c r="CC169" s="2">
        <v>4</v>
      </c>
      <c r="CD169" s="11" t="s">
        <v>815</v>
      </c>
      <c r="CE169" s="11" t="s">
        <v>815</v>
      </c>
      <c r="CF169" s="11" t="s">
        <v>815</v>
      </c>
      <c r="CG169" s="11" t="s">
        <v>815</v>
      </c>
      <c r="CH169" s="11" t="s">
        <v>815</v>
      </c>
      <c r="CI169" s="11" t="s">
        <v>815</v>
      </c>
      <c r="CJ169" s="2">
        <v>4</v>
      </c>
      <c r="CK169" s="11" t="s">
        <v>815</v>
      </c>
      <c r="CL169" s="2">
        <v>2</v>
      </c>
      <c r="CM169" s="11" t="s">
        <v>815</v>
      </c>
      <c r="CN169" s="11" t="s">
        <v>815</v>
      </c>
      <c r="CO169" s="11" t="s">
        <v>815</v>
      </c>
      <c r="CP169" s="11" t="s">
        <v>815</v>
      </c>
      <c r="CQ169" s="11" t="s">
        <v>815</v>
      </c>
      <c r="CR169" s="11" t="s">
        <v>815</v>
      </c>
      <c r="CS169" s="2">
        <v>3</v>
      </c>
      <c r="CT169" s="11" t="s">
        <v>815</v>
      </c>
      <c r="CU169" s="11" t="s">
        <v>815</v>
      </c>
      <c r="CV169" s="11" t="s">
        <v>815</v>
      </c>
      <c r="CW169" s="2">
        <v>1</v>
      </c>
      <c r="CX169" s="11" t="s">
        <v>815</v>
      </c>
      <c r="CY169" s="11" t="s">
        <v>815</v>
      </c>
      <c r="CZ169" s="11" t="s">
        <v>815</v>
      </c>
      <c r="DA169" s="2">
        <v>3</v>
      </c>
      <c r="DB169" s="2">
        <v>1</v>
      </c>
      <c r="DC169" s="2">
        <v>2</v>
      </c>
      <c r="DD169" s="11" t="s">
        <v>815</v>
      </c>
      <c r="DE169" s="11" t="s">
        <v>815</v>
      </c>
      <c r="DF169" s="11" t="s">
        <v>815</v>
      </c>
      <c r="DG169" s="2">
        <v>3</v>
      </c>
      <c r="DH169" s="11" t="s">
        <v>815</v>
      </c>
      <c r="DI169" s="11" t="s">
        <v>815</v>
      </c>
      <c r="DJ169" s="11" t="s">
        <v>815</v>
      </c>
      <c r="DK169" s="11" t="s">
        <v>815</v>
      </c>
      <c r="DL169" s="2">
        <v>3</v>
      </c>
      <c r="DM169" s="11" t="s">
        <v>815</v>
      </c>
      <c r="DN169" s="11" t="s">
        <v>815</v>
      </c>
      <c r="DO169" s="11" t="s">
        <v>815</v>
      </c>
      <c r="DP169" s="11" t="s">
        <v>815</v>
      </c>
      <c r="DQ169" s="2">
        <v>3</v>
      </c>
      <c r="DR169" s="11" t="s">
        <v>815</v>
      </c>
      <c r="DS169" s="2">
        <v>2</v>
      </c>
      <c r="DT169" s="11" t="s">
        <v>815</v>
      </c>
      <c r="DU169" s="2">
        <v>2</v>
      </c>
      <c r="DV169" s="2">
        <v>2</v>
      </c>
      <c r="DW169" s="11" t="s">
        <v>815</v>
      </c>
      <c r="DX169" s="11" t="s">
        <v>815</v>
      </c>
      <c r="DY169" s="2">
        <v>2</v>
      </c>
      <c r="DZ169" s="11" t="s">
        <v>815</v>
      </c>
      <c r="EA169" s="11" t="s">
        <v>815</v>
      </c>
      <c r="EB169" s="2">
        <v>2</v>
      </c>
      <c r="EC169" s="2">
        <v>3</v>
      </c>
      <c r="ED169" s="2">
        <v>2</v>
      </c>
      <c r="EE169" s="11" t="s">
        <v>815</v>
      </c>
      <c r="EF169" s="11" t="s">
        <v>815</v>
      </c>
      <c r="EG169" s="2">
        <v>2</v>
      </c>
      <c r="EH169" s="11" t="s">
        <v>815</v>
      </c>
      <c r="EI169" s="2">
        <v>3</v>
      </c>
      <c r="EJ169" s="2">
        <v>3</v>
      </c>
      <c r="EK169" s="2">
        <v>3</v>
      </c>
      <c r="EL169" s="11" t="s">
        <v>815</v>
      </c>
      <c r="EM169" s="11" t="s">
        <v>815</v>
      </c>
      <c r="EN169" s="11" t="s">
        <v>815</v>
      </c>
      <c r="EO169" s="11" t="s">
        <v>815</v>
      </c>
      <c r="EP169" s="2">
        <v>3</v>
      </c>
      <c r="EQ169" s="2">
        <v>2</v>
      </c>
      <c r="ER169" s="11" t="s">
        <v>815</v>
      </c>
      <c r="ES169" s="11" t="s">
        <v>815</v>
      </c>
      <c r="ET169" s="11" t="s">
        <v>815</v>
      </c>
      <c r="EU169" s="2">
        <v>3</v>
      </c>
      <c r="EV169" s="2">
        <v>3</v>
      </c>
      <c r="EW169" s="2">
        <v>2</v>
      </c>
      <c r="EX169" s="2">
        <v>3</v>
      </c>
      <c r="EY169" s="11" t="s">
        <v>815</v>
      </c>
      <c r="EZ169" s="11" t="s">
        <v>815</v>
      </c>
      <c r="FA169" s="11" t="s">
        <v>815</v>
      </c>
      <c r="FB169" s="11" t="s">
        <v>815</v>
      </c>
      <c r="FC169" s="11" t="s">
        <v>815</v>
      </c>
      <c r="FD169" s="2">
        <v>2</v>
      </c>
      <c r="FE169" s="11" t="s">
        <v>815</v>
      </c>
      <c r="FF169" s="11" t="s">
        <v>815</v>
      </c>
      <c r="FG169" s="11" t="s">
        <v>815</v>
      </c>
      <c r="FH169" s="11" t="s">
        <v>815</v>
      </c>
      <c r="FI169" s="11" t="s">
        <v>815</v>
      </c>
      <c r="FJ169" s="11" t="s">
        <v>815</v>
      </c>
      <c r="FK169" s="2">
        <v>3</v>
      </c>
      <c r="FL169" s="2">
        <v>3</v>
      </c>
      <c r="FM169" s="2">
        <v>3</v>
      </c>
      <c r="FN169" s="2">
        <v>3</v>
      </c>
      <c r="FO169" s="11" t="s">
        <v>815</v>
      </c>
      <c r="FP169" s="2">
        <v>3</v>
      </c>
      <c r="FQ169" s="2">
        <v>4</v>
      </c>
      <c r="FR169" s="11" t="s">
        <v>815</v>
      </c>
      <c r="FS169" s="2">
        <v>2</v>
      </c>
      <c r="FT169" s="2">
        <v>1</v>
      </c>
      <c r="FU169" s="11" t="s">
        <v>815</v>
      </c>
      <c r="FV169" s="2">
        <v>1</v>
      </c>
      <c r="FW169" s="2">
        <v>1</v>
      </c>
      <c r="FX169" s="11" t="s">
        <v>815</v>
      </c>
      <c r="FY169" s="11" t="s">
        <v>815</v>
      </c>
      <c r="FZ169" s="11" t="s">
        <v>815</v>
      </c>
      <c r="GA169" s="11" t="s">
        <v>815</v>
      </c>
      <c r="GB169" s="11" t="s">
        <v>815</v>
      </c>
      <c r="GC169" s="2" t="s">
        <v>274</v>
      </c>
      <c r="GD169" s="11" t="s">
        <v>815</v>
      </c>
      <c r="GE169" s="2">
        <v>3</v>
      </c>
      <c r="GF169" s="2">
        <v>2</v>
      </c>
      <c r="GG169" s="2">
        <v>3</v>
      </c>
      <c r="GH169" s="2">
        <v>1</v>
      </c>
      <c r="GI169" s="11" t="s">
        <v>815</v>
      </c>
      <c r="GJ169" s="11" t="s">
        <v>815</v>
      </c>
      <c r="GK169" s="11" t="s">
        <v>815</v>
      </c>
      <c r="GL169" s="11" t="s">
        <v>815</v>
      </c>
      <c r="GM169" s="2">
        <v>1</v>
      </c>
      <c r="GN169" s="3">
        <v>3</v>
      </c>
      <c r="GO169" s="3">
        <v>3</v>
      </c>
      <c r="GP169" s="3">
        <v>3</v>
      </c>
      <c r="GQ169" s="12" t="s">
        <v>815</v>
      </c>
      <c r="GR169" s="3">
        <v>1</v>
      </c>
      <c r="GS169" s="3">
        <v>3</v>
      </c>
      <c r="GT169" s="3">
        <v>3</v>
      </c>
      <c r="GU169" s="12" t="s">
        <v>815</v>
      </c>
      <c r="GV169" s="3">
        <v>3</v>
      </c>
      <c r="GW169" s="3">
        <v>1</v>
      </c>
      <c r="GX169" s="3">
        <v>3</v>
      </c>
      <c r="GY169" s="12" t="s">
        <v>815</v>
      </c>
      <c r="GZ169" s="3">
        <v>3</v>
      </c>
      <c r="HA169" s="3">
        <v>3</v>
      </c>
      <c r="HB169" s="3">
        <v>3</v>
      </c>
      <c r="HC169" s="12" t="s">
        <v>815</v>
      </c>
      <c r="HD169" s="3">
        <v>1</v>
      </c>
      <c r="HE169" s="12" t="s">
        <v>815</v>
      </c>
      <c r="HF169" s="12" t="s">
        <v>815</v>
      </c>
      <c r="HG169" s="12" t="s">
        <v>815</v>
      </c>
      <c r="HH169" s="3">
        <v>3</v>
      </c>
      <c r="HI169" s="12" t="s">
        <v>815</v>
      </c>
      <c r="HJ169" s="12" t="s">
        <v>815</v>
      </c>
      <c r="HK169" s="3">
        <v>3</v>
      </c>
      <c r="HL169" s="12" t="s">
        <v>815</v>
      </c>
      <c r="HM169" s="3">
        <v>3</v>
      </c>
      <c r="HN169" s="12" t="s">
        <v>815</v>
      </c>
      <c r="HO169" s="3">
        <v>3</v>
      </c>
      <c r="HP169" s="12" t="s">
        <v>815</v>
      </c>
      <c r="HQ169" s="3">
        <v>2</v>
      </c>
      <c r="HR169" s="3">
        <v>3</v>
      </c>
      <c r="HS169" s="3">
        <v>3</v>
      </c>
      <c r="HT169" s="3">
        <v>4</v>
      </c>
      <c r="HU169" s="3">
        <v>2</v>
      </c>
      <c r="HV169" s="3">
        <v>3</v>
      </c>
      <c r="HW169" s="12" t="s">
        <v>815</v>
      </c>
      <c r="HX169" s="3">
        <v>1</v>
      </c>
      <c r="HY169" s="3">
        <v>3</v>
      </c>
      <c r="HZ169" s="12" t="s">
        <v>815</v>
      </c>
      <c r="IA169" s="3">
        <v>3</v>
      </c>
      <c r="IB169" s="12" t="s">
        <v>815</v>
      </c>
      <c r="IC169" s="12" t="s">
        <v>815</v>
      </c>
      <c r="ID169" s="12" t="s">
        <v>815</v>
      </c>
      <c r="IE169" s="12" t="s">
        <v>815</v>
      </c>
      <c r="IF169" s="3">
        <v>1</v>
      </c>
      <c r="IG169" s="12" t="s">
        <v>815</v>
      </c>
      <c r="IH169" s="12" t="s">
        <v>815</v>
      </c>
      <c r="II169" s="12" t="s">
        <v>815</v>
      </c>
      <c r="IJ169" s="12" t="s">
        <v>815</v>
      </c>
      <c r="IK169" s="12" t="s">
        <v>815</v>
      </c>
      <c r="IL169" s="12" t="s">
        <v>815</v>
      </c>
      <c r="IM169" s="3">
        <v>3</v>
      </c>
      <c r="IN169" s="12" t="s">
        <v>815</v>
      </c>
      <c r="IO169" s="3">
        <v>2</v>
      </c>
      <c r="IP169" s="3">
        <v>3</v>
      </c>
      <c r="IQ169" s="3">
        <v>3</v>
      </c>
      <c r="IR169" s="3" t="s">
        <v>274</v>
      </c>
      <c r="IS169" s="3">
        <v>3</v>
      </c>
      <c r="IT169" s="3">
        <v>3</v>
      </c>
      <c r="IU169" s="12" t="s">
        <v>815</v>
      </c>
      <c r="IV169" s="3">
        <v>1</v>
      </c>
      <c r="IW169" s="3">
        <v>3</v>
      </c>
      <c r="IX169" s="3">
        <v>1</v>
      </c>
      <c r="IY169" s="3">
        <v>3</v>
      </c>
      <c r="IZ169" s="2" t="s">
        <v>816</v>
      </c>
    </row>
    <row r="170" spans="1:260" ht="13.2" x14ac:dyDescent="0.25">
      <c r="A170" s="10" t="s">
        <v>274</v>
      </c>
      <c r="B170" s="2" t="s">
        <v>1191</v>
      </c>
      <c r="C170" s="2" t="s">
        <v>276</v>
      </c>
      <c r="D170" s="2" t="s">
        <v>262</v>
      </c>
      <c r="E170" s="2">
        <v>36</v>
      </c>
      <c r="F170" s="11" t="s">
        <v>1192</v>
      </c>
      <c r="G170" s="11" t="s">
        <v>1193</v>
      </c>
      <c r="H170" s="2" t="s">
        <v>1194</v>
      </c>
      <c r="I170" s="3">
        <v>4</v>
      </c>
      <c r="J170" s="3">
        <v>3</v>
      </c>
      <c r="K170" s="3">
        <v>2</v>
      </c>
      <c r="L170" s="3">
        <v>2</v>
      </c>
      <c r="M170" s="3">
        <v>2</v>
      </c>
      <c r="N170" s="3">
        <v>4</v>
      </c>
      <c r="O170" s="3">
        <v>3</v>
      </c>
      <c r="P170" s="3">
        <v>1</v>
      </c>
      <c r="Q170" s="3">
        <v>2</v>
      </c>
      <c r="R170" s="3">
        <v>3</v>
      </c>
      <c r="S170" s="3">
        <v>1</v>
      </c>
      <c r="T170" s="3">
        <v>1</v>
      </c>
      <c r="U170" s="3">
        <v>2</v>
      </c>
      <c r="V170" s="3">
        <v>1</v>
      </c>
      <c r="W170" s="3">
        <v>4</v>
      </c>
      <c r="X170" s="3">
        <v>4</v>
      </c>
      <c r="Y170" s="3">
        <v>4</v>
      </c>
      <c r="Z170" s="3">
        <v>4</v>
      </c>
      <c r="AA170" s="3">
        <v>4</v>
      </c>
      <c r="AB170" s="3">
        <v>4</v>
      </c>
      <c r="AC170" s="3">
        <v>4</v>
      </c>
      <c r="AD170" s="3">
        <v>4</v>
      </c>
      <c r="AE170" s="3">
        <v>4</v>
      </c>
      <c r="AF170" s="12" t="s">
        <v>815</v>
      </c>
      <c r="AG170" s="3">
        <v>1</v>
      </c>
      <c r="AH170" s="12" t="s">
        <v>815</v>
      </c>
      <c r="AI170" s="3">
        <v>2</v>
      </c>
      <c r="AJ170" s="3">
        <v>4</v>
      </c>
      <c r="AK170" s="3">
        <v>3</v>
      </c>
      <c r="AL170" s="3">
        <v>4</v>
      </c>
      <c r="AM170" s="12" t="s">
        <v>815</v>
      </c>
      <c r="AN170" s="12" t="s">
        <v>815</v>
      </c>
      <c r="AO170" s="3">
        <v>2</v>
      </c>
      <c r="AP170" s="3">
        <v>2</v>
      </c>
      <c r="AQ170" s="3">
        <v>3</v>
      </c>
      <c r="AR170" s="3">
        <v>2</v>
      </c>
      <c r="AS170" s="3">
        <v>2</v>
      </c>
      <c r="AT170" s="3">
        <v>3</v>
      </c>
      <c r="AU170" s="3">
        <v>2</v>
      </c>
      <c r="AV170" s="3">
        <v>2</v>
      </c>
      <c r="AW170" s="3">
        <v>1</v>
      </c>
      <c r="AX170" s="3">
        <v>1</v>
      </c>
      <c r="AY170" s="3">
        <v>1</v>
      </c>
      <c r="AZ170" s="3">
        <v>3</v>
      </c>
      <c r="BA170" s="12" t="s">
        <v>815</v>
      </c>
      <c r="BB170" s="3">
        <v>1</v>
      </c>
      <c r="BC170" s="12" t="s">
        <v>815</v>
      </c>
      <c r="BD170" s="3">
        <v>2</v>
      </c>
      <c r="BE170" s="3">
        <v>1</v>
      </c>
      <c r="BF170" s="3">
        <v>2</v>
      </c>
      <c r="BG170" s="3">
        <v>2</v>
      </c>
      <c r="BH170" s="3">
        <v>2</v>
      </c>
      <c r="BI170" s="3">
        <v>2</v>
      </c>
      <c r="BJ170" s="12" t="s">
        <v>815</v>
      </c>
      <c r="BK170" s="12" t="s">
        <v>815</v>
      </c>
      <c r="BL170" s="12" t="s">
        <v>815</v>
      </c>
      <c r="BM170" s="3" t="s">
        <v>274</v>
      </c>
      <c r="BN170" s="3">
        <v>2</v>
      </c>
      <c r="BO170" s="3">
        <v>3</v>
      </c>
      <c r="BP170" s="3">
        <v>2</v>
      </c>
      <c r="BQ170" s="3">
        <v>1</v>
      </c>
      <c r="BR170" s="3">
        <v>3</v>
      </c>
      <c r="BS170" s="3">
        <v>2</v>
      </c>
      <c r="BT170" s="3">
        <v>1</v>
      </c>
      <c r="BU170" s="2">
        <v>4</v>
      </c>
      <c r="BV170" s="2">
        <v>4</v>
      </c>
      <c r="BW170" s="2">
        <v>4</v>
      </c>
      <c r="BX170" s="2">
        <v>1</v>
      </c>
      <c r="BY170" s="2">
        <v>2</v>
      </c>
      <c r="BZ170" s="11" t="s">
        <v>815</v>
      </c>
      <c r="CA170" s="11" t="s">
        <v>815</v>
      </c>
      <c r="CB170" s="2">
        <v>4</v>
      </c>
      <c r="CC170" s="2">
        <v>2</v>
      </c>
      <c r="CD170" s="2">
        <v>4</v>
      </c>
      <c r="CE170" s="2">
        <v>4</v>
      </c>
      <c r="CF170" s="2">
        <v>3</v>
      </c>
      <c r="CG170" s="11" t="s">
        <v>815</v>
      </c>
      <c r="CH170" s="11" t="s">
        <v>815</v>
      </c>
      <c r="CI170" s="2">
        <v>4</v>
      </c>
      <c r="CJ170" s="11" t="s">
        <v>815</v>
      </c>
      <c r="CK170" s="11" t="s">
        <v>815</v>
      </c>
      <c r="CL170" s="2">
        <v>3</v>
      </c>
      <c r="CM170" s="11" t="s">
        <v>815</v>
      </c>
      <c r="CN170" s="11" t="s">
        <v>815</v>
      </c>
      <c r="CO170" s="2">
        <v>2</v>
      </c>
      <c r="CP170" s="11" t="s">
        <v>815</v>
      </c>
      <c r="CQ170" s="2">
        <v>4</v>
      </c>
      <c r="CR170" s="2">
        <v>2</v>
      </c>
      <c r="CS170" s="2">
        <v>2</v>
      </c>
      <c r="CT170" s="11" t="s">
        <v>815</v>
      </c>
      <c r="CU170" s="11" t="s">
        <v>815</v>
      </c>
      <c r="CV170" s="2">
        <v>1</v>
      </c>
      <c r="CW170" s="2">
        <v>2</v>
      </c>
      <c r="CX170" s="11" t="s">
        <v>815</v>
      </c>
      <c r="CY170" s="11" t="s">
        <v>815</v>
      </c>
      <c r="CZ170" s="11" t="s">
        <v>815</v>
      </c>
      <c r="DA170" s="11" t="s">
        <v>815</v>
      </c>
      <c r="DB170" s="11" t="s">
        <v>815</v>
      </c>
      <c r="DC170" s="11" t="s">
        <v>815</v>
      </c>
      <c r="DD170" s="11" t="s">
        <v>815</v>
      </c>
      <c r="DE170" s="2">
        <v>2</v>
      </c>
      <c r="DF170" s="2">
        <v>3</v>
      </c>
      <c r="DG170" s="2">
        <v>4</v>
      </c>
      <c r="DH170" s="2">
        <v>2</v>
      </c>
      <c r="DI170" s="2">
        <v>1</v>
      </c>
      <c r="DJ170" s="11" t="s">
        <v>815</v>
      </c>
      <c r="DK170" s="11" t="s">
        <v>815</v>
      </c>
      <c r="DL170" s="2">
        <v>2</v>
      </c>
      <c r="DM170" s="11" t="s">
        <v>815</v>
      </c>
      <c r="DN170" s="11" t="s">
        <v>815</v>
      </c>
      <c r="DO170" s="11" t="s">
        <v>815</v>
      </c>
      <c r="DP170" s="2">
        <v>4</v>
      </c>
      <c r="DQ170" s="2">
        <v>4</v>
      </c>
      <c r="DR170" s="2">
        <v>4</v>
      </c>
      <c r="DS170" s="2">
        <v>4</v>
      </c>
      <c r="DT170" s="2">
        <v>1</v>
      </c>
      <c r="DU170" s="11" t="s">
        <v>815</v>
      </c>
      <c r="DV170" s="11" t="s">
        <v>815</v>
      </c>
      <c r="DW170" s="11" t="s">
        <v>815</v>
      </c>
      <c r="DX170" s="2">
        <v>4</v>
      </c>
      <c r="DY170" s="2">
        <v>3</v>
      </c>
      <c r="DZ170" s="11" t="s">
        <v>815</v>
      </c>
      <c r="EA170" s="11" t="s">
        <v>815</v>
      </c>
      <c r="EB170" s="11" t="s">
        <v>815</v>
      </c>
      <c r="EC170" s="2">
        <v>3</v>
      </c>
      <c r="ED170" s="2">
        <v>2</v>
      </c>
      <c r="EE170" s="11" t="s">
        <v>815</v>
      </c>
      <c r="EF170" s="11" t="s">
        <v>815</v>
      </c>
      <c r="EG170" s="2">
        <v>4</v>
      </c>
      <c r="EH170" s="11" t="s">
        <v>815</v>
      </c>
      <c r="EI170" s="2">
        <v>1</v>
      </c>
      <c r="EJ170" s="2">
        <v>1</v>
      </c>
      <c r="EK170" s="2">
        <v>4</v>
      </c>
      <c r="EL170" s="11" t="s">
        <v>815</v>
      </c>
      <c r="EM170" s="11" t="s">
        <v>815</v>
      </c>
      <c r="EN170" s="2">
        <v>2</v>
      </c>
      <c r="EO170" s="11" t="s">
        <v>815</v>
      </c>
      <c r="EP170" s="11" t="s">
        <v>815</v>
      </c>
      <c r="EQ170" s="11" t="s">
        <v>815</v>
      </c>
      <c r="ER170" s="2">
        <v>1</v>
      </c>
      <c r="ES170" s="11" t="s">
        <v>815</v>
      </c>
      <c r="ET170" s="11" t="s">
        <v>815</v>
      </c>
      <c r="EU170" s="11" t="s">
        <v>815</v>
      </c>
      <c r="EV170" s="11" t="s">
        <v>815</v>
      </c>
      <c r="EW170" s="2">
        <v>3</v>
      </c>
      <c r="EX170" s="2">
        <v>3</v>
      </c>
      <c r="EY170" s="11" t="s">
        <v>815</v>
      </c>
      <c r="EZ170" s="11" t="s">
        <v>815</v>
      </c>
      <c r="FA170" s="2">
        <v>2</v>
      </c>
      <c r="FB170" s="11" t="s">
        <v>815</v>
      </c>
      <c r="FC170" s="2">
        <v>2</v>
      </c>
      <c r="FD170" s="2">
        <v>4</v>
      </c>
      <c r="FE170" s="11" t="s">
        <v>815</v>
      </c>
      <c r="FF170" s="2">
        <v>1</v>
      </c>
      <c r="FG170" s="11" t="s">
        <v>815</v>
      </c>
      <c r="FH170" s="2">
        <v>3</v>
      </c>
      <c r="FI170" s="11" t="s">
        <v>815</v>
      </c>
      <c r="FJ170" s="11" t="s">
        <v>815</v>
      </c>
      <c r="FK170" s="2">
        <v>2</v>
      </c>
      <c r="FL170" s="2">
        <v>1</v>
      </c>
      <c r="FM170" s="11" t="s">
        <v>815</v>
      </c>
      <c r="FN170" s="2">
        <v>2</v>
      </c>
      <c r="FO170" s="11" t="s">
        <v>815</v>
      </c>
      <c r="FP170" s="11" t="s">
        <v>815</v>
      </c>
      <c r="FQ170" s="11" t="s">
        <v>815</v>
      </c>
      <c r="FR170" s="2">
        <v>2</v>
      </c>
      <c r="FS170" s="11" t="s">
        <v>815</v>
      </c>
      <c r="FT170" s="11" t="s">
        <v>815</v>
      </c>
      <c r="FU170" s="2">
        <v>2</v>
      </c>
      <c r="FV170" s="2">
        <v>4</v>
      </c>
      <c r="FW170" s="2">
        <v>4</v>
      </c>
      <c r="FX170" s="2">
        <v>2</v>
      </c>
      <c r="FY170" s="11" t="s">
        <v>815</v>
      </c>
      <c r="FZ170" s="2">
        <v>1</v>
      </c>
      <c r="GA170" s="11" t="s">
        <v>815</v>
      </c>
      <c r="GB170" s="2">
        <v>3</v>
      </c>
      <c r="GC170" s="2" t="s">
        <v>274</v>
      </c>
      <c r="GD170" s="2">
        <v>3</v>
      </c>
      <c r="GE170" s="11" t="s">
        <v>815</v>
      </c>
      <c r="GF170" s="2">
        <v>4</v>
      </c>
      <c r="GG170" s="2">
        <v>4</v>
      </c>
      <c r="GH170" s="2">
        <v>4</v>
      </c>
      <c r="GI170" s="2">
        <v>2</v>
      </c>
      <c r="GJ170" s="11" t="s">
        <v>815</v>
      </c>
      <c r="GK170" s="2">
        <v>2</v>
      </c>
      <c r="GL170" s="11" t="s">
        <v>815</v>
      </c>
      <c r="GM170" s="11" t="s">
        <v>815</v>
      </c>
      <c r="GN170" s="3">
        <v>4</v>
      </c>
      <c r="GO170" s="3">
        <v>1</v>
      </c>
      <c r="GP170" s="12" t="s">
        <v>815</v>
      </c>
      <c r="GQ170" s="3">
        <v>3</v>
      </c>
      <c r="GR170" s="3">
        <v>1</v>
      </c>
      <c r="GS170" s="12" t="s">
        <v>815</v>
      </c>
      <c r="GT170" s="12" t="s">
        <v>815</v>
      </c>
      <c r="GU170" s="12" t="s">
        <v>815</v>
      </c>
      <c r="GV170" s="12" t="s">
        <v>815</v>
      </c>
      <c r="GW170" s="12" t="s">
        <v>815</v>
      </c>
      <c r="GX170" s="12" t="s">
        <v>815</v>
      </c>
      <c r="GY170" s="12" t="s">
        <v>815</v>
      </c>
      <c r="GZ170" s="3">
        <v>1</v>
      </c>
      <c r="HA170" s="3">
        <v>3</v>
      </c>
      <c r="HB170" s="12" t="s">
        <v>815</v>
      </c>
      <c r="HC170" s="12" t="s">
        <v>815</v>
      </c>
      <c r="HD170" s="12" t="s">
        <v>815</v>
      </c>
      <c r="HE170" s="12" t="s">
        <v>815</v>
      </c>
      <c r="HF170" s="3">
        <v>2</v>
      </c>
      <c r="HG170" s="12" t="s">
        <v>815</v>
      </c>
      <c r="HH170" s="12" t="s">
        <v>815</v>
      </c>
      <c r="HI170" s="12" t="s">
        <v>815</v>
      </c>
      <c r="HJ170" s="12" t="s">
        <v>815</v>
      </c>
      <c r="HK170" s="3">
        <v>2</v>
      </c>
      <c r="HL170" s="12" t="s">
        <v>815</v>
      </c>
      <c r="HM170" s="12" t="s">
        <v>815</v>
      </c>
      <c r="HN170" s="12" t="s">
        <v>815</v>
      </c>
      <c r="HO170" s="3">
        <v>4</v>
      </c>
      <c r="HP170" s="12" t="s">
        <v>815</v>
      </c>
      <c r="HQ170" s="3">
        <v>2</v>
      </c>
      <c r="HR170" s="3">
        <v>1</v>
      </c>
      <c r="HS170" s="3">
        <v>2</v>
      </c>
      <c r="HT170" s="12" t="s">
        <v>815</v>
      </c>
      <c r="HU170" s="12" t="s">
        <v>815</v>
      </c>
      <c r="HV170" s="12" t="s">
        <v>815</v>
      </c>
      <c r="HW170" s="12" t="s">
        <v>815</v>
      </c>
      <c r="HX170" s="12" t="s">
        <v>815</v>
      </c>
      <c r="HY170" s="12" t="s">
        <v>815</v>
      </c>
      <c r="HZ170" s="12" t="s">
        <v>815</v>
      </c>
      <c r="IA170" s="3">
        <v>1</v>
      </c>
      <c r="IB170" s="12" t="s">
        <v>815</v>
      </c>
      <c r="IC170" s="12" t="s">
        <v>815</v>
      </c>
      <c r="ID170" s="12" t="s">
        <v>815</v>
      </c>
      <c r="IE170" s="12" t="s">
        <v>815</v>
      </c>
      <c r="IF170" s="3">
        <v>2</v>
      </c>
      <c r="IG170" s="12" t="s">
        <v>815</v>
      </c>
      <c r="IH170" s="12" t="s">
        <v>815</v>
      </c>
      <c r="II170" s="12" t="s">
        <v>815</v>
      </c>
      <c r="IJ170" s="3">
        <v>3</v>
      </c>
      <c r="IK170" s="12" t="s">
        <v>815</v>
      </c>
      <c r="IL170" s="3">
        <v>2</v>
      </c>
      <c r="IM170" s="3">
        <v>2</v>
      </c>
      <c r="IN170" s="12" t="s">
        <v>815</v>
      </c>
      <c r="IO170" s="3">
        <v>1</v>
      </c>
      <c r="IP170" s="3">
        <v>3</v>
      </c>
      <c r="IQ170" s="12" t="s">
        <v>815</v>
      </c>
      <c r="IR170" s="3" t="s">
        <v>1195</v>
      </c>
      <c r="IS170" s="12" t="s">
        <v>815</v>
      </c>
      <c r="IT170" s="3">
        <v>2</v>
      </c>
      <c r="IU170" s="12" t="s">
        <v>815</v>
      </c>
      <c r="IV170" s="3">
        <v>1</v>
      </c>
      <c r="IW170" s="12" t="s">
        <v>815</v>
      </c>
      <c r="IX170" s="12" t="s">
        <v>815</v>
      </c>
      <c r="IY170" s="12" t="s">
        <v>815</v>
      </c>
      <c r="IZ170" s="2" t="s">
        <v>816</v>
      </c>
    </row>
    <row r="171" spans="1:260" ht="13.2" x14ac:dyDescent="0.25">
      <c r="A171" s="10" t="s">
        <v>274</v>
      </c>
      <c r="B171" s="2" t="s">
        <v>1196</v>
      </c>
      <c r="C171" s="2" t="s">
        <v>276</v>
      </c>
      <c r="D171" s="2" t="s">
        <v>270</v>
      </c>
      <c r="E171" s="2">
        <v>34</v>
      </c>
      <c r="F171" s="11" t="s">
        <v>1197</v>
      </c>
      <c r="G171" s="11" t="s">
        <v>1198</v>
      </c>
      <c r="H171" s="2" t="s">
        <v>1008</v>
      </c>
      <c r="I171" s="12" t="s">
        <v>815</v>
      </c>
      <c r="J171" s="12" t="s">
        <v>815</v>
      </c>
      <c r="K171" s="3">
        <v>1</v>
      </c>
      <c r="L171" s="12" t="s">
        <v>815</v>
      </c>
      <c r="M171" s="12" t="s">
        <v>815</v>
      </c>
      <c r="N171" s="3">
        <v>1</v>
      </c>
      <c r="O171" s="12" t="s">
        <v>815</v>
      </c>
      <c r="P171" s="12" t="s">
        <v>815</v>
      </c>
      <c r="Q171" s="12" t="s">
        <v>815</v>
      </c>
      <c r="R171" s="3">
        <v>1</v>
      </c>
      <c r="S171" s="12" t="s">
        <v>815</v>
      </c>
      <c r="T171" s="12" t="s">
        <v>815</v>
      </c>
      <c r="U171" s="12" t="s">
        <v>815</v>
      </c>
      <c r="V171" s="12" t="s">
        <v>815</v>
      </c>
      <c r="W171" s="12" t="s">
        <v>815</v>
      </c>
      <c r="X171" s="12" t="s">
        <v>815</v>
      </c>
      <c r="Y171" s="3">
        <v>1</v>
      </c>
      <c r="Z171" s="12" t="s">
        <v>815</v>
      </c>
      <c r="AA171" s="3">
        <v>1</v>
      </c>
      <c r="AB171" s="12" t="s">
        <v>815</v>
      </c>
      <c r="AC171" s="12" t="s">
        <v>815</v>
      </c>
      <c r="AD171" s="3">
        <v>1</v>
      </c>
      <c r="AE171" s="12" t="s">
        <v>815</v>
      </c>
      <c r="AF171" s="12" t="s">
        <v>815</v>
      </c>
      <c r="AG171" s="3">
        <v>1</v>
      </c>
      <c r="AH171" s="12" t="s">
        <v>815</v>
      </c>
      <c r="AI171" s="12" t="s">
        <v>815</v>
      </c>
      <c r="AJ171" s="3">
        <v>1</v>
      </c>
      <c r="AK171" s="12" t="s">
        <v>815</v>
      </c>
      <c r="AL171" s="12" t="s">
        <v>815</v>
      </c>
      <c r="AM171" s="12" t="s">
        <v>815</v>
      </c>
      <c r="AN171" s="12" t="s">
        <v>815</v>
      </c>
      <c r="AO171" s="12" t="s">
        <v>815</v>
      </c>
      <c r="AP171" s="12" t="s">
        <v>815</v>
      </c>
      <c r="AQ171" s="12" t="s">
        <v>815</v>
      </c>
      <c r="AR171" s="12" t="s">
        <v>815</v>
      </c>
      <c r="AS171" s="12" t="s">
        <v>815</v>
      </c>
      <c r="AT171" s="12" t="s">
        <v>815</v>
      </c>
      <c r="AU171" s="12" t="s">
        <v>815</v>
      </c>
      <c r="AV171" s="12" t="s">
        <v>815</v>
      </c>
      <c r="AW171" s="3">
        <v>1</v>
      </c>
      <c r="AX171" s="12" t="s">
        <v>815</v>
      </c>
      <c r="AY171" s="12" t="s">
        <v>815</v>
      </c>
      <c r="AZ171" s="3">
        <v>1</v>
      </c>
      <c r="BA171" s="12" t="s">
        <v>815</v>
      </c>
      <c r="BB171" s="12" t="s">
        <v>815</v>
      </c>
      <c r="BC171" s="12" t="s">
        <v>815</v>
      </c>
      <c r="BD171" s="12" t="s">
        <v>815</v>
      </c>
      <c r="BE171" s="12" t="s">
        <v>815</v>
      </c>
      <c r="BF171" s="12" t="s">
        <v>815</v>
      </c>
      <c r="BG171" s="12" t="s">
        <v>815</v>
      </c>
      <c r="BH171" s="12" t="s">
        <v>815</v>
      </c>
      <c r="BI171" s="12" t="s">
        <v>815</v>
      </c>
      <c r="BJ171" s="12" t="s">
        <v>815</v>
      </c>
      <c r="BK171" s="12" t="s">
        <v>815</v>
      </c>
      <c r="BL171" s="12" t="s">
        <v>815</v>
      </c>
      <c r="BM171" s="3" t="s">
        <v>274</v>
      </c>
      <c r="BN171" s="3">
        <v>1</v>
      </c>
      <c r="BO171" s="12" t="s">
        <v>815</v>
      </c>
      <c r="BP171" s="3">
        <v>1</v>
      </c>
      <c r="BQ171" s="12" t="s">
        <v>815</v>
      </c>
      <c r="BR171" s="3">
        <v>1</v>
      </c>
      <c r="BS171" s="12" t="s">
        <v>815</v>
      </c>
      <c r="BT171" s="12" t="s">
        <v>815</v>
      </c>
      <c r="BU171" s="2">
        <v>1</v>
      </c>
      <c r="BV171" s="2">
        <v>1</v>
      </c>
      <c r="BW171" s="2">
        <v>1</v>
      </c>
      <c r="BX171" s="11" t="s">
        <v>815</v>
      </c>
      <c r="BY171" s="11" t="s">
        <v>815</v>
      </c>
      <c r="BZ171" s="11" t="s">
        <v>815</v>
      </c>
      <c r="CA171" s="11" t="s">
        <v>815</v>
      </c>
      <c r="CB171" s="11" t="s">
        <v>815</v>
      </c>
      <c r="CC171" s="2">
        <v>4</v>
      </c>
      <c r="CD171" s="2">
        <v>1</v>
      </c>
      <c r="CE171" s="11" t="s">
        <v>815</v>
      </c>
      <c r="CF171" s="2">
        <v>1</v>
      </c>
      <c r="CG171" s="11" t="s">
        <v>815</v>
      </c>
      <c r="CH171" s="11" t="s">
        <v>815</v>
      </c>
      <c r="CI171" s="11" t="s">
        <v>815</v>
      </c>
      <c r="CJ171" s="11" t="s">
        <v>815</v>
      </c>
      <c r="CK171" s="11" t="s">
        <v>815</v>
      </c>
      <c r="CL171" s="11" t="s">
        <v>815</v>
      </c>
      <c r="CM171" s="11" t="s">
        <v>815</v>
      </c>
      <c r="CN171" s="11" t="s">
        <v>815</v>
      </c>
      <c r="CO171" s="11" t="s">
        <v>815</v>
      </c>
      <c r="CP171" s="11" t="s">
        <v>815</v>
      </c>
      <c r="CQ171" s="11" t="s">
        <v>815</v>
      </c>
      <c r="CR171" s="11" t="s">
        <v>815</v>
      </c>
      <c r="CS171" s="11" t="s">
        <v>815</v>
      </c>
      <c r="CT171" s="11" t="s">
        <v>815</v>
      </c>
      <c r="CU171" s="11" t="s">
        <v>815</v>
      </c>
      <c r="CV171" s="11" t="s">
        <v>815</v>
      </c>
      <c r="CW171" s="11" t="s">
        <v>815</v>
      </c>
      <c r="CX171" s="11" t="s">
        <v>815</v>
      </c>
      <c r="CY171" s="11" t="s">
        <v>815</v>
      </c>
      <c r="CZ171" s="11" t="s">
        <v>815</v>
      </c>
      <c r="DA171" s="2">
        <v>2</v>
      </c>
      <c r="DB171" s="11" t="s">
        <v>815</v>
      </c>
      <c r="DC171" s="11" t="s">
        <v>815</v>
      </c>
      <c r="DD171" s="11" t="s">
        <v>815</v>
      </c>
      <c r="DE171" s="2">
        <v>1</v>
      </c>
      <c r="DF171" s="2">
        <v>1</v>
      </c>
      <c r="DG171" s="2">
        <v>1</v>
      </c>
      <c r="DH171" s="11" t="s">
        <v>815</v>
      </c>
      <c r="DI171" s="11" t="s">
        <v>815</v>
      </c>
      <c r="DJ171" s="11" t="s">
        <v>815</v>
      </c>
      <c r="DK171" s="11" t="s">
        <v>815</v>
      </c>
      <c r="DL171" s="11" t="s">
        <v>815</v>
      </c>
      <c r="DM171" s="11" t="s">
        <v>815</v>
      </c>
      <c r="DN171" s="11" t="s">
        <v>815</v>
      </c>
      <c r="DO171" s="11" t="s">
        <v>815</v>
      </c>
      <c r="DP171" s="2">
        <v>1</v>
      </c>
      <c r="DQ171" s="2">
        <v>1</v>
      </c>
      <c r="DR171" s="11" t="s">
        <v>815</v>
      </c>
      <c r="DS171" s="11" t="s">
        <v>815</v>
      </c>
      <c r="DT171" s="11" t="s">
        <v>815</v>
      </c>
      <c r="DU171" s="11" t="s">
        <v>815</v>
      </c>
      <c r="DV171" s="11" t="s">
        <v>815</v>
      </c>
      <c r="DW171" s="11" t="s">
        <v>815</v>
      </c>
      <c r="DX171" s="11" t="s">
        <v>815</v>
      </c>
      <c r="DY171" s="11" t="s">
        <v>815</v>
      </c>
      <c r="DZ171" s="11" t="s">
        <v>815</v>
      </c>
      <c r="EA171" s="11" t="s">
        <v>815</v>
      </c>
      <c r="EB171" s="2">
        <v>1</v>
      </c>
      <c r="EC171" s="2">
        <v>1</v>
      </c>
      <c r="ED171" s="11" t="s">
        <v>815</v>
      </c>
      <c r="EE171" s="2">
        <v>1</v>
      </c>
      <c r="EF171" s="11" t="s">
        <v>815</v>
      </c>
      <c r="EG171" s="11" t="s">
        <v>815</v>
      </c>
      <c r="EH171" s="11" t="s">
        <v>815</v>
      </c>
      <c r="EI171" s="11" t="s">
        <v>815</v>
      </c>
      <c r="EJ171" s="2">
        <v>1</v>
      </c>
      <c r="EK171" s="11" t="s">
        <v>815</v>
      </c>
      <c r="EL171" s="11" t="s">
        <v>815</v>
      </c>
      <c r="EM171" s="11" t="s">
        <v>815</v>
      </c>
      <c r="EN171" s="11" t="s">
        <v>815</v>
      </c>
      <c r="EO171" s="11" t="s">
        <v>815</v>
      </c>
      <c r="EP171" s="11" t="s">
        <v>815</v>
      </c>
      <c r="EQ171" s="2">
        <v>1</v>
      </c>
      <c r="ER171" s="11" t="s">
        <v>815</v>
      </c>
      <c r="ES171" s="11" t="s">
        <v>815</v>
      </c>
      <c r="ET171" s="11" t="s">
        <v>815</v>
      </c>
      <c r="EU171" s="11" t="s">
        <v>815</v>
      </c>
      <c r="EV171" s="11" t="s">
        <v>815</v>
      </c>
      <c r="EW171" s="11" t="s">
        <v>815</v>
      </c>
      <c r="EX171" s="11" t="s">
        <v>815</v>
      </c>
      <c r="EY171" s="11" t="s">
        <v>815</v>
      </c>
      <c r="EZ171" s="11" t="s">
        <v>815</v>
      </c>
      <c r="FA171" s="11" t="s">
        <v>815</v>
      </c>
      <c r="FB171" s="11" t="s">
        <v>815</v>
      </c>
      <c r="FC171" s="11" t="s">
        <v>815</v>
      </c>
      <c r="FD171" s="11" t="s">
        <v>815</v>
      </c>
      <c r="FE171" s="11" t="s">
        <v>815</v>
      </c>
      <c r="FF171" s="11" t="s">
        <v>815</v>
      </c>
      <c r="FG171" s="11" t="s">
        <v>815</v>
      </c>
      <c r="FH171" s="11" t="s">
        <v>815</v>
      </c>
      <c r="FI171" s="11" t="s">
        <v>815</v>
      </c>
      <c r="FJ171" s="11" t="s">
        <v>815</v>
      </c>
      <c r="FK171" s="11" t="s">
        <v>815</v>
      </c>
      <c r="FL171" s="11" t="s">
        <v>815</v>
      </c>
      <c r="FM171" s="11" t="s">
        <v>815</v>
      </c>
      <c r="FN171" s="11" t="s">
        <v>815</v>
      </c>
      <c r="FO171" s="11" t="s">
        <v>815</v>
      </c>
      <c r="FP171" s="11" t="s">
        <v>815</v>
      </c>
      <c r="FQ171" s="11" t="s">
        <v>815</v>
      </c>
      <c r="FR171" s="11" t="s">
        <v>815</v>
      </c>
      <c r="FS171" s="11" t="s">
        <v>815</v>
      </c>
      <c r="FT171" s="11" t="s">
        <v>815</v>
      </c>
      <c r="FU171" s="11" t="s">
        <v>815</v>
      </c>
      <c r="FV171" s="11" t="s">
        <v>815</v>
      </c>
      <c r="FW171" s="11" t="s">
        <v>815</v>
      </c>
      <c r="FX171" s="11" t="s">
        <v>815</v>
      </c>
      <c r="FY171" s="11" t="s">
        <v>815</v>
      </c>
      <c r="FZ171" s="11" t="s">
        <v>815</v>
      </c>
      <c r="GA171" s="11" t="s">
        <v>815</v>
      </c>
      <c r="GB171" s="11" t="s">
        <v>815</v>
      </c>
      <c r="GC171" s="2" t="s">
        <v>274</v>
      </c>
      <c r="GD171" s="11" t="s">
        <v>815</v>
      </c>
      <c r="GE171" s="2">
        <v>1</v>
      </c>
      <c r="GF171" s="11" t="s">
        <v>815</v>
      </c>
      <c r="GG171" s="11" t="s">
        <v>815</v>
      </c>
      <c r="GH171" s="11" t="s">
        <v>815</v>
      </c>
      <c r="GI171" s="11" t="s">
        <v>815</v>
      </c>
      <c r="GJ171" s="11" t="s">
        <v>815</v>
      </c>
      <c r="GK171" s="11" t="s">
        <v>815</v>
      </c>
      <c r="GL171" s="11" t="s">
        <v>815</v>
      </c>
      <c r="GM171" s="11" t="s">
        <v>815</v>
      </c>
      <c r="GN171" s="12" t="s">
        <v>815</v>
      </c>
      <c r="GO171" s="12" t="s">
        <v>815</v>
      </c>
      <c r="GP171" s="12" t="s">
        <v>815</v>
      </c>
      <c r="GQ171" s="12" t="s">
        <v>815</v>
      </c>
      <c r="GR171" s="12" t="s">
        <v>815</v>
      </c>
      <c r="GS171" s="12" t="s">
        <v>815</v>
      </c>
      <c r="GT171" s="12" t="s">
        <v>815</v>
      </c>
      <c r="GU171" s="12" t="s">
        <v>815</v>
      </c>
      <c r="GV171" s="12" t="s">
        <v>815</v>
      </c>
      <c r="GW171" s="12" t="s">
        <v>815</v>
      </c>
      <c r="GX171" s="12" t="s">
        <v>815</v>
      </c>
      <c r="GY171" s="12" t="s">
        <v>815</v>
      </c>
      <c r="GZ171" s="12" t="s">
        <v>815</v>
      </c>
      <c r="HA171" s="12" t="s">
        <v>815</v>
      </c>
      <c r="HB171" s="12" t="s">
        <v>815</v>
      </c>
      <c r="HC171" s="12" t="s">
        <v>815</v>
      </c>
      <c r="HD171" s="12" t="s">
        <v>815</v>
      </c>
      <c r="HE171" s="12" t="s">
        <v>815</v>
      </c>
      <c r="HF171" s="12" t="s">
        <v>815</v>
      </c>
      <c r="HG171" s="12" t="s">
        <v>815</v>
      </c>
      <c r="HH171" s="12" t="s">
        <v>815</v>
      </c>
      <c r="HI171" s="12" t="s">
        <v>815</v>
      </c>
      <c r="HJ171" s="12" t="s">
        <v>815</v>
      </c>
      <c r="HK171" s="12" t="s">
        <v>815</v>
      </c>
      <c r="HL171" s="12" t="s">
        <v>815</v>
      </c>
      <c r="HM171" s="12" t="s">
        <v>815</v>
      </c>
      <c r="HN171" s="12" t="s">
        <v>815</v>
      </c>
      <c r="HO171" s="12" t="s">
        <v>815</v>
      </c>
      <c r="HP171" s="12" t="s">
        <v>815</v>
      </c>
      <c r="HQ171" s="12" t="s">
        <v>815</v>
      </c>
      <c r="HR171" s="12" t="s">
        <v>815</v>
      </c>
      <c r="HS171" s="12" t="s">
        <v>815</v>
      </c>
      <c r="HT171" s="12" t="s">
        <v>815</v>
      </c>
      <c r="HU171" s="12" t="s">
        <v>815</v>
      </c>
      <c r="HV171" s="12" t="s">
        <v>815</v>
      </c>
      <c r="HW171" s="12" t="s">
        <v>815</v>
      </c>
      <c r="HX171" s="12" t="s">
        <v>815</v>
      </c>
      <c r="HY171" s="12" t="s">
        <v>815</v>
      </c>
      <c r="HZ171" s="12" t="s">
        <v>815</v>
      </c>
      <c r="IA171" s="12" t="s">
        <v>815</v>
      </c>
      <c r="IB171" s="12" t="s">
        <v>815</v>
      </c>
      <c r="IC171" s="12" t="s">
        <v>815</v>
      </c>
      <c r="ID171" s="12" t="s">
        <v>815</v>
      </c>
      <c r="IE171" s="12" t="s">
        <v>815</v>
      </c>
      <c r="IF171" s="12" t="s">
        <v>815</v>
      </c>
      <c r="IG171" s="12" t="s">
        <v>815</v>
      </c>
      <c r="IH171" s="12" t="s">
        <v>815</v>
      </c>
      <c r="II171" s="12" t="s">
        <v>815</v>
      </c>
      <c r="IJ171" s="12" t="s">
        <v>815</v>
      </c>
      <c r="IK171" s="12" t="s">
        <v>815</v>
      </c>
      <c r="IL171" s="12" t="s">
        <v>815</v>
      </c>
      <c r="IM171" s="12" t="s">
        <v>815</v>
      </c>
      <c r="IN171" s="12" t="s">
        <v>815</v>
      </c>
      <c r="IO171" s="12" t="s">
        <v>815</v>
      </c>
      <c r="IP171" s="12" t="s">
        <v>815</v>
      </c>
      <c r="IQ171" s="12" t="s">
        <v>815</v>
      </c>
      <c r="IR171" s="3" t="s">
        <v>274</v>
      </c>
      <c r="IS171" s="12" t="s">
        <v>815</v>
      </c>
      <c r="IT171" s="12" t="s">
        <v>815</v>
      </c>
      <c r="IU171" s="12" t="s">
        <v>815</v>
      </c>
      <c r="IV171" s="12" t="s">
        <v>815</v>
      </c>
      <c r="IW171" s="12" t="s">
        <v>815</v>
      </c>
      <c r="IX171" s="12" t="s">
        <v>815</v>
      </c>
      <c r="IY171" s="12" t="s">
        <v>815</v>
      </c>
      <c r="IZ171" s="2" t="s">
        <v>816</v>
      </c>
    </row>
    <row r="172" spans="1:260" ht="13.2" x14ac:dyDescent="0.25">
      <c r="A172" s="10" t="s">
        <v>274</v>
      </c>
      <c r="B172" s="2" t="s">
        <v>1199</v>
      </c>
      <c r="C172" s="2" t="s">
        <v>261</v>
      </c>
      <c r="D172" s="2" t="s">
        <v>270</v>
      </c>
      <c r="E172" s="2">
        <v>53</v>
      </c>
      <c r="F172" s="11" t="s">
        <v>1200</v>
      </c>
      <c r="G172" s="11" t="s">
        <v>1201</v>
      </c>
      <c r="H172" s="2" t="s">
        <v>748</v>
      </c>
      <c r="I172" s="3">
        <v>1</v>
      </c>
      <c r="J172" s="3">
        <v>1</v>
      </c>
      <c r="K172" s="3">
        <v>2</v>
      </c>
      <c r="L172" s="3">
        <v>1</v>
      </c>
      <c r="M172" s="3">
        <v>2</v>
      </c>
      <c r="N172" s="3">
        <v>1</v>
      </c>
      <c r="O172" s="3">
        <v>1</v>
      </c>
      <c r="P172" s="12" t="s">
        <v>815</v>
      </c>
      <c r="Q172" s="3">
        <v>1</v>
      </c>
      <c r="R172" s="12" t="s">
        <v>815</v>
      </c>
      <c r="S172" s="12" t="s">
        <v>815</v>
      </c>
      <c r="T172" s="12" t="s">
        <v>815</v>
      </c>
      <c r="U172" s="12" t="s">
        <v>815</v>
      </c>
      <c r="V172" s="12" t="s">
        <v>815</v>
      </c>
      <c r="W172" s="3">
        <v>1</v>
      </c>
      <c r="X172" s="3">
        <v>1</v>
      </c>
      <c r="Y172" s="3">
        <v>2</v>
      </c>
      <c r="Z172" s="3">
        <v>1</v>
      </c>
      <c r="AA172" s="12" t="s">
        <v>815</v>
      </c>
      <c r="AB172" s="12" t="s">
        <v>815</v>
      </c>
      <c r="AC172" s="3">
        <v>2</v>
      </c>
      <c r="AD172" s="3">
        <v>2</v>
      </c>
      <c r="AE172" s="3">
        <v>1</v>
      </c>
      <c r="AF172" s="12" t="s">
        <v>815</v>
      </c>
      <c r="AG172" s="12" t="s">
        <v>815</v>
      </c>
      <c r="AH172" s="12" t="s">
        <v>815</v>
      </c>
      <c r="AI172" s="3">
        <v>1</v>
      </c>
      <c r="AJ172" s="12" t="s">
        <v>815</v>
      </c>
      <c r="AK172" s="3">
        <v>1</v>
      </c>
      <c r="AL172" s="3">
        <v>2</v>
      </c>
      <c r="AM172" s="3">
        <v>1</v>
      </c>
      <c r="AN172" s="3">
        <v>1</v>
      </c>
      <c r="AO172" s="12" t="s">
        <v>815</v>
      </c>
      <c r="AP172" s="12" t="s">
        <v>815</v>
      </c>
      <c r="AQ172" s="12" t="s">
        <v>815</v>
      </c>
      <c r="AR172" s="12" t="s">
        <v>815</v>
      </c>
      <c r="AS172" s="12" t="s">
        <v>815</v>
      </c>
      <c r="AT172" s="3">
        <v>2</v>
      </c>
      <c r="AU172" s="3">
        <v>2</v>
      </c>
      <c r="AV172" s="3">
        <v>2</v>
      </c>
      <c r="AW172" s="3">
        <v>3</v>
      </c>
      <c r="AX172" s="12" t="s">
        <v>815</v>
      </c>
      <c r="AY172" s="3">
        <v>2</v>
      </c>
      <c r="AZ172" s="3">
        <v>1</v>
      </c>
      <c r="BA172" s="3">
        <v>2</v>
      </c>
      <c r="BB172" s="12" t="s">
        <v>815</v>
      </c>
      <c r="BC172" s="12" t="s">
        <v>815</v>
      </c>
      <c r="BD172" s="12" t="s">
        <v>815</v>
      </c>
      <c r="BE172" s="12" t="s">
        <v>815</v>
      </c>
      <c r="BF172" s="3">
        <v>2</v>
      </c>
      <c r="BG172" s="3">
        <v>1</v>
      </c>
      <c r="BH172" s="12" t="s">
        <v>815</v>
      </c>
      <c r="BI172" s="12" t="s">
        <v>815</v>
      </c>
      <c r="BJ172" s="12" t="s">
        <v>815</v>
      </c>
      <c r="BK172" s="12" t="s">
        <v>815</v>
      </c>
      <c r="BL172" s="12" t="s">
        <v>815</v>
      </c>
      <c r="BM172" s="3" t="s">
        <v>274</v>
      </c>
      <c r="BN172" s="3">
        <v>1</v>
      </c>
      <c r="BO172" s="3">
        <v>1</v>
      </c>
      <c r="BP172" s="3">
        <v>2</v>
      </c>
      <c r="BQ172" s="3">
        <v>1</v>
      </c>
      <c r="BR172" s="3">
        <v>1</v>
      </c>
      <c r="BS172" s="3">
        <v>1</v>
      </c>
      <c r="BT172" s="3">
        <v>1</v>
      </c>
      <c r="BU172" s="2">
        <v>2</v>
      </c>
      <c r="BV172" s="11" t="s">
        <v>815</v>
      </c>
      <c r="BW172" s="2">
        <v>1</v>
      </c>
      <c r="BX172" s="11" t="s">
        <v>815</v>
      </c>
      <c r="BY172" s="11" t="s">
        <v>815</v>
      </c>
      <c r="BZ172" s="2">
        <v>1</v>
      </c>
      <c r="CA172" s="11" t="s">
        <v>815</v>
      </c>
      <c r="CB172" s="2">
        <v>1</v>
      </c>
      <c r="CC172" s="2">
        <v>2</v>
      </c>
      <c r="CD172" s="11" t="s">
        <v>815</v>
      </c>
      <c r="CE172" s="11" t="s">
        <v>815</v>
      </c>
      <c r="CF172" s="11" t="s">
        <v>815</v>
      </c>
      <c r="CG172" s="2">
        <v>1</v>
      </c>
      <c r="CH172" s="2">
        <v>2</v>
      </c>
      <c r="CI172" s="11" t="s">
        <v>815</v>
      </c>
      <c r="CJ172" s="11" t="s">
        <v>815</v>
      </c>
      <c r="CK172" s="11" t="s">
        <v>815</v>
      </c>
      <c r="CL172" s="11" t="s">
        <v>815</v>
      </c>
      <c r="CM172" s="11" t="s">
        <v>815</v>
      </c>
      <c r="CN172" s="11" t="s">
        <v>815</v>
      </c>
      <c r="CO172" s="11" t="s">
        <v>815</v>
      </c>
      <c r="CP172" s="2">
        <v>1</v>
      </c>
      <c r="CQ172" s="11" t="s">
        <v>815</v>
      </c>
      <c r="CR172" s="2">
        <v>1</v>
      </c>
      <c r="CS172" s="11" t="s">
        <v>815</v>
      </c>
      <c r="CT172" s="11" t="s">
        <v>815</v>
      </c>
      <c r="CU172" s="2">
        <v>1</v>
      </c>
      <c r="CV172" s="11" t="s">
        <v>815</v>
      </c>
      <c r="CW172" s="11" t="s">
        <v>815</v>
      </c>
      <c r="CX172" s="11" t="s">
        <v>815</v>
      </c>
      <c r="CY172" s="11" t="s">
        <v>815</v>
      </c>
      <c r="CZ172" s="11" t="s">
        <v>815</v>
      </c>
      <c r="DA172" s="2">
        <v>2</v>
      </c>
      <c r="DB172" s="11" t="s">
        <v>815</v>
      </c>
      <c r="DC172" s="11" t="s">
        <v>815</v>
      </c>
      <c r="DD172" s="11" t="s">
        <v>815</v>
      </c>
      <c r="DE172" s="11" t="s">
        <v>815</v>
      </c>
      <c r="DF172" s="2">
        <v>1</v>
      </c>
      <c r="DG172" s="11" t="s">
        <v>815</v>
      </c>
      <c r="DH172" s="2">
        <v>1</v>
      </c>
      <c r="DI172" s="2">
        <v>1</v>
      </c>
      <c r="DJ172" s="11" t="s">
        <v>815</v>
      </c>
      <c r="DK172" s="11" t="s">
        <v>815</v>
      </c>
      <c r="DL172" s="2">
        <v>2</v>
      </c>
      <c r="DM172" s="11" t="s">
        <v>815</v>
      </c>
      <c r="DN172" s="11" t="s">
        <v>815</v>
      </c>
      <c r="DO172" s="11" t="s">
        <v>815</v>
      </c>
      <c r="DP172" s="11" t="s">
        <v>815</v>
      </c>
      <c r="DQ172" s="2">
        <v>1</v>
      </c>
      <c r="DR172" s="11" t="s">
        <v>815</v>
      </c>
      <c r="DS172" s="2">
        <v>1</v>
      </c>
      <c r="DT172" s="2">
        <v>1</v>
      </c>
      <c r="DU172" s="11" t="s">
        <v>815</v>
      </c>
      <c r="DV172" s="11" t="s">
        <v>815</v>
      </c>
      <c r="DW172" s="11" t="s">
        <v>815</v>
      </c>
      <c r="DX172" s="11" t="s">
        <v>815</v>
      </c>
      <c r="DY172" s="2">
        <v>1</v>
      </c>
      <c r="DZ172" s="2">
        <v>1</v>
      </c>
      <c r="EA172" s="11" t="s">
        <v>815</v>
      </c>
      <c r="EB172" s="2">
        <v>1</v>
      </c>
      <c r="EC172" s="2">
        <v>2</v>
      </c>
      <c r="ED172" s="11" t="s">
        <v>815</v>
      </c>
      <c r="EE172" s="11" t="s">
        <v>815</v>
      </c>
      <c r="EF172" s="11" t="s">
        <v>815</v>
      </c>
      <c r="EG172" s="2">
        <v>2</v>
      </c>
      <c r="EH172" s="11" t="s">
        <v>815</v>
      </c>
      <c r="EI172" s="11" t="s">
        <v>815</v>
      </c>
      <c r="EJ172" s="2">
        <v>1</v>
      </c>
      <c r="EK172" s="11" t="s">
        <v>815</v>
      </c>
      <c r="EL172" s="11" t="s">
        <v>815</v>
      </c>
      <c r="EM172" s="11" t="s">
        <v>815</v>
      </c>
      <c r="EN172" s="11" t="s">
        <v>815</v>
      </c>
      <c r="EO172" s="11" t="s">
        <v>815</v>
      </c>
      <c r="EP172" s="11" t="s">
        <v>815</v>
      </c>
      <c r="EQ172" s="11" t="s">
        <v>815</v>
      </c>
      <c r="ER172" s="11" t="s">
        <v>815</v>
      </c>
      <c r="ES172" s="11" t="s">
        <v>815</v>
      </c>
      <c r="ET172" s="2">
        <v>1</v>
      </c>
      <c r="EU172" s="11" t="s">
        <v>815</v>
      </c>
      <c r="EV172" s="11" t="s">
        <v>815</v>
      </c>
      <c r="EW172" s="11" t="s">
        <v>815</v>
      </c>
      <c r="EX172" s="2">
        <v>1</v>
      </c>
      <c r="EY172" s="11" t="s">
        <v>815</v>
      </c>
      <c r="EZ172" s="11" t="s">
        <v>815</v>
      </c>
      <c r="FA172" s="11" t="s">
        <v>815</v>
      </c>
      <c r="FB172" s="11" t="s">
        <v>815</v>
      </c>
      <c r="FC172" s="11" t="s">
        <v>815</v>
      </c>
      <c r="FD172" s="11" t="s">
        <v>815</v>
      </c>
      <c r="FE172" s="11" t="s">
        <v>815</v>
      </c>
      <c r="FF172" s="11" t="s">
        <v>815</v>
      </c>
      <c r="FG172" s="2">
        <v>1</v>
      </c>
      <c r="FH172" s="11" t="s">
        <v>815</v>
      </c>
      <c r="FI172" s="11" t="s">
        <v>815</v>
      </c>
      <c r="FJ172" s="11" t="s">
        <v>815</v>
      </c>
      <c r="FK172" s="2">
        <v>1</v>
      </c>
      <c r="FL172" s="2">
        <v>1</v>
      </c>
      <c r="FM172" s="2">
        <v>1</v>
      </c>
      <c r="FN172" s="11" t="s">
        <v>815</v>
      </c>
      <c r="FO172" s="11" t="s">
        <v>815</v>
      </c>
      <c r="FP172" s="11" t="s">
        <v>815</v>
      </c>
      <c r="FQ172" s="2">
        <v>2</v>
      </c>
      <c r="FR172" s="11" t="s">
        <v>815</v>
      </c>
      <c r="FS172" s="11" t="s">
        <v>815</v>
      </c>
      <c r="FT172" s="11" t="s">
        <v>815</v>
      </c>
      <c r="FU172" s="11" t="s">
        <v>815</v>
      </c>
      <c r="FV172" s="11" t="s">
        <v>815</v>
      </c>
      <c r="FW172" s="11" t="s">
        <v>815</v>
      </c>
      <c r="FX172" s="11" t="s">
        <v>815</v>
      </c>
      <c r="FY172" s="11" t="s">
        <v>815</v>
      </c>
      <c r="FZ172" s="11" t="s">
        <v>815</v>
      </c>
      <c r="GA172" s="11" t="s">
        <v>815</v>
      </c>
      <c r="GB172" s="11" t="s">
        <v>815</v>
      </c>
      <c r="GC172" s="2" t="s">
        <v>274</v>
      </c>
      <c r="GD172" s="2">
        <v>1</v>
      </c>
      <c r="GE172" s="2">
        <v>1</v>
      </c>
      <c r="GF172" s="11" t="s">
        <v>815</v>
      </c>
      <c r="GG172" s="2">
        <v>1</v>
      </c>
      <c r="GH172" s="2">
        <v>1</v>
      </c>
      <c r="GI172" s="2">
        <v>1</v>
      </c>
      <c r="GJ172" s="11" t="s">
        <v>815</v>
      </c>
      <c r="GK172" s="11" t="s">
        <v>815</v>
      </c>
      <c r="GL172" s="2">
        <v>1</v>
      </c>
      <c r="GM172" s="11" t="s">
        <v>815</v>
      </c>
      <c r="GN172" s="3">
        <v>1</v>
      </c>
      <c r="GO172" s="3">
        <v>1</v>
      </c>
      <c r="GP172" s="12" t="s">
        <v>815</v>
      </c>
      <c r="GQ172" s="3">
        <v>1</v>
      </c>
      <c r="GR172" s="3">
        <v>1</v>
      </c>
      <c r="GS172" s="12" t="s">
        <v>815</v>
      </c>
      <c r="GT172" s="12" t="s">
        <v>815</v>
      </c>
      <c r="GU172" s="12" t="s">
        <v>815</v>
      </c>
      <c r="GV172" s="12" t="s">
        <v>815</v>
      </c>
      <c r="GW172" s="12" t="s">
        <v>815</v>
      </c>
      <c r="GX172" s="12" t="s">
        <v>815</v>
      </c>
      <c r="GY172" s="12" t="s">
        <v>815</v>
      </c>
      <c r="GZ172" s="12" t="s">
        <v>815</v>
      </c>
      <c r="HA172" s="12" t="s">
        <v>815</v>
      </c>
      <c r="HB172" s="12" t="s">
        <v>815</v>
      </c>
      <c r="HC172" s="12" t="s">
        <v>815</v>
      </c>
      <c r="HD172" s="12" t="s">
        <v>815</v>
      </c>
      <c r="HE172" s="12" t="s">
        <v>815</v>
      </c>
      <c r="HF172" s="12" t="s">
        <v>815</v>
      </c>
      <c r="HG172" s="12" t="s">
        <v>815</v>
      </c>
      <c r="HH172" s="3">
        <v>1</v>
      </c>
      <c r="HI172" s="12" t="s">
        <v>815</v>
      </c>
      <c r="HJ172" s="12" t="s">
        <v>815</v>
      </c>
      <c r="HK172" s="3">
        <v>1</v>
      </c>
      <c r="HL172" s="12" t="s">
        <v>815</v>
      </c>
      <c r="HM172" s="12" t="s">
        <v>815</v>
      </c>
      <c r="HN172" s="12" t="s">
        <v>815</v>
      </c>
      <c r="HO172" s="12" t="s">
        <v>815</v>
      </c>
      <c r="HP172" s="12" t="s">
        <v>815</v>
      </c>
      <c r="HQ172" s="12" t="s">
        <v>815</v>
      </c>
      <c r="HR172" s="12" t="s">
        <v>815</v>
      </c>
      <c r="HS172" s="12" t="s">
        <v>815</v>
      </c>
      <c r="HT172" s="12" t="s">
        <v>815</v>
      </c>
      <c r="HU172" s="12" t="s">
        <v>815</v>
      </c>
      <c r="HV172" s="12" t="s">
        <v>815</v>
      </c>
      <c r="HW172" s="12" t="s">
        <v>815</v>
      </c>
      <c r="HX172" s="12" t="s">
        <v>815</v>
      </c>
      <c r="HY172" s="12" t="s">
        <v>815</v>
      </c>
      <c r="HZ172" s="12" t="s">
        <v>815</v>
      </c>
      <c r="IA172" s="12" t="s">
        <v>815</v>
      </c>
      <c r="IB172" s="12" t="s">
        <v>815</v>
      </c>
      <c r="IC172" s="12" t="s">
        <v>815</v>
      </c>
      <c r="ID172" s="12" t="s">
        <v>815</v>
      </c>
      <c r="IE172" s="12" t="s">
        <v>815</v>
      </c>
      <c r="IF172" s="12" t="s">
        <v>815</v>
      </c>
      <c r="IG172" s="12" t="s">
        <v>815</v>
      </c>
      <c r="IH172" s="12" t="s">
        <v>815</v>
      </c>
      <c r="II172" s="3">
        <v>2</v>
      </c>
      <c r="IJ172" s="12" t="s">
        <v>815</v>
      </c>
      <c r="IK172" s="12" t="s">
        <v>815</v>
      </c>
      <c r="IL172" s="12" t="s">
        <v>815</v>
      </c>
      <c r="IM172" s="3">
        <v>1</v>
      </c>
      <c r="IN172" s="12" t="s">
        <v>815</v>
      </c>
      <c r="IO172" s="12" t="s">
        <v>815</v>
      </c>
      <c r="IP172" s="12" t="s">
        <v>815</v>
      </c>
      <c r="IQ172" s="12" t="s">
        <v>815</v>
      </c>
      <c r="IR172" s="3" t="s">
        <v>274</v>
      </c>
      <c r="IS172" s="12" t="s">
        <v>815</v>
      </c>
      <c r="IT172" s="12" t="s">
        <v>815</v>
      </c>
      <c r="IU172" s="3">
        <v>1</v>
      </c>
      <c r="IV172" s="12" t="s">
        <v>815</v>
      </c>
      <c r="IW172" s="12" t="s">
        <v>815</v>
      </c>
      <c r="IX172" s="12" t="s">
        <v>815</v>
      </c>
      <c r="IY172" s="3">
        <v>1</v>
      </c>
      <c r="IZ172" s="2" t="s">
        <v>816</v>
      </c>
    </row>
    <row r="173" spans="1:260" ht="13.2" x14ac:dyDescent="0.25">
      <c r="A173" s="10" t="s">
        <v>274</v>
      </c>
      <c r="B173" s="2" t="s">
        <v>1202</v>
      </c>
      <c r="C173" s="2" t="s">
        <v>276</v>
      </c>
      <c r="D173" s="2" t="s">
        <v>325</v>
      </c>
      <c r="E173" s="2">
        <v>27</v>
      </c>
      <c r="F173" s="11" t="s">
        <v>1203</v>
      </c>
      <c r="G173" s="11" t="s">
        <v>1204</v>
      </c>
      <c r="H173" s="2" t="s">
        <v>807</v>
      </c>
      <c r="I173" s="3">
        <v>4</v>
      </c>
      <c r="J173" s="3">
        <v>4</v>
      </c>
      <c r="K173" s="3">
        <v>4</v>
      </c>
      <c r="L173" s="3">
        <v>4</v>
      </c>
      <c r="M173" s="3">
        <v>4</v>
      </c>
      <c r="N173" s="3">
        <v>4</v>
      </c>
      <c r="O173" s="3">
        <v>4</v>
      </c>
      <c r="P173" s="3">
        <v>4</v>
      </c>
      <c r="Q173" s="3">
        <v>4</v>
      </c>
      <c r="R173" s="3">
        <v>4</v>
      </c>
      <c r="S173" s="3">
        <v>4</v>
      </c>
      <c r="T173" s="3">
        <v>4</v>
      </c>
      <c r="U173" s="3">
        <v>4</v>
      </c>
      <c r="V173" s="3">
        <v>3</v>
      </c>
      <c r="W173" s="3">
        <v>4</v>
      </c>
      <c r="X173" s="3">
        <v>4</v>
      </c>
      <c r="Y173" s="3">
        <v>4</v>
      </c>
      <c r="Z173" s="3">
        <v>4</v>
      </c>
      <c r="AA173" s="3">
        <v>4</v>
      </c>
      <c r="AB173" s="3">
        <v>4</v>
      </c>
      <c r="AC173" s="3">
        <v>4</v>
      </c>
      <c r="AD173" s="3">
        <v>4</v>
      </c>
      <c r="AE173" s="3">
        <v>4</v>
      </c>
      <c r="AF173" s="3">
        <v>4</v>
      </c>
      <c r="AG173" s="3">
        <v>4</v>
      </c>
      <c r="AH173" s="3">
        <v>4</v>
      </c>
      <c r="AI173" s="3">
        <v>4</v>
      </c>
      <c r="AJ173" s="3">
        <v>4</v>
      </c>
      <c r="AK173" s="3">
        <v>4</v>
      </c>
      <c r="AL173" s="3">
        <v>4</v>
      </c>
      <c r="AM173" s="3">
        <v>3</v>
      </c>
      <c r="AN173" s="3">
        <v>4</v>
      </c>
      <c r="AO173" s="3">
        <v>4</v>
      </c>
      <c r="AP173" s="3">
        <v>4</v>
      </c>
      <c r="AQ173" s="3">
        <v>4</v>
      </c>
      <c r="AR173" s="3">
        <v>4</v>
      </c>
      <c r="AS173" s="3">
        <v>4</v>
      </c>
      <c r="AT173" s="3">
        <v>4</v>
      </c>
      <c r="AU173" s="3">
        <v>4</v>
      </c>
      <c r="AV173" s="3">
        <v>4</v>
      </c>
      <c r="AW173" s="3">
        <v>4</v>
      </c>
      <c r="AX173" s="3">
        <v>4</v>
      </c>
      <c r="AY173" s="3">
        <v>4</v>
      </c>
      <c r="AZ173" s="3">
        <v>4</v>
      </c>
      <c r="BA173" s="3">
        <v>4</v>
      </c>
      <c r="BB173" s="3">
        <v>4</v>
      </c>
      <c r="BC173" s="3">
        <v>4</v>
      </c>
      <c r="BD173" s="3">
        <v>3</v>
      </c>
      <c r="BE173" s="3">
        <v>4</v>
      </c>
      <c r="BF173" s="3">
        <v>4</v>
      </c>
      <c r="BG173" s="3">
        <v>4</v>
      </c>
      <c r="BH173" s="3">
        <v>4</v>
      </c>
      <c r="BI173" s="3">
        <v>4</v>
      </c>
      <c r="BJ173" s="3">
        <v>4</v>
      </c>
      <c r="BK173" s="3">
        <v>4</v>
      </c>
      <c r="BL173" s="3">
        <v>4</v>
      </c>
      <c r="BM173" s="3" t="s">
        <v>1205</v>
      </c>
      <c r="BN173" s="3">
        <v>4</v>
      </c>
      <c r="BO173" s="3">
        <v>4</v>
      </c>
      <c r="BP173" s="3">
        <v>4</v>
      </c>
      <c r="BQ173" s="3">
        <v>4</v>
      </c>
      <c r="BR173" s="3">
        <v>4</v>
      </c>
      <c r="BS173" s="3">
        <v>4</v>
      </c>
      <c r="BT173" s="3">
        <v>4</v>
      </c>
      <c r="BU173" s="2">
        <v>4</v>
      </c>
      <c r="BV173" s="2">
        <v>4</v>
      </c>
      <c r="BW173" s="2">
        <v>4</v>
      </c>
      <c r="BX173" s="2">
        <v>4</v>
      </c>
      <c r="BY173" s="2">
        <v>4</v>
      </c>
      <c r="BZ173" s="2">
        <v>4</v>
      </c>
      <c r="CA173" s="2">
        <v>3</v>
      </c>
      <c r="CB173" s="2">
        <v>4</v>
      </c>
      <c r="CC173" s="2">
        <v>4</v>
      </c>
      <c r="CD173" s="2">
        <v>4</v>
      </c>
      <c r="CE173" s="2">
        <v>4</v>
      </c>
      <c r="CF173" s="2">
        <v>4</v>
      </c>
      <c r="CG173" s="2">
        <v>4</v>
      </c>
      <c r="CH173" s="2">
        <v>4</v>
      </c>
      <c r="CI173" s="2">
        <v>4</v>
      </c>
      <c r="CJ173" s="2">
        <v>4</v>
      </c>
      <c r="CK173" s="2">
        <v>4</v>
      </c>
      <c r="CL173" s="2">
        <v>4</v>
      </c>
      <c r="CM173" s="2">
        <v>4</v>
      </c>
      <c r="CN173" s="2">
        <v>4</v>
      </c>
      <c r="CO173" s="2">
        <v>4</v>
      </c>
      <c r="CP173" s="2">
        <v>4</v>
      </c>
      <c r="CQ173" s="2">
        <v>4</v>
      </c>
      <c r="CR173" s="2">
        <v>4</v>
      </c>
      <c r="CS173" s="2">
        <v>4</v>
      </c>
      <c r="CT173" s="2">
        <v>4</v>
      </c>
      <c r="CU173" s="2">
        <v>4</v>
      </c>
      <c r="CV173" s="2">
        <v>4</v>
      </c>
      <c r="CW173" s="2">
        <v>4</v>
      </c>
      <c r="CX173" s="2">
        <v>4</v>
      </c>
      <c r="CY173" s="2">
        <v>4</v>
      </c>
      <c r="CZ173" s="2">
        <v>3</v>
      </c>
      <c r="DA173" s="2">
        <v>4</v>
      </c>
      <c r="DB173" s="2">
        <v>4</v>
      </c>
      <c r="DC173" s="2">
        <v>4</v>
      </c>
      <c r="DD173" s="2">
        <v>4</v>
      </c>
      <c r="DE173" s="2">
        <v>4</v>
      </c>
      <c r="DF173" s="2">
        <v>4</v>
      </c>
      <c r="DG173" s="2">
        <v>4</v>
      </c>
      <c r="DH173" s="2">
        <v>4</v>
      </c>
      <c r="DI173" s="2">
        <v>4</v>
      </c>
      <c r="DJ173" s="2">
        <v>4</v>
      </c>
      <c r="DK173" s="2">
        <v>4</v>
      </c>
      <c r="DL173" s="2">
        <v>4</v>
      </c>
      <c r="DM173" s="2">
        <v>4</v>
      </c>
      <c r="DN173" s="2">
        <v>4</v>
      </c>
      <c r="DO173" s="2">
        <v>4</v>
      </c>
      <c r="DP173" s="2">
        <v>4</v>
      </c>
      <c r="DQ173" s="2">
        <v>4</v>
      </c>
      <c r="DR173" s="2">
        <v>4</v>
      </c>
      <c r="DS173" s="2">
        <v>4</v>
      </c>
      <c r="DT173" s="2">
        <v>4</v>
      </c>
      <c r="DU173" s="2">
        <v>4</v>
      </c>
      <c r="DV173" s="2">
        <v>4</v>
      </c>
      <c r="DW173" s="2">
        <v>4</v>
      </c>
      <c r="DX173" s="2">
        <v>4</v>
      </c>
      <c r="DY173" s="2">
        <v>4</v>
      </c>
      <c r="DZ173" s="2">
        <v>4</v>
      </c>
      <c r="EA173" s="2">
        <v>4</v>
      </c>
      <c r="EB173" s="2">
        <v>4</v>
      </c>
      <c r="EC173" s="2">
        <v>4</v>
      </c>
      <c r="ED173" s="2">
        <v>4</v>
      </c>
      <c r="EE173" s="2">
        <v>4</v>
      </c>
      <c r="EF173" s="2">
        <v>4</v>
      </c>
      <c r="EG173" s="2">
        <v>4</v>
      </c>
      <c r="EH173" s="2">
        <v>4</v>
      </c>
      <c r="EI173" s="2">
        <v>4</v>
      </c>
      <c r="EJ173" s="2">
        <v>4</v>
      </c>
      <c r="EK173" s="2">
        <v>4</v>
      </c>
      <c r="EL173" s="2">
        <v>4</v>
      </c>
      <c r="EM173" s="2">
        <v>3</v>
      </c>
      <c r="EN173" s="2">
        <v>4</v>
      </c>
      <c r="EO173" s="2">
        <v>4</v>
      </c>
      <c r="EP173" s="2">
        <v>4</v>
      </c>
      <c r="EQ173" s="2">
        <v>4</v>
      </c>
      <c r="ER173" s="2">
        <v>4</v>
      </c>
      <c r="ES173" s="2">
        <v>4</v>
      </c>
      <c r="ET173" s="2">
        <v>4</v>
      </c>
      <c r="EU173" s="2">
        <v>4</v>
      </c>
      <c r="EV173" s="2">
        <v>4</v>
      </c>
      <c r="EW173" s="2">
        <v>4</v>
      </c>
      <c r="EX173" s="2">
        <v>4</v>
      </c>
      <c r="EY173" s="2">
        <v>4</v>
      </c>
      <c r="EZ173" s="2">
        <v>4</v>
      </c>
      <c r="FA173" s="2">
        <v>4</v>
      </c>
      <c r="FB173" s="2">
        <v>4</v>
      </c>
      <c r="FC173" s="2">
        <v>4</v>
      </c>
      <c r="FD173" s="2">
        <v>4</v>
      </c>
      <c r="FE173" s="2">
        <v>4</v>
      </c>
      <c r="FF173" s="2">
        <v>4</v>
      </c>
      <c r="FG173" s="2">
        <v>4</v>
      </c>
      <c r="FH173" s="2">
        <v>4</v>
      </c>
      <c r="FI173" s="2">
        <v>4</v>
      </c>
      <c r="FJ173" s="2">
        <v>4</v>
      </c>
      <c r="FK173" s="2">
        <v>4</v>
      </c>
      <c r="FL173" s="2">
        <v>4</v>
      </c>
      <c r="FM173" s="2">
        <v>4</v>
      </c>
      <c r="FN173" s="2">
        <v>4</v>
      </c>
      <c r="FO173" s="2">
        <v>4</v>
      </c>
      <c r="FP173" s="2">
        <v>4</v>
      </c>
      <c r="FQ173" s="2">
        <v>4</v>
      </c>
      <c r="FR173" s="2">
        <v>4</v>
      </c>
      <c r="FS173" s="2">
        <v>4</v>
      </c>
      <c r="FT173" s="2">
        <v>4</v>
      </c>
      <c r="FU173" s="2">
        <v>4</v>
      </c>
      <c r="FV173" s="2">
        <v>4</v>
      </c>
      <c r="FW173" s="2">
        <v>4</v>
      </c>
      <c r="FX173" s="2">
        <v>4</v>
      </c>
      <c r="FY173" s="2">
        <v>3</v>
      </c>
      <c r="FZ173" s="2">
        <v>4</v>
      </c>
      <c r="GA173" s="2">
        <v>4</v>
      </c>
      <c r="GB173" s="2">
        <v>4</v>
      </c>
      <c r="GC173" s="2" t="s">
        <v>1206</v>
      </c>
      <c r="GD173" s="2">
        <v>4</v>
      </c>
      <c r="GE173" s="2">
        <v>4</v>
      </c>
      <c r="GF173" s="2">
        <v>4</v>
      </c>
      <c r="GG173" s="2">
        <v>4</v>
      </c>
      <c r="GH173" s="2">
        <v>4</v>
      </c>
      <c r="GI173" s="2">
        <v>4</v>
      </c>
      <c r="GJ173" s="2">
        <v>3</v>
      </c>
      <c r="GK173" s="2">
        <v>4</v>
      </c>
      <c r="GL173" s="2">
        <v>4</v>
      </c>
      <c r="GM173" s="2">
        <v>3</v>
      </c>
      <c r="GN173" s="3">
        <v>4</v>
      </c>
      <c r="GO173" s="3">
        <v>4</v>
      </c>
      <c r="GP173" s="3">
        <v>4</v>
      </c>
      <c r="GQ173" s="3">
        <v>4</v>
      </c>
      <c r="GR173" s="3">
        <v>4</v>
      </c>
      <c r="GS173" s="3">
        <v>4</v>
      </c>
      <c r="GT173" s="3">
        <v>4</v>
      </c>
      <c r="GU173" s="3">
        <v>2</v>
      </c>
      <c r="GV173" s="3">
        <v>4</v>
      </c>
      <c r="GW173" s="3">
        <v>4</v>
      </c>
      <c r="GX173" s="3">
        <v>3</v>
      </c>
      <c r="GY173" s="3">
        <v>4</v>
      </c>
      <c r="GZ173" s="3">
        <v>4</v>
      </c>
      <c r="HA173" s="3">
        <v>4</v>
      </c>
      <c r="HB173" s="3">
        <v>2</v>
      </c>
      <c r="HC173" s="3">
        <v>3</v>
      </c>
      <c r="HD173" s="3">
        <v>3</v>
      </c>
      <c r="HE173" s="3">
        <v>1</v>
      </c>
      <c r="HF173" s="3">
        <v>4</v>
      </c>
      <c r="HG173" s="3">
        <v>3</v>
      </c>
      <c r="HH173" s="3">
        <v>4</v>
      </c>
      <c r="HI173" s="3">
        <v>3</v>
      </c>
      <c r="HJ173" s="3">
        <v>4</v>
      </c>
      <c r="HK173" s="3">
        <v>4</v>
      </c>
      <c r="HL173" s="3">
        <v>2</v>
      </c>
      <c r="HM173" s="3">
        <v>4</v>
      </c>
      <c r="HN173" s="3">
        <v>2</v>
      </c>
      <c r="HO173" s="3">
        <v>4</v>
      </c>
      <c r="HP173" s="3">
        <v>4</v>
      </c>
      <c r="HQ173" s="3">
        <v>4</v>
      </c>
      <c r="HR173" s="3">
        <v>4</v>
      </c>
      <c r="HS173" s="3">
        <v>4</v>
      </c>
      <c r="HT173" s="3">
        <v>4</v>
      </c>
      <c r="HU173" s="3">
        <v>4</v>
      </c>
      <c r="HV173" s="3">
        <v>4</v>
      </c>
      <c r="HW173" s="3">
        <v>4</v>
      </c>
      <c r="HX173" s="3">
        <v>4</v>
      </c>
      <c r="HY173" s="3">
        <v>3</v>
      </c>
      <c r="HZ173" s="3">
        <v>4</v>
      </c>
      <c r="IA173" s="3">
        <v>4</v>
      </c>
      <c r="IB173" s="3">
        <v>4</v>
      </c>
      <c r="IC173" s="3">
        <v>4</v>
      </c>
      <c r="ID173" s="3">
        <v>4</v>
      </c>
      <c r="IE173" s="3">
        <v>3</v>
      </c>
      <c r="IF173" s="3">
        <v>4</v>
      </c>
      <c r="IG173" s="3">
        <v>4</v>
      </c>
      <c r="IH173" s="3">
        <v>4</v>
      </c>
      <c r="II173" s="3">
        <v>2</v>
      </c>
      <c r="IJ173" s="3">
        <v>4</v>
      </c>
      <c r="IK173" s="3">
        <v>4</v>
      </c>
      <c r="IL173" s="3">
        <v>4</v>
      </c>
      <c r="IM173" s="3">
        <v>4</v>
      </c>
      <c r="IN173" s="3">
        <v>3</v>
      </c>
      <c r="IO173" s="3">
        <v>4</v>
      </c>
      <c r="IP173" s="3">
        <v>3</v>
      </c>
      <c r="IQ173" s="3">
        <v>3</v>
      </c>
      <c r="IR173" s="3" t="s">
        <v>1207</v>
      </c>
      <c r="IS173" s="3">
        <v>4</v>
      </c>
      <c r="IT173" s="3">
        <v>4</v>
      </c>
      <c r="IU173" s="3">
        <v>4</v>
      </c>
      <c r="IV173" s="3">
        <v>4</v>
      </c>
      <c r="IW173" s="3">
        <v>4</v>
      </c>
      <c r="IX173" s="3">
        <v>4</v>
      </c>
      <c r="IY173" s="3">
        <v>3</v>
      </c>
      <c r="IZ173" s="2" t="s">
        <v>816</v>
      </c>
    </row>
    <row r="174" spans="1:260" ht="13.2" x14ac:dyDescent="0.25">
      <c r="A174" s="10"/>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row>
    <row r="175" spans="1:260" ht="13.2" x14ac:dyDescent="0.25">
      <c r="A175" s="10"/>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row>
    <row r="176" spans="1:260" ht="13.2" x14ac:dyDescent="0.25">
      <c r="A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row>
    <row r="177" spans="1:259" ht="13.2" x14ac:dyDescent="0.25">
      <c r="A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row>
    <row r="178" spans="1:259" ht="13.2" x14ac:dyDescent="0.25">
      <c r="A178" s="1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row>
    <row r="179" spans="1:259" ht="13.2" x14ac:dyDescent="0.25">
      <c r="A179" s="10"/>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row>
    <row r="180" spans="1:259" ht="13.2" x14ac:dyDescent="0.25">
      <c r="A180" s="10"/>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row>
    <row r="181" spans="1:259" ht="13.2" x14ac:dyDescent="0.25">
      <c r="A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row>
    <row r="182" spans="1:259" ht="13.2" x14ac:dyDescent="0.25">
      <c r="A182" s="10"/>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row>
    <row r="183" spans="1:259" ht="13.2" x14ac:dyDescent="0.25">
      <c r="A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row>
    <row r="184" spans="1:259" ht="13.2" x14ac:dyDescent="0.25">
      <c r="A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row>
    <row r="185" spans="1:259" ht="13.2" x14ac:dyDescent="0.25">
      <c r="A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row>
    <row r="186" spans="1:259" ht="13.2" x14ac:dyDescent="0.25">
      <c r="A186" s="10"/>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row>
    <row r="187" spans="1:259" ht="13.2" x14ac:dyDescent="0.25">
      <c r="A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row>
    <row r="188" spans="1:259" ht="13.2" x14ac:dyDescent="0.25">
      <c r="A188" s="10"/>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row>
    <row r="189" spans="1:259" ht="13.2" x14ac:dyDescent="0.25">
      <c r="A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row>
    <row r="190" spans="1:259" ht="13.2" x14ac:dyDescent="0.25">
      <c r="A190" s="10"/>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row>
    <row r="191" spans="1:259" ht="13.2" x14ac:dyDescent="0.25">
      <c r="A191" s="10"/>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row>
    <row r="192" spans="1:259" ht="13.2" x14ac:dyDescent="0.25">
      <c r="A192" s="1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row>
    <row r="193" spans="1:259" ht="13.2" x14ac:dyDescent="0.25">
      <c r="A193" s="1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row>
    <row r="194" spans="1:259" ht="13.2" x14ac:dyDescent="0.25">
      <c r="A194" s="10"/>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row>
    <row r="195" spans="1:259" ht="13.2" x14ac:dyDescent="0.25">
      <c r="A195" s="10"/>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row>
    <row r="196" spans="1:259" ht="13.2" x14ac:dyDescent="0.25">
      <c r="A196" s="1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row>
    <row r="197" spans="1:259" ht="13.2" x14ac:dyDescent="0.25">
      <c r="A197" s="1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row>
    <row r="198" spans="1:259" ht="13.2" x14ac:dyDescent="0.25">
      <c r="A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row>
    <row r="199" spans="1:259" ht="13.2" x14ac:dyDescent="0.25">
      <c r="A199" s="10"/>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row>
    <row r="200" spans="1:259" ht="13.2" x14ac:dyDescent="0.25">
      <c r="A200" s="10"/>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row>
    <row r="201" spans="1:259" ht="13.2" x14ac:dyDescent="0.25">
      <c r="A201" s="10"/>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row>
    <row r="202" spans="1:259" ht="13.2" x14ac:dyDescent="0.25">
      <c r="A202" s="10"/>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row>
    <row r="203" spans="1:259" ht="13.2" x14ac:dyDescent="0.25">
      <c r="A203" s="10"/>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row>
    <row r="204" spans="1:259" ht="13.2" x14ac:dyDescent="0.25">
      <c r="A204" s="10"/>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row>
    <row r="205" spans="1:259" ht="13.2" x14ac:dyDescent="0.25">
      <c r="A205" s="10"/>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row>
    <row r="206" spans="1:259" ht="13.2" x14ac:dyDescent="0.25">
      <c r="A206" s="10"/>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row>
    <row r="207" spans="1:259" ht="13.2" x14ac:dyDescent="0.25">
      <c r="A207" s="10"/>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row>
    <row r="208" spans="1:259" ht="13.2" x14ac:dyDescent="0.25">
      <c r="A208" s="10"/>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row>
    <row r="209" spans="1:259" ht="13.2" x14ac:dyDescent="0.25">
      <c r="A209" s="10"/>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row>
    <row r="210" spans="1:259" ht="13.2" x14ac:dyDescent="0.25">
      <c r="A210" s="10"/>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row>
    <row r="211" spans="1:259" ht="13.2" x14ac:dyDescent="0.25">
      <c r="A211" s="10"/>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row>
    <row r="212" spans="1:259" ht="13.2" x14ac:dyDescent="0.25">
      <c r="A212" s="10"/>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row>
    <row r="213" spans="1:259" ht="13.2" x14ac:dyDescent="0.25">
      <c r="A213" s="1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row>
    <row r="214" spans="1:259" ht="13.2" x14ac:dyDescent="0.25">
      <c r="A214" s="10"/>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row>
    <row r="215" spans="1:259" ht="13.2" x14ac:dyDescent="0.25">
      <c r="A215" s="10"/>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row>
    <row r="216" spans="1:259" ht="13.2" x14ac:dyDescent="0.25">
      <c r="A216" s="10"/>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row>
    <row r="217" spans="1:259" ht="13.2" x14ac:dyDescent="0.25">
      <c r="A217" s="10"/>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row>
    <row r="218" spans="1:259" ht="13.2" x14ac:dyDescent="0.25">
      <c r="A218" s="10"/>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row>
    <row r="219" spans="1:259" ht="13.2" x14ac:dyDescent="0.25">
      <c r="A219" s="10"/>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row>
    <row r="220" spans="1:259" ht="13.2" x14ac:dyDescent="0.25">
      <c r="A220" s="10"/>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row>
    <row r="221" spans="1:259" ht="13.2" x14ac:dyDescent="0.25">
      <c r="A221" s="10"/>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row>
    <row r="222" spans="1:259" ht="13.2" x14ac:dyDescent="0.25">
      <c r="A222" s="10"/>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row>
    <row r="223" spans="1:259" ht="13.2" x14ac:dyDescent="0.25">
      <c r="A223" s="10"/>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row>
    <row r="224" spans="1:259" ht="13.2" x14ac:dyDescent="0.25">
      <c r="A224" s="10"/>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row>
    <row r="225" spans="1:259" ht="13.2" x14ac:dyDescent="0.25">
      <c r="A225" s="10"/>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row>
    <row r="226" spans="1:259" ht="13.2" x14ac:dyDescent="0.25">
      <c r="A226" s="10"/>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row>
    <row r="227" spans="1:259" ht="13.2" x14ac:dyDescent="0.25">
      <c r="A227" s="10"/>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row>
    <row r="228" spans="1:259" ht="13.2" x14ac:dyDescent="0.25">
      <c r="A228" s="10"/>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row>
    <row r="229" spans="1:259" ht="13.2" x14ac:dyDescent="0.25">
      <c r="A229" s="10"/>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row>
    <row r="230" spans="1:259" ht="13.2" x14ac:dyDescent="0.25">
      <c r="A230" s="10"/>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row>
    <row r="231" spans="1:259" ht="13.2" x14ac:dyDescent="0.25">
      <c r="A231" s="10"/>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row>
    <row r="232" spans="1:259" ht="13.2" x14ac:dyDescent="0.25">
      <c r="A232" s="10"/>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row>
    <row r="233" spans="1:259" ht="13.2" x14ac:dyDescent="0.25">
      <c r="A233" s="10"/>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row>
    <row r="234" spans="1:259" ht="13.2" x14ac:dyDescent="0.25">
      <c r="A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row>
    <row r="235" spans="1:259" ht="13.2" x14ac:dyDescent="0.25">
      <c r="A235" s="10"/>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row>
    <row r="236" spans="1:259" ht="13.2" x14ac:dyDescent="0.25">
      <c r="A236" s="10"/>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row>
    <row r="237" spans="1:259" ht="13.2" x14ac:dyDescent="0.25">
      <c r="A237" s="10"/>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row>
    <row r="238" spans="1:259" ht="13.2" x14ac:dyDescent="0.25">
      <c r="A238" s="10"/>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row>
    <row r="239" spans="1:259" ht="13.2" x14ac:dyDescent="0.25">
      <c r="A239" s="10"/>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row>
    <row r="240" spans="1:259" ht="13.2" x14ac:dyDescent="0.25">
      <c r="A240" s="10"/>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row>
    <row r="241" spans="1:259" ht="13.2" x14ac:dyDescent="0.25">
      <c r="A241" s="10"/>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row>
    <row r="242" spans="1:259" ht="13.2" x14ac:dyDescent="0.25">
      <c r="A242" s="10"/>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row>
    <row r="243" spans="1:259" ht="13.2" x14ac:dyDescent="0.25">
      <c r="A243" s="10"/>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row>
    <row r="244" spans="1:259" ht="13.2" x14ac:dyDescent="0.25">
      <c r="A244" s="10"/>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row>
    <row r="245" spans="1:259" ht="13.2" x14ac:dyDescent="0.25">
      <c r="A245" s="10"/>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row>
    <row r="246" spans="1:259" ht="13.2" x14ac:dyDescent="0.25">
      <c r="A246" s="10"/>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row>
    <row r="247" spans="1:259" ht="13.2" x14ac:dyDescent="0.25">
      <c r="A247" s="10"/>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row>
    <row r="248" spans="1:259" ht="13.2" x14ac:dyDescent="0.25">
      <c r="A248" s="1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row>
    <row r="249" spans="1:259" ht="13.2" x14ac:dyDescent="0.25">
      <c r="A249" s="10"/>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row>
    <row r="250" spans="1:259" ht="13.2" x14ac:dyDescent="0.25">
      <c r="A250" s="10"/>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row>
    <row r="251" spans="1:259" ht="13.2" x14ac:dyDescent="0.25">
      <c r="A251" s="10"/>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row>
    <row r="252" spans="1:259" ht="13.2" x14ac:dyDescent="0.25">
      <c r="A252" s="10"/>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row>
    <row r="253" spans="1:259" ht="13.2" x14ac:dyDescent="0.25">
      <c r="A253" s="10"/>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row>
    <row r="254" spans="1:259" ht="13.2" x14ac:dyDescent="0.25">
      <c r="A254" s="10"/>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row>
    <row r="255" spans="1:259" ht="13.2" x14ac:dyDescent="0.25">
      <c r="A255" s="10"/>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row>
    <row r="256" spans="1:259" ht="13.2" x14ac:dyDescent="0.25">
      <c r="A256" s="10"/>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row>
    <row r="257" spans="1:259" ht="13.2" x14ac:dyDescent="0.25">
      <c r="A257" s="10"/>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row>
    <row r="258" spans="1:259" ht="13.2" x14ac:dyDescent="0.25">
      <c r="A258" s="10"/>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row>
    <row r="259" spans="1:259" ht="13.2" x14ac:dyDescent="0.25">
      <c r="A259" s="10"/>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row>
    <row r="260" spans="1:259" ht="13.2" x14ac:dyDescent="0.25">
      <c r="A260" s="10"/>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row>
    <row r="261" spans="1:259" ht="13.2" x14ac:dyDescent="0.25">
      <c r="A261" s="10"/>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row>
    <row r="262" spans="1:259" ht="13.2" x14ac:dyDescent="0.25">
      <c r="A262" s="10"/>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row>
    <row r="263" spans="1:259" ht="13.2" x14ac:dyDescent="0.25">
      <c r="A263" s="10"/>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row>
    <row r="264" spans="1:259" ht="13.2" x14ac:dyDescent="0.25">
      <c r="A264" s="10"/>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row>
    <row r="265" spans="1:259" ht="13.2" x14ac:dyDescent="0.25">
      <c r="A265" s="10"/>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row>
    <row r="266" spans="1:259" ht="13.2" x14ac:dyDescent="0.25">
      <c r="A266" s="10"/>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row>
    <row r="267" spans="1:259" ht="13.2" x14ac:dyDescent="0.25">
      <c r="A267" s="10"/>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row>
    <row r="268" spans="1:259" ht="13.2" x14ac:dyDescent="0.25">
      <c r="A268" s="10"/>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row>
    <row r="269" spans="1:259" ht="13.2" x14ac:dyDescent="0.25">
      <c r="A269" s="1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row>
    <row r="270" spans="1:259" ht="13.2" x14ac:dyDescent="0.25">
      <c r="A270" s="10"/>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row>
    <row r="271" spans="1:259" ht="13.2" x14ac:dyDescent="0.25">
      <c r="A271" s="10"/>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row>
    <row r="272" spans="1:259" ht="13.2" x14ac:dyDescent="0.25">
      <c r="A272" s="10"/>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row>
    <row r="273" spans="1:259" ht="13.2" x14ac:dyDescent="0.25">
      <c r="A273" s="10"/>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row>
    <row r="274" spans="1:259" ht="13.2" x14ac:dyDescent="0.25">
      <c r="A274" s="10"/>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row>
    <row r="275" spans="1:259" ht="13.2" x14ac:dyDescent="0.25">
      <c r="A275" s="10"/>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row>
    <row r="276" spans="1:259" ht="13.2" x14ac:dyDescent="0.25">
      <c r="A276" s="10"/>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row>
    <row r="277" spans="1:259" ht="13.2" x14ac:dyDescent="0.25">
      <c r="A277" s="10"/>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row>
    <row r="278" spans="1:259" ht="13.2" x14ac:dyDescent="0.25">
      <c r="A278" s="10"/>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row>
    <row r="279" spans="1:259" ht="13.2" x14ac:dyDescent="0.25">
      <c r="A279" s="10"/>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row>
    <row r="280" spans="1:259" ht="13.2" x14ac:dyDescent="0.25">
      <c r="A280" s="10"/>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row>
    <row r="281" spans="1:259" ht="13.2" x14ac:dyDescent="0.25">
      <c r="A281" s="10"/>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row>
    <row r="282" spans="1:259" ht="13.2" x14ac:dyDescent="0.25">
      <c r="A282" s="10"/>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row>
    <row r="283" spans="1:259" ht="13.2" x14ac:dyDescent="0.25">
      <c r="A283" s="10"/>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row>
    <row r="284" spans="1:259" ht="13.2" x14ac:dyDescent="0.25">
      <c r="A284" s="10"/>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row>
    <row r="285" spans="1:259" ht="13.2" x14ac:dyDescent="0.25">
      <c r="A285" s="10"/>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row>
    <row r="286" spans="1:259" ht="13.2" x14ac:dyDescent="0.25">
      <c r="A286" s="10"/>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row>
    <row r="287" spans="1:259" ht="13.2" x14ac:dyDescent="0.25">
      <c r="A287" s="10"/>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row>
    <row r="288" spans="1:259" ht="13.2" x14ac:dyDescent="0.25">
      <c r="A288" s="10"/>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row>
    <row r="289" spans="1:259" ht="13.2" x14ac:dyDescent="0.25">
      <c r="A289" s="10"/>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row>
    <row r="290" spans="1:259" ht="13.2" x14ac:dyDescent="0.25">
      <c r="A290" s="10"/>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row>
    <row r="291" spans="1:259" ht="13.2" x14ac:dyDescent="0.25">
      <c r="A291" s="10"/>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row>
    <row r="292" spans="1:259" ht="13.2" x14ac:dyDescent="0.25">
      <c r="A292" s="10"/>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row>
    <row r="293" spans="1:259" ht="13.2" x14ac:dyDescent="0.25">
      <c r="A293" s="10"/>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row>
    <row r="294" spans="1:259" ht="13.2" x14ac:dyDescent="0.25">
      <c r="A294" s="10"/>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row>
    <row r="295" spans="1:259" ht="13.2" x14ac:dyDescent="0.25">
      <c r="A295" s="10"/>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row>
    <row r="296" spans="1:259" ht="13.2" x14ac:dyDescent="0.25">
      <c r="A296" s="10"/>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row>
    <row r="297" spans="1:259" ht="13.2" x14ac:dyDescent="0.25">
      <c r="A297" s="10"/>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row>
    <row r="298" spans="1:259" ht="13.2" x14ac:dyDescent="0.25">
      <c r="A298" s="10"/>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row>
    <row r="299" spans="1:259" ht="13.2" x14ac:dyDescent="0.25">
      <c r="A299" s="10"/>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row>
    <row r="300" spans="1:259" ht="13.2" x14ac:dyDescent="0.25">
      <c r="A300" s="10"/>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row>
    <row r="301" spans="1:259" ht="13.2" x14ac:dyDescent="0.25">
      <c r="A301" s="10"/>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row>
    <row r="302" spans="1:259" ht="13.2" x14ac:dyDescent="0.25">
      <c r="A302" s="10"/>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row>
    <row r="303" spans="1:259" ht="13.2" x14ac:dyDescent="0.25">
      <c r="A303" s="10"/>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row>
    <row r="304" spans="1:259" ht="13.2" x14ac:dyDescent="0.25">
      <c r="A304" s="10"/>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row>
    <row r="305" spans="1:259" ht="13.2" x14ac:dyDescent="0.25">
      <c r="A305" s="10"/>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row>
    <row r="306" spans="1:259" ht="13.2" x14ac:dyDescent="0.25">
      <c r="A306" s="10"/>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row>
    <row r="307" spans="1:259" ht="13.2" x14ac:dyDescent="0.25">
      <c r="A307" s="10"/>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row>
    <row r="308" spans="1:259" ht="13.2" x14ac:dyDescent="0.25">
      <c r="A308" s="10"/>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row>
    <row r="309" spans="1:259" ht="13.2" x14ac:dyDescent="0.25">
      <c r="A309" s="10"/>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row>
    <row r="310" spans="1:259" ht="13.2" x14ac:dyDescent="0.25">
      <c r="A310" s="10"/>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row>
    <row r="311" spans="1:259" ht="13.2" x14ac:dyDescent="0.25">
      <c r="A311" s="10"/>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row>
    <row r="312" spans="1:259" ht="13.2" x14ac:dyDescent="0.25">
      <c r="A312" s="10"/>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row>
    <row r="313" spans="1:259" ht="13.2" x14ac:dyDescent="0.25">
      <c r="A313" s="10"/>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row>
    <row r="314" spans="1:259" ht="13.2" x14ac:dyDescent="0.25">
      <c r="A314" s="10"/>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row>
    <row r="315" spans="1:259" ht="13.2" x14ac:dyDescent="0.25">
      <c r="A315" s="10"/>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row>
    <row r="316" spans="1:259" ht="13.2" x14ac:dyDescent="0.25">
      <c r="A316" s="10"/>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row>
    <row r="317" spans="1:259" ht="13.2" x14ac:dyDescent="0.25">
      <c r="A317" s="10"/>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row>
    <row r="318" spans="1:259" ht="13.2" x14ac:dyDescent="0.25">
      <c r="A318" s="10"/>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row>
    <row r="319" spans="1:259" ht="13.2" x14ac:dyDescent="0.25">
      <c r="A319" s="10"/>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row>
    <row r="320" spans="1:259" ht="13.2" x14ac:dyDescent="0.25">
      <c r="A320" s="10"/>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row>
    <row r="321" spans="1:259" ht="13.2" x14ac:dyDescent="0.25">
      <c r="A321" s="10"/>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row>
    <row r="322" spans="1:259" ht="13.2" x14ac:dyDescent="0.25">
      <c r="A322" s="10"/>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row>
    <row r="323" spans="1:259" ht="13.2" x14ac:dyDescent="0.25">
      <c r="A323" s="10"/>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row>
    <row r="324" spans="1:259" ht="13.2" x14ac:dyDescent="0.25">
      <c r="A324" s="10"/>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row>
    <row r="325" spans="1:259" ht="13.2" x14ac:dyDescent="0.25">
      <c r="A325" s="10"/>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row>
    <row r="326" spans="1:259" ht="13.2" x14ac:dyDescent="0.25">
      <c r="A326" s="10"/>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row>
    <row r="327" spans="1:259" ht="13.2" x14ac:dyDescent="0.25">
      <c r="A327" s="10"/>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row>
    <row r="328" spans="1:259" ht="13.2" x14ac:dyDescent="0.25">
      <c r="A328" s="10"/>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row>
    <row r="329" spans="1:259" ht="13.2" x14ac:dyDescent="0.25">
      <c r="A329" s="10"/>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row>
    <row r="330" spans="1:259" ht="13.2" x14ac:dyDescent="0.25">
      <c r="A330" s="10"/>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row>
    <row r="331" spans="1:259" ht="13.2" x14ac:dyDescent="0.25">
      <c r="A331" s="10"/>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row>
    <row r="332" spans="1:259" ht="13.2" x14ac:dyDescent="0.25">
      <c r="A332" s="10"/>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row>
    <row r="333" spans="1:259" ht="13.2" x14ac:dyDescent="0.25">
      <c r="A333" s="10"/>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row>
    <row r="334" spans="1:259" ht="13.2" x14ac:dyDescent="0.25">
      <c r="A334" s="10"/>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row>
    <row r="335" spans="1:259" ht="13.2" x14ac:dyDescent="0.25">
      <c r="A335" s="10"/>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row>
    <row r="336" spans="1:259" ht="13.2" x14ac:dyDescent="0.25">
      <c r="A336" s="10"/>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row>
    <row r="337" spans="1:259" ht="13.2" x14ac:dyDescent="0.25">
      <c r="A337" s="10"/>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row>
    <row r="338" spans="1:259" ht="13.2" x14ac:dyDescent="0.25">
      <c r="A338" s="10"/>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row>
    <row r="339" spans="1:259" ht="13.2" x14ac:dyDescent="0.25">
      <c r="A339" s="10"/>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row>
    <row r="340" spans="1:259" ht="13.2" x14ac:dyDescent="0.25">
      <c r="A340" s="10"/>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row>
    <row r="341" spans="1:259" ht="13.2" x14ac:dyDescent="0.25">
      <c r="A341" s="10"/>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row>
    <row r="342" spans="1:259" ht="13.2" x14ac:dyDescent="0.25">
      <c r="A342" s="10"/>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row>
    <row r="343" spans="1:259" ht="13.2" x14ac:dyDescent="0.25">
      <c r="A343" s="10"/>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row>
    <row r="344" spans="1:259" ht="13.2" x14ac:dyDescent="0.25">
      <c r="A344" s="10"/>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row>
    <row r="345" spans="1:259" ht="13.2" x14ac:dyDescent="0.25">
      <c r="A345" s="10"/>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row>
    <row r="346" spans="1:259" ht="13.2" x14ac:dyDescent="0.25">
      <c r="A346" s="10"/>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row>
    <row r="347" spans="1:259" ht="13.2" x14ac:dyDescent="0.25">
      <c r="A347" s="10"/>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row>
    <row r="348" spans="1:259" ht="13.2" x14ac:dyDescent="0.25">
      <c r="A348" s="10"/>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row>
    <row r="349" spans="1:259" ht="13.2" x14ac:dyDescent="0.25">
      <c r="A349" s="10"/>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row>
    <row r="350" spans="1:259" ht="13.2" x14ac:dyDescent="0.25">
      <c r="A350" s="10"/>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row>
    <row r="351" spans="1:259" ht="13.2" x14ac:dyDescent="0.25">
      <c r="A351" s="10"/>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row>
    <row r="352" spans="1:259" ht="13.2" x14ac:dyDescent="0.25">
      <c r="A352" s="10"/>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row>
    <row r="353" spans="1:259" ht="13.2" x14ac:dyDescent="0.25">
      <c r="A353" s="10"/>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row>
    <row r="354" spans="1:259" ht="13.2" x14ac:dyDescent="0.25">
      <c r="A354" s="10"/>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row>
    <row r="355" spans="1:259" ht="13.2" x14ac:dyDescent="0.25">
      <c r="A355" s="10"/>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row>
    <row r="356" spans="1:259" ht="13.2" x14ac:dyDescent="0.25">
      <c r="A356" s="10"/>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row>
    <row r="357" spans="1:259" ht="13.2" x14ac:dyDescent="0.25">
      <c r="A357" s="10"/>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row>
    <row r="358" spans="1:259" ht="13.2" x14ac:dyDescent="0.25">
      <c r="A358" s="10"/>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row>
    <row r="359" spans="1:259" ht="13.2" x14ac:dyDescent="0.25">
      <c r="A359" s="10"/>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row>
    <row r="360" spans="1:259" ht="13.2" x14ac:dyDescent="0.25">
      <c r="A360" s="10"/>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row>
    <row r="361" spans="1:259" ht="13.2" x14ac:dyDescent="0.25">
      <c r="A361" s="10"/>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row>
    <row r="362" spans="1:259" ht="13.2" x14ac:dyDescent="0.25">
      <c r="A362" s="10"/>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row>
    <row r="363" spans="1:259" ht="13.2" x14ac:dyDescent="0.25">
      <c r="A363" s="10"/>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row>
    <row r="364" spans="1:259" ht="13.2" x14ac:dyDescent="0.25">
      <c r="A364" s="10"/>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row>
    <row r="365" spans="1:259" ht="13.2" x14ac:dyDescent="0.25">
      <c r="A365" s="10"/>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row>
    <row r="366" spans="1:259" ht="13.2" x14ac:dyDescent="0.25">
      <c r="A366" s="10"/>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row>
    <row r="367" spans="1:259" ht="13.2" x14ac:dyDescent="0.25">
      <c r="A367" s="10"/>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row>
    <row r="368" spans="1:259" ht="13.2" x14ac:dyDescent="0.25">
      <c r="A368" s="10"/>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row>
    <row r="369" spans="1:259" ht="13.2" x14ac:dyDescent="0.25">
      <c r="A369" s="10"/>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row>
    <row r="370" spans="1:259" ht="13.2" x14ac:dyDescent="0.25">
      <c r="A370" s="10"/>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row>
    <row r="371" spans="1:259" ht="13.2" x14ac:dyDescent="0.25">
      <c r="A371" s="10"/>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row>
    <row r="372" spans="1:259" ht="13.2" x14ac:dyDescent="0.25">
      <c r="A372" s="10"/>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row>
    <row r="373" spans="1:259" ht="13.2" x14ac:dyDescent="0.25">
      <c r="A373" s="10"/>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row>
    <row r="374" spans="1:259" ht="13.2" x14ac:dyDescent="0.25">
      <c r="A374" s="10"/>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row>
    <row r="375" spans="1:259" ht="13.2" x14ac:dyDescent="0.25">
      <c r="A375" s="10"/>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row>
    <row r="376" spans="1:259" ht="13.2" x14ac:dyDescent="0.25">
      <c r="A376" s="10"/>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row>
    <row r="377" spans="1:259" ht="13.2" x14ac:dyDescent="0.25">
      <c r="A377" s="10"/>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row>
    <row r="378" spans="1:259" ht="13.2" x14ac:dyDescent="0.25">
      <c r="A378" s="10"/>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row>
    <row r="379" spans="1:259" ht="13.2" x14ac:dyDescent="0.25">
      <c r="A379" s="10"/>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row>
    <row r="380" spans="1:259" ht="13.2" x14ac:dyDescent="0.25">
      <c r="A380" s="10"/>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row>
    <row r="381" spans="1:259" ht="13.2" x14ac:dyDescent="0.25">
      <c r="A381" s="10"/>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row>
    <row r="382" spans="1:259" ht="13.2" x14ac:dyDescent="0.25">
      <c r="A382" s="10"/>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row>
    <row r="383" spans="1:259" ht="13.2" x14ac:dyDescent="0.25">
      <c r="A383" s="10"/>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row>
    <row r="384" spans="1:259" ht="13.2" x14ac:dyDescent="0.25">
      <c r="A384" s="10"/>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row>
    <row r="385" spans="1:259" ht="13.2" x14ac:dyDescent="0.25">
      <c r="A385" s="10"/>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row>
    <row r="386" spans="1:259" ht="13.2" x14ac:dyDescent="0.25">
      <c r="A386" s="10"/>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row>
    <row r="387" spans="1:259" ht="13.2" x14ac:dyDescent="0.25">
      <c r="A387" s="10"/>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row>
    <row r="388" spans="1:259" ht="13.2" x14ac:dyDescent="0.25">
      <c r="A388" s="10"/>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row>
    <row r="389" spans="1:259" ht="13.2" x14ac:dyDescent="0.25">
      <c r="A389" s="10"/>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row>
    <row r="390" spans="1:259" ht="13.2" x14ac:dyDescent="0.25">
      <c r="A390" s="10"/>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row>
    <row r="391" spans="1:259" ht="13.2" x14ac:dyDescent="0.25">
      <c r="A391" s="10"/>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row>
    <row r="392" spans="1:259" ht="13.2" x14ac:dyDescent="0.25">
      <c r="A392" s="10"/>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row>
    <row r="393" spans="1:259" ht="13.2" x14ac:dyDescent="0.25">
      <c r="A393" s="10"/>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row>
    <row r="394" spans="1:259" ht="13.2" x14ac:dyDescent="0.25">
      <c r="A394" s="10"/>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row>
    <row r="395" spans="1:259" ht="13.2" x14ac:dyDescent="0.25">
      <c r="A395" s="10"/>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row>
    <row r="396" spans="1:259" ht="13.2" x14ac:dyDescent="0.25">
      <c r="A396" s="10"/>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row>
    <row r="397" spans="1:259" ht="13.2" x14ac:dyDescent="0.25">
      <c r="A397" s="10"/>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row>
    <row r="398" spans="1:259" ht="13.2" x14ac:dyDescent="0.25">
      <c r="A398" s="10"/>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row>
    <row r="399" spans="1:259" ht="13.2" x14ac:dyDescent="0.25">
      <c r="A399" s="10"/>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row>
    <row r="400" spans="1:259" ht="13.2" x14ac:dyDescent="0.25">
      <c r="A400" s="10"/>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row>
    <row r="401" spans="1:259" ht="13.2" x14ac:dyDescent="0.25">
      <c r="A401" s="10"/>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row>
    <row r="402" spans="1:259" ht="13.2" x14ac:dyDescent="0.25">
      <c r="A402" s="10"/>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row>
    <row r="403" spans="1:259" ht="13.2" x14ac:dyDescent="0.25">
      <c r="A403" s="10"/>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row>
    <row r="404" spans="1:259" ht="13.2" x14ac:dyDescent="0.25">
      <c r="A404" s="10"/>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row>
    <row r="405" spans="1:259" ht="13.2" x14ac:dyDescent="0.25">
      <c r="A405" s="10"/>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row>
    <row r="406" spans="1:259" ht="13.2" x14ac:dyDescent="0.25">
      <c r="A406" s="10"/>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row>
    <row r="407" spans="1:259" ht="13.2" x14ac:dyDescent="0.25">
      <c r="A407" s="10"/>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row>
    <row r="408" spans="1:259" ht="13.2" x14ac:dyDescent="0.25">
      <c r="A408" s="10"/>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row>
    <row r="409" spans="1:259" ht="13.2" x14ac:dyDescent="0.25">
      <c r="A409" s="10"/>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row>
    <row r="410" spans="1:259" ht="13.2" x14ac:dyDescent="0.25">
      <c r="A410" s="10"/>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row>
    <row r="411" spans="1:259" ht="13.2" x14ac:dyDescent="0.25">
      <c r="A411" s="10"/>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row>
    <row r="412" spans="1:259" ht="13.2" x14ac:dyDescent="0.25">
      <c r="A412" s="10"/>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row>
    <row r="413" spans="1:259" ht="13.2" x14ac:dyDescent="0.25">
      <c r="A413" s="10"/>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row>
    <row r="414" spans="1:259" ht="13.2" x14ac:dyDescent="0.25">
      <c r="A414" s="10"/>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row>
    <row r="415" spans="1:259" ht="13.2" x14ac:dyDescent="0.25">
      <c r="A415" s="10"/>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row>
    <row r="416" spans="1:259" ht="13.2" x14ac:dyDescent="0.25">
      <c r="A416" s="10"/>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row>
    <row r="417" spans="1:259" ht="13.2" x14ac:dyDescent="0.25">
      <c r="A417" s="10"/>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row>
    <row r="418" spans="1:259" ht="13.2" x14ac:dyDescent="0.25">
      <c r="A418" s="10"/>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row>
    <row r="419" spans="1:259" ht="13.2" x14ac:dyDescent="0.25">
      <c r="A419" s="10"/>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row>
    <row r="420" spans="1:259" ht="13.2" x14ac:dyDescent="0.25">
      <c r="A420" s="10"/>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row>
    <row r="421" spans="1:259" ht="13.2" x14ac:dyDescent="0.25">
      <c r="A421" s="10"/>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row>
    <row r="422" spans="1:259" ht="13.2" x14ac:dyDescent="0.25">
      <c r="A422" s="10"/>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row>
    <row r="423" spans="1:259" ht="13.2" x14ac:dyDescent="0.25">
      <c r="A423" s="10"/>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row>
    <row r="424" spans="1:259" ht="13.2" x14ac:dyDescent="0.25">
      <c r="A424" s="10"/>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row>
    <row r="425" spans="1:259" ht="13.2" x14ac:dyDescent="0.25">
      <c r="A425" s="10"/>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row>
    <row r="426" spans="1:259" ht="13.2" x14ac:dyDescent="0.25">
      <c r="A426" s="10"/>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row>
    <row r="427" spans="1:259" ht="13.2" x14ac:dyDescent="0.25">
      <c r="A427" s="10"/>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row>
    <row r="428" spans="1:259" ht="13.2" x14ac:dyDescent="0.25">
      <c r="A428" s="10"/>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row>
    <row r="429" spans="1:259" ht="13.2" x14ac:dyDescent="0.25">
      <c r="A429" s="10"/>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row>
    <row r="430" spans="1:259" ht="13.2" x14ac:dyDescent="0.25">
      <c r="A430" s="10"/>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row>
    <row r="431" spans="1:259" ht="13.2" x14ac:dyDescent="0.25">
      <c r="A431" s="10"/>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row>
    <row r="432" spans="1:259" ht="13.2" x14ac:dyDescent="0.25">
      <c r="A432" s="10"/>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row>
    <row r="433" spans="1:259" ht="13.2" x14ac:dyDescent="0.25">
      <c r="A433" s="10"/>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row>
    <row r="434" spans="1:259" ht="13.2" x14ac:dyDescent="0.25">
      <c r="A434" s="10"/>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row>
    <row r="435" spans="1:259" ht="13.2" x14ac:dyDescent="0.25">
      <c r="A435" s="10"/>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row>
    <row r="436" spans="1:259" ht="13.2" x14ac:dyDescent="0.25">
      <c r="A436" s="10"/>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row>
    <row r="437" spans="1:259" ht="13.2" x14ac:dyDescent="0.25">
      <c r="A437" s="10"/>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row>
    <row r="438" spans="1:259" ht="13.2" x14ac:dyDescent="0.25">
      <c r="A438" s="10"/>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row>
    <row r="439" spans="1:259" ht="13.2" x14ac:dyDescent="0.25">
      <c r="A439" s="10"/>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row>
    <row r="440" spans="1:259" ht="13.2" x14ac:dyDescent="0.25">
      <c r="A440" s="10"/>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row>
    <row r="441" spans="1:259" ht="13.2" x14ac:dyDescent="0.25">
      <c r="A441" s="10"/>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row>
    <row r="442" spans="1:259" ht="13.2" x14ac:dyDescent="0.25">
      <c r="A442" s="10"/>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row>
    <row r="443" spans="1:259" ht="13.2" x14ac:dyDescent="0.25">
      <c r="A443" s="10"/>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row>
    <row r="444" spans="1:259" ht="13.2" x14ac:dyDescent="0.25">
      <c r="A444" s="10"/>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row>
    <row r="445" spans="1:259" ht="13.2" x14ac:dyDescent="0.25">
      <c r="A445" s="10"/>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row>
    <row r="446" spans="1:259" ht="13.2" x14ac:dyDescent="0.25">
      <c r="A446" s="10"/>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row>
    <row r="447" spans="1:259" ht="13.2" x14ac:dyDescent="0.25">
      <c r="A447" s="10"/>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row>
    <row r="448" spans="1:259" ht="13.2" x14ac:dyDescent="0.25">
      <c r="A448" s="10"/>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row>
    <row r="449" spans="1:259" ht="13.2" x14ac:dyDescent="0.25">
      <c r="A449" s="10"/>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row>
    <row r="450" spans="1:259" ht="13.2" x14ac:dyDescent="0.25">
      <c r="A450" s="10"/>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row>
    <row r="451" spans="1:259" ht="13.2" x14ac:dyDescent="0.25">
      <c r="A451" s="10"/>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row>
    <row r="452" spans="1:259" ht="13.2" x14ac:dyDescent="0.25">
      <c r="A452" s="10"/>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row>
    <row r="453" spans="1:259" ht="13.2" x14ac:dyDescent="0.25">
      <c r="A453" s="10"/>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row>
    <row r="454" spans="1:259" ht="13.2" x14ac:dyDescent="0.25">
      <c r="A454" s="10"/>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row>
    <row r="455" spans="1:259" ht="13.2" x14ac:dyDescent="0.25">
      <c r="A455" s="10"/>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row>
    <row r="456" spans="1:259" ht="13.2" x14ac:dyDescent="0.25">
      <c r="A456" s="10"/>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row>
    <row r="457" spans="1:259" ht="13.2" x14ac:dyDescent="0.25">
      <c r="A457" s="10"/>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row>
    <row r="458" spans="1:259" ht="13.2" x14ac:dyDescent="0.25">
      <c r="A458" s="10"/>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row>
    <row r="459" spans="1:259" ht="13.2" x14ac:dyDescent="0.25">
      <c r="A459" s="10"/>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row>
    <row r="460" spans="1:259" ht="13.2" x14ac:dyDescent="0.25">
      <c r="A460" s="10"/>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row>
    <row r="461" spans="1:259" ht="13.2" x14ac:dyDescent="0.25">
      <c r="A461" s="10"/>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row>
    <row r="462" spans="1:259" ht="13.2" x14ac:dyDescent="0.25">
      <c r="A462" s="10"/>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row>
    <row r="463" spans="1:259" ht="13.2" x14ac:dyDescent="0.25">
      <c r="A463" s="10"/>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row>
    <row r="464" spans="1:259" ht="13.2" x14ac:dyDescent="0.25">
      <c r="A464" s="10"/>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row>
    <row r="465" spans="1:259" ht="13.2" x14ac:dyDescent="0.25">
      <c r="A465" s="10"/>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row>
    <row r="466" spans="1:259" ht="13.2" x14ac:dyDescent="0.25">
      <c r="A466" s="10"/>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row>
    <row r="467" spans="1:259" ht="13.2" x14ac:dyDescent="0.25">
      <c r="A467" s="10"/>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row>
    <row r="468" spans="1:259" ht="13.2" x14ac:dyDescent="0.25">
      <c r="A468" s="10"/>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row>
    <row r="469" spans="1:259" ht="13.2" x14ac:dyDescent="0.25">
      <c r="A469" s="10"/>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row>
    <row r="470" spans="1:259" ht="13.2" x14ac:dyDescent="0.25">
      <c r="A470" s="10"/>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row>
    <row r="471" spans="1:259" ht="13.2" x14ac:dyDescent="0.25">
      <c r="A471" s="10"/>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row>
    <row r="472" spans="1:259" ht="13.2" x14ac:dyDescent="0.25">
      <c r="A472" s="10"/>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row>
    <row r="473" spans="1:259" ht="13.2" x14ac:dyDescent="0.25">
      <c r="A473" s="10"/>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row>
    <row r="474" spans="1:259" ht="13.2" x14ac:dyDescent="0.25">
      <c r="A474" s="10"/>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row>
    <row r="475" spans="1:259" ht="13.2" x14ac:dyDescent="0.25">
      <c r="A475" s="10"/>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row>
    <row r="476" spans="1:259" ht="13.2" x14ac:dyDescent="0.25">
      <c r="A476" s="10"/>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row>
    <row r="477" spans="1:259" ht="13.2" x14ac:dyDescent="0.25">
      <c r="A477" s="10"/>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row>
    <row r="478" spans="1:259" ht="13.2" x14ac:dyDescent="0.25">
      <c r="A478" s="10"/>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row>
    <row r="479" spans="1:259" ht="13.2" x14ac:dyDescent="0.25">
      <c r="A479" s="10"/>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row>
    <row r="480" spans="1:259" ht="13.2" x14ac:dyDescent="0.25">
      <c r="A480" s="10"/>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row>
    <row r="481" spans="1:259" ht="13.2" x14ac:dyDescent="0.25">
      <c r="A481" s="10"/>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row>
    <row r="482" spans="1:259" ht="13.2" x14ac:dyDescent="0.25">
      <c r="A482" s="10"/>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row>
    <row r="483" spans="1:259" ht="13.2" x14ac:dyDescent="0.25">
      <c r="A483" s="10"/>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row>
    <row r="484" spans="1:259" ht="13.2" x14ac:dyDescent="0.25">
      <c r="A484" s="10"/>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row>
    <row r="485" spans="1:259" ht="13.2" x14ac:dyDescent="0.25">
      <c r="A485" s="10"/>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row>
    <row r="486" spans="1:259" ht="13.2" x14ac:dyDescent="0.25">
      <c r="A486" s="10"/>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row>
    <row r="487" spans="1:259" ht="13.2" x14ac:dyDescent="0.25">
      <c r="A487" s="10"/>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row>
    <row r="488" spans="1:259" ht="13.2" x14ac:dyDescent="0.25">
      <c r="A488" s="10"/>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row>
    <row r="489" spans="1:259" ht="13.2" x14ac:dyDescent="0.25">
      <c r="A489" s="10"/>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row>
    <row r="490" spans="1:259" ht="13.2" x14ac:dyDescent="0.25">
      <c r="A490" s="10"/>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row>
    <row r="491" spans="1:259" ht="13.2" x14ac:dyDescent="0.25">
      <c r="A491" s="10"/>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row>
    <row r="492" spans="1:259" ht="13.2" x14ac:dyDescent="0.25">
      <c r="A492" s="10"/>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row>
    <row r="493" spans="1:259" ht="13.2" x14ac:dyDescent="0.25">
      <c r="A493" s="10"/>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row>
    <row r="494" spans="1:259" ht="13.2" x14ac:dyDescent="0.25">
      <c r="A494" s="10"/>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row>
    <row r="495" spans="1:259" ht="13.2" x14ac:dyDescent="0.25">
      <c r="A495" s="10"/>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row>
    <row r="496" spans="1:259" ht="13.2" x14ac:dyDescent="0.25">
      <c r="A496" s="10"/>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row>
    <row r="497" spans="1:259" ht="13.2" x14ac:dyDescent="0.25">
      <c r="A497" s="10"/>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row>
    <row r="498" spans="1:259" ht="13.2" x14ac:dyDescent="0.25">
      <c r="A498" s="10"/>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row>
    <row r="499" spans="1:259" ht="13.2" x14ac:dyDescent="0.25">
      <c r="A499" s="10"/>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row>
    <row r="500" spans="1:259" ht="13.2" x14ac:dyDescent="0.25">
      <c r="A500" s="10"/>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row>
    <row r="501" spans="1:259" ht="13.2" x14ac:dyDescent="0.25">
      <c r="A501" s="10"/>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row>
    <row r="502" spans="1:259" ht="13.2" x14ac:dyDescent="0.25">
      <c r="A502" s="10"/>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row>
    <row r="503" spans="1:259" ht="13.2" x14ac:dyDescent="0.25">
      <c r="A503" s="10"/>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row>
    <row r="504" spans="1:259" ht="13.2" x14ac:dyDescent="0.25">
      <c r="A504" s="10"/>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row>
    <row r="505" spans="1:259" ht="13.2" x14ac:dyDescent="0.25">
      <c r="A505" s="10"/>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row>
    <row r="506" spans="1:259" ht="13.2" x14ac:dyDescent="0.25">
      <c r="A506" s="10"/>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row>
    <row r="507" spans="1:259" ht="13.2" x14ac:dyDescent="0.25">
      <c r="A507" s="10"/>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row>
    <row r="508" spans="1:259" ht="13.2" x14ac:dyDescent="0.25">
      <c r="A508" s="10"/>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row>
    <row r="509" spans="1:259" ht="13.2" x14ac:dyDescent="0.25">
      <c r="A509" s="10"/>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row>
    <row r="510" spans="1:259" ht="13.2" x14ac:dyDescent="0.25">
      <c r="A510" s="10"/>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row>
    <row r="511" spans="1:259" ht="13.2" x14ac:dyDescent="0.25">
      <c r="A511" s="10"/>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row>
    <row r="512" spans="1:259" ht="13.2" x14ac:dyDescent="0.25">
      <c r="A512" s="10"/>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row>
    <row r="513" spans="1:259" ht="13.2" x14ac:dyDescent="0.25">
      <c r="A513" s="10"/>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row>
    <row r="514" spans="1:259" ht="13.2" x14ac:dyDescent="0.25">
      <c r="A514" s="10"/>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row>
    <row r="515" spans="1:259" ht="13.2" x14ac:dyDescent="0.25">
      <c r="A515" s="10"/>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row>
    <row r="516" spans="1:259" ht="13.2" x14ac:dyDescent="0.25">
      <c r="A516" s="10"/>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row>
    <row r="517" spans="1:259" ht="13.2" x14ac:dyDescent="0.25">
      <c r="A517" s="10"/>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row>
    <row r="518" spans="1:259" ht="13.2" x14ac:dyDescent="0.25">
      <c r="A518" s="10"/>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row>
    <row r="519" spans="1:259" ht="13.2" x14ac:dyDescent="0.25">
      <c r="A519" s="10"/>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row>
    <row r="520" spans="1:259" ht="13.2" x14ac:dyDescent="0.25">
      <c r="A520" s="10"/>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row>
    <row r="521" spans="1:259" ht="13.2" x14ac:dyDescent="0.25">
      <c r="A521" s="10"/>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row>
    <row r="522" spans="1:259" ht="13.2" x14ac:dyDescent="0.25">
      <c r="A522" s="10"/>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row>
    <row r="523" spans="1:259" ht="13.2" x14ac:dyDescent="0.25">
      <c r="A523" s="10"/>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row>
    <row r="524" spans="1:259" ht="13.2" x14ac:dyDescent="0.25">
      <c r="A524" s="10"/>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row>
    <row r="525" spans="1:259" ht="13.2" x14ac:dyDescent="0.25">
      <c r="A525" s="10"/>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row>
    <row r="526" spans="1:259" ht="13.2" x14ac:dyDescent="0.25">
      <c r="A526" s="10"/>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row>
    <row r="527" spans="1:259" ht="13.2" x14ac:dyDescent="0.25">
      <c r="A527" s="10"/>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row>
    <row r="528" spans="1:259" ht="13.2" x14ac:dyDescent="0.25">
      <c r="A528" s="10"/>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row>
    <row r="529" spans="1:259" ht="13.2" x14ac:dyDescent="0.25">
      <c r="A529" s="10"/>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row>
    <row r="530" spans="1:259" ht="13.2" x14ac:dyDescent="0.25">
      <c r="A530" s="10"/>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row>
    <row r="531" spans="1:259" ht="13.2" x14ac:dyDescent="0.25">
      <c r="A531" s="10"/>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row>
    <row r="532" spans="1:259" ht="13.2" x14ac:dyDescent="0.25">
      <c r="A532" s="10"/>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row>
    <row r="533" spans="1:259" ht="13.2" x14ac:dyDescent="0.25">
      <c r="A533" s="10"/>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row>
    <row r="534" spans="1:259" ht="13.2" x14ac:dyDescent="0.25">
      <c r="A534" s="10"/>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ID534" s="3"/>
      <c r="IE534" s="3"/>
      <c r="IF534" s="3"/>
      <c r="IG534" s="3"/>
      <c r="IH534" s="3"/>
      <c r="II534" s="3"/>
      <c r="IJ534" s="3"/>
      <c r="IK534" s="3"/>
      <c r="IL534" s="3"/>
      <c r="IM534" s="3"/>
      <c r="IN534" s="3"/>
      <c r="IO534" s="3"/>
      <c r="IP534" s="3"/>
      <c r="IQ534" s="3"/>
      <c r="IR534" s="3"/>
      <c r="IS534" s="3"/>
      <c r="IT534" s="3"/>
      <c r="IU534" s="3"/>
      <c r="IV534" s="3"/>
      <c r="IW534" s="3"/>
      <c r="IX534" s="3"/>
      <c r="IY534" s="3"/>
    </row>
    <row r="535" spans="1:259" ht="13.2" x14ac:dyDescent="0.25">
      <c r="A535" s="10"/>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ID535" s="3"/>
      <c r="IE535" s="3"/>
      <c r="IF535" s="3"/>
      <c r="IG535" s="3"/>
      <c r="IH535" s="3"/>
      <c r="II535" s="3"/>
      <c r="IJ535" s="3"/>
      <c r="IK535" s="3"/>
      <c r="IL535" s="3"/>
      <c r="IM535" s="3"/>
      <c r="IN535" s="3"/>
      <c r="IO535" s="3"/>
      <c r="IP535" s="3"/>
      <c r="IQ535" s="3"/>
      <c r="IR535" s="3"/>
      <c r="IS535" s="3"/>
      <c r="IT535" s="3"/>
      <c r="IU535" s="3"/>
      <c r="IV535" s="3"/>
      <c r="IW535" s="3"/>
      <c r="IX535" s="3"/>
      <c r="IY535" s="3"/>
    </row>
    <row r="536" spans="1:259" ht="13.2" x14ac:dyDescent="0.25">
      <c r="A536" s="10"/>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ID536" s="3"/>
      <c r="IE536" s="3"/>
      <c r="IF536" s="3"/>
      <c r="IG536" s="3"/>
      <c r="IH536" s="3"/>
      <c r="II536" s="3"/>
      <c r="IJ536" s="3"/>
      <c r="IK536" s="3"/>
      <c r="IL536" s="3"/>
      <c r="IM536" s="3"/>
      <c r="IN536" s="3"/>
      <c r="IO536" s="3"/>
      <c r="IP536" s="3"/>
      <c r="IQ536" s="3"/>
      <c r="IR536" s="3"/>
      <c r="IS536" s="3"/>
      <c r="IT536" s="3"/>
      <c r="IU536" s="3"/>
      <c r="IV536" s="3"/>
      <c r="IW536" s="3"/>
      <c r="IX536" s="3"/>
      <c r="IY536" s="3"/>
    </row>
    <row r="537" spans="1:259" ht="13.2" x14ac:dyDescent="0.25">
      <c r="A537" s="10"/>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ID537" s="3"/>
      <c r="IE537" s="3"/>
      <c r="IF537" s="3"/>
      <c r="IG537" s="3"/>
      <c r="IH537" s="3"/>
      <c r="II537" s="3"/>
      <c r="IJ537" s="3"/>
      <c r="IK537" s="3"/>
      <c r="IL537" s="3"/>
      <c r="IM537" s="3"/>
      <c r="IN537" s="3"/>
      <c r="IO537" s="3"/>
      <c r="IP537" s="3"/>
      <c r="IQ537" s="3"/>
      <c r="IR537" s="3"/>
      <c r="IS537" s="3"/>
      <c r="IT537" s="3"/>
      <c r="IU537" s="3"/>
      <c r="IV537" s="3"/>
      <c r="IW537" s="3"/>
      <c r="IX537" s="3"/>
      <c r="IY537" s="3"/>
    </row>
    <row r="538" spans="1:259" ht="13.2" x14ac:dyDescent="0.25">
      <c r="A538" s="10"/>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ID538" s="3"/>
      <c r="IE538" s="3"/>
      <c r="IF538" s="3"/>
      <c r="IG538" s="3"/>
      <c r="IH538" s="3"/>
      <c r="II538" s="3"/>
      <c r="IJ538" s="3"/>
      <c r="IK538" s="3"/>
      <c r="IL538" s="3"/>
      <c r="IM538" s="3"/>
      <c r="IN538" s="3"/>
      <c r="IO538" s="3"/>
      <c r="IP538" s="3"/>
      <c r="IQ538" s="3"/>
      <c r="IR538" s="3"/>
      <c r="IS538" s="3"/>
      <c r="IT538" s="3"/>
      <c r="IU538" s="3"/>
      <c r="IV538" s="3"/>
      <c r="IW538" s="3"/>
      <c r="IX538" s="3"/>
      <c r="IY538" s="3"/>
    </row>
    <row r="539" spans="1:259" ht="13.2" x14ac:dyDescent="0.25">
      <c r="A539" s="10"/>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ID539" s="3"/>
      <c r="IE539" s="3"/>
      <c r="IF539" s="3"/>
      <c r="IG539" s="3"/>
      <c r="IH539" s="3"/>
      <c r="II539" s="3"/>
      <c r="IJ539" s="3"/>
      <c r="IK539" s="3"/>
      <c r="IL539" s="3"/>
      <c r="IM539" s="3"/>
      <c r="IN539" s="3"/>
      <c r="IO539" s="3"/>
      <c r="IP539" s="3"/>
      <c r="IQ539" s="3"/>
      <c r="IR539" s="3"/>
      <c r="IS539" s="3"/>
      <c r="IT539" s="3"/>
      <c r="IU539" s="3"/>
      <c r="IV539" s="3"/>
      <c r="IW539" s="3"/>
      <c r="IX539" s="3"/>
      <c r="IY539" s="3"/>
    </row>
    <row r="540" spans="1:259" ht="13.2" x14ac:dyDescent="0.25">
      <c r="A540" s="10"/>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ID540" s="3"/>
      <c r="IE540" s="3"/>
      <c r="IF540" s="3"/>
      <c r="IG540" s="3"/>
      <c r="IH540" s="3"/>
      <c r="II540" s="3"/>
      <c r="IJ540" s="3"/>
      <c r="IK540" s="3"/>
      <c r="IL540" s="3"/>
      <c r="IM540" s="3"/>
      <c r="IN540" s="3"/>
      <c r="IO540" s="3"/>
      <c r="IP540" s="3"/>
      <c r="IQ540" s="3"/>
      <c r="IR540" s="3"/>
      <c r="IS540" s="3"/>
      <c r="IT540" s="3"/>
      <c r="IU540" s="3"/>
      <c r="IV540" s="3"/>
      <c r="IW540" s="3"/>
      <c r="IX540" s="3"/>
      <c r="IY540" s="3"/>
    </row>
    <row r="541" spans="1:259" ht="13.2" x14ac:dyDescent="0.25">
      <c r="A541" s="10"/>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ID541" s="3"/>
      <c r="IE541" s="3"/>
      <c r="IF541" s="3"/>
      <c r="IG541" s="3"/>
      <c r="IH541" s="3"/>
      <c r="II541" s="3"/>
      <c r="IJ541" s="3"/>
      <c r="IK541" s="3"/>
      <c r="IL541" s="3"/>
      <c r="IM541" s="3"/>
      <c r="IN541" s="3"/>
      <c r="IO541" s="3"/>
      <c r="IP541" s="3"/>
      <c r="IQ541" s="3"/>
      <c r="IR541" s="3"/>
      <c r="IS541" s="3"/>
      <c r="IT541" s="3"/>
      <c r="IU541" s="3"/>
      <c r="IV541" s="3"/>
      <c r="IW541" s="3"/>
      <c r="IX541" s="3"/>
      <c r="IY541" s="3"/>
    </row>
    <row r="542" spans="1:259" ht="13.2" x14ac:dyDescent="0.25">
      <c r="A542" s="10"/>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ID542" s="3"/>
      <c r="IE542" s="3"/>
      <c r="IF542" s="3"/>
      <c r="IG542" s="3"/>
      <c r="IH542" s="3"/>
      <c r="II542" s="3"/>
      <c r="IJ542" s="3"/>
      <c r="IK542" s="3"/>
      <c r="IL542" s="3"/>
      <c r="IM542" s="3"/>
      <c r="IN542" s="3"/>
      <c r="IO542" s="3"/>
      <c r="IP542" s="3"/>
      <c r="IQ542" s="3"/>
      <c r="IR542" s="3"/>
      <c r="IS542" s="3"/>
      <c r="IT542" s="3"/>
      <c r="IU542" s="3"/>
      <c r="IV542" s="3"/>
      <c r="IW542" s="3"/>
      <c r="IX542" s="3"/>
      <c r="IY542" s="3"/>
    </row>
    <row r="543" spans="1:259" ht="13.2" x14ac:dyDescent="0.25">
      <c r="A543" s="10"/>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ID543" s="3"/>
      <c r="IE543" s="3"/>
      <c r="IF543" s="3"/>
      <c r="IG543" s="3"/>
      <c r="IH543" s="3"/>
      <c r="II543" s="3"/>
      <c r="IJ543" s="3"/>
      <c r="IK543" s="3"/>
      <c r="IL543" s="3"/>
      <c r="IM543" s="3"/>
      <c r="IN543" s="3"/>
      <c r="IO543" s="3"/>
      <c r="IP543" s="3"/>
      <c r="IQ543" s="3"/>
      <c r="IR543" s="3"/>
      <c r="IS543" s="3"/>
      <c r="IT543" s="3"/>
      <c r="IU543" s="3"/>
      <c r="IV543" s="3"/>
      <c r="IW543" s="3"/>
      <c r="IX543" s="3"/>
      <c r="IY543" s="3"/>
    </row>
    <row r="544" spans="1:259" ht="13.2" x14ac:dyDescent="0.25">
      <c r="A544" s="10"/>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ID544" s="3"/>
      <c r="IE544" s="3"/>
      <c r="IF544" s="3"/>
      <c r="IG544" s="3"/>
      <c r="IH544" s="3"/>
      <c r="II544" s="3"/>
      <c r="IJ544" s="3"/>
      <c r="IK544" s="3"/>
      <c r="IL544" s="3"/>
      <c r="IM544" s="3"/>
      <c r="IN544" s="3"/>
      <c r="IO544" s="3"/>
      <c r="IP544" s="3"/>
      <c r="IQ544" s="3"/>
      <c r="IR544" s="3"/>
      <c r="IS544" s="3"/>
      <c r="IT544" s="3"/>
      <c r="IU544" s="3"/>
      <c r="IV544" s="3"/>
      <c r="IW544" s="3"/>
      <c r="IX544" s="3"/>
      <c r="IY544" s="3"/>
    </row>
    <row r="545" spans="1:259" ht="13.2" x14ac:dyDescent="0.25">
      <c r="A545" s="10"/>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ID545" s="3"/>
      <c r="IE545" s="3"/>
      <c r="IF545" s="3"/>
      <c r="IG545" s="3"/>
      <c r="IH545" s="3"/>
      <c r="II545" s="3"/>
      <c r="IJ545" s="3"/>
      <c r="IK545" s="3"/>
      <c r="IL545" s="3"/>
      <c r="IM545" s="3"/>
      <c r="IN545" s="3"/>
      <c r="IO545" s="3"/>
      <c r="IP545" s="3"/>
      <c r="IQ545" s="3"/>
      <c r="IR545" s="3"/>
      <c r="IS545" s="3"/>
      <c r="IT545" s="3"/>
      <c r="IU545" s="3"/>
      <c r="IV545" s="3"/>
      <c r="IW545" s="3"/>
      <c r="IX545" s="3"/>
      <c r="IY545" s="3"/>
    </row>
    <row r="546" spans="1:259" ht="13.2" x14ac:dyDescent="0.25">
      <c r="A546" s="10"/>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c r="HX546" s="3"/>
      <c r="HY546" s="3"/>
      <c r="HZ546" s="3"/>
      <c r="IA546" s="3"/>
      <c r="IB546" s="3"/>
      <c r="IC546" s="3"/>
      <c r="ID546" s="3"/>
      <c r="IE546" s="3"/>
      <c r="IF546" s="3"/>
      <c r="IG546" s="3"/>
      <c r="IH546" s="3"/>
      <c r="II546" s="3"/>
      <c r="IJ546" s="3"/>
      <c r="IK546" s="3"/>
      <c r="IL546" s="3"/>
      <c r="IM546" s="3"/>
      <c r="IN546" s="3"/>
      <c r="IO546" s="3"/>
      <c r="IP546" s="3"/>
      <c r="IQ546" s="3"/>
      <c r="IR546" s="3"/>
      <c r="IS546" s="3"/>
      <c r="IT546" s="3"/>
      <c r="IU546" s="3"/>
      <c r="IV546" s="3"/>
      <c r="IW546" s="3"/>
      <c r="IX546" s="3"/>
      <c r="IY546" s="3"/>
    </row>
    <row r="547" spans="1:259" ht="13.2" x14ac:dyDescent="0.25">
      <c r="A547" s="10"/>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c r="HX547" s="3"/>
      <c r="HY547" s="3"/>
      <c r="HZ547" s="3"/>
      <c r="IA547" s="3"/>
      <c r="IB547" s="3"/>
      <c r="IC547" s="3"/>
      <c r="ID547" s="3"/>
      <c r="IE547" s="3"/>
      <c r="IF547" s="3"/>
      <c r="IG547" s="3"/>
      <c r="IH547" s="3"/>
      <c r="II547" s="3"/>
      <c r="IJ547" s="3"/>
      <c r="IK547" s="3"/>
      <c r="IL547" s="3"/>
      <c r="IM547" s="3"/>
      <c r="IN547" s="3"/>
      <c r="IO547" s="3"/>
      <c r="IP547" s="3"/>
      <c r="IQ547" s="3"/>
      <c r="IR547" s="3"/>
      <c r="IS547" s="3"/>
      <c r="IT547" s="3"/>
      <c r="IU547" s="3"/>
      <c r="IV547" s="3"/>
      <c r="IW547" s="3"/>
      <c r="IX547" s="3"/>
      <c r="IY547" s="3"/>
    </row>
    <row r="548" spans="1:259" ht="13.2" x14ac:dyDescent="0.25">
      <c r="A548" s="10"/>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c r="HX548" s="3"/>
      <c r="HY548" s="3"/>
      <c r="HZ548" s="3"/>
      <c r="IA548" s="3"/>
      <c r="IB548" s="3"/>
      <c r="IC548" s="3"/>
      <c r="ID548" s="3"/>
      <c r="IE548" s="3"/>
      <c r="IF548" s="3"/>
      <c r="IG548" s="3"/>
      <c r="IH548" s="3"/>
      <c r="II548" s="3"/>
      <c r="IJ548" s="3"/>
      <c r="IK548" s="3"/>
      <c r="IL548" s="3"/>
      <c r="IM548" s="3"/>
      <c r="IN548" s="3"/>
      <c r="IO548" s="3"/>
      <c r="IP548" s="3"/>
      <c r="IQ548" s="3"/>
      <c r="IR548" s="3"/>
      <c r="IS548" s="3"/>
      <c r="IT548" s="3"/>
      <c r="IU548" s="3"/>
      <c r="IV548" s="3"/>
      <c r="IW548" s="3"/>
      <c r="IX548" s="3"/>
      <c r="IY548" s="3"/>
    </row>
    <row r="549" spans="1:259" ht="13.2" x14ac:dyDescent="0.25">
      <c r="A549" s="10"/>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c r="HX549" s="3"/>
      <c r="HY549" s="3"/>
      <c r="HZ549" s="3"/>
      <c r="IA549" s="3"/>
      <c r="IB549" s="3"/>
      <c r="IC549" s="3"/>
      <c r="ID549" s="3"/>
      <c r="IE549" s="3"/>
      <c r="IF549" s="3"/>
      <c r="IG549" s="3"/>
      <c r="IH549" s="3"/>
      <c r="II549" s="3"/>
      <c r="IJ549" s="3"/>
      <c r="IK549" s="3"/>
      <c r="IL549" s="3"/>
      <c r="IM549" s="3"/>
      <c r="IN549" s="3"/>
      <c r="IO549" s="3"/>
      <c r="IP549" s="3"/>
      <c r="IQ549" s="3"/>
      <c r="IR549" s="3"/>
      <c r="IS549" s="3"/>
      <c r="IT549" s="3"/>
      <c r="IU549" s="3"/>
      <c r="IV549" s="3"/>
      <c r="IW549" s="3"/>
      <c r="IX549" s="3"/>
      <c r="IY549" s="3"/>
    </row>
    <row r="550" spans="1:259" ht="13.2" x14ac:dyDescent="0.25">
      <c r="A550" s="10"/>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c r="HX550" s="3"/>
      <c r="HY550" s="3"/>
      <c r="HZ550" s="3"/>
      <c r="IA550" s="3"/>
      <c r="IB550" s="3"/>
      <c r="IC550" s="3"/>
      <c r="ID550" s="3"/>
      <c r="IE550" s="3"/>
      <c r="IF550" s="3"/>
      <c r="IG550" s="3"/>
      <c r="IH550" s="3"/>
      <c r="II550" s="3"/>
      <c r="IJ550" s="3"/>
      <c r="IK550" s="3"/>
      <c r="IL550" s="3"/>
      <c r="IM550" s="3"/>
      <c r="IN550" s="3"/>
      <c r="IO550" s="3"/>
      <c r="IP550" s="3"/>
      <c r="IQ550" s="3"/>
      <c r="IR550" s="3"/>
      <c r="IS550" s="3"/>
      <c r="IT550" s="3"/>
      <c r="IU550" s="3"/>
      <c r="IV550" s="3"/>
      <c r="IW550" s="3"/>
      <c r="IX550" s="3"/>
      <c r="IY550" s="3"/>
    </row>
    <row r="551" spans="1:259" ht="13.2" x14ac:dyDescent="0.25">
      <c r="A551" s="10"/>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c r="HX551" s="3"/>
      <c r="HY551" s="3"/>
      <c r="HZ551" s="3"/>
      <c r="IA551" s="3"/>
      <c r="IB551" s="3"/>
      <c r="IC551" s="3"/>
      <c r="ID551" s="3"/>
      <c r="IE551" s="3"/>
      <c r="IF551" s="3"/>
      <c r="IG551" s="3"/>
      <c r="IH551" s="3"/>
      <c r="II551" s="3"/>
      <c r="IJ551" s="3"/>
      <c r="IK551" s="3"/>
      <c r="IL551" s="3"/>
      <c r="IM551" s="3"/>
      <c r="IN551" s="3"/>
      <c r="IO551" s="3"/>
      <c r="IP551" s="3"/>
      <c r="IQ551" s="3"/>
      <c r="IR551" s="3"/>
      <c r="IS551" s="3"/>
      <c r="IT551" s="3"/>
      <c r="IU551" s="3"/>
      <c r="IV551" s="3"/>
      <c r="IW551" s="3"/>
      <c r="IX551" s="3"/>
      <c r="IY551" s="3"/>
    </row>
    <row r="552" spans="1:259" ht="13.2" x14ac:dyDescent="0.25">
      <c r="A552" s="10"/>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c r="HX552" s="3"/>
      <c r="HY552" s="3"/>
      <c r="HZ552" s="3"/>
      <c r="IA552" s="3"/>
      <c r="IB552" s="3"/>
      <c r="IC552" s="3"/>
      <c r="ID552" s="3"/>
      <c r="IE552" s="3"/>
      <c r="IF552" s="3"/>
      <c r="IG552" s="3"/>
      <c r="IH552" s="3"/>
      <c r="II552" s="3"/>
      <c r="IJ552" s="3"/>
      <c r="IK552" s="3"/>
      <c r="IL552" s="3"/>
      <c r="IM552" s="3"/>
      <c r="IN552" s="3"/>
      <c r="IO552" s="3"/>
      <c r="IP552" s="3"/>
      <c r="IQ552" s="3"/>
      <c r="IR552" s="3"/>
      <c r="IS552" s="3"/>
      <c r="IT552" s="3"/>
      <c r="IU552" s="3"/>
      <c r="IV552" s="3"/>
      <c r="IW552" s="3"/>
      <c r="IX552" s="3"/>
      <c r="IY552" s="3"/>
    </row>
    <row r="553" spans="1:259" ht="13.2" x14ac:dyDescent="0.25">
      <c r="A553" s="10"/>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c r="HX553" s="3"/>
      <c r="HY553" s="3"/>
      <c r="HZ553" s="3"/>
      <c r="IA553" s="3"/>
      <c r="IB553" s="3"/>
      <c r="IC553" s="3"/>
      <c r="ID553" s="3"/>
      <c r="IE553" s="3"/>
      <c r="IF553" s="3"/>
      <c r="IG553" s="3"/>
      <c r="IH553" s="3"/>
      <c r="II553" s="3"/>
      <c r="IJ553" s="3"/>
      <c r="IK553" s="3"/>
      <c r="IL553" s="3"/>
      <c r="IM553" s="3"/>
      <c r="IN553" s="3"/>
      <c r="IO553" s="3"/>
      <c r="IP553" s="3"/>
      <c r="IQ553" s="3"/>
      <c r="IR553" s="3"/>
      <c r="IS553" s="3"/>
      <c r="IT553" s="3"/>
      <c r="IU553" s="3"/>
      <c r="IV553" s="3"/>
      <c r="IW553" s="3"/>
      <c r="IX553" s="3"/>
      <c r="IY553" s="3"/>
    </row>
    <row r="554" spans="1:259" ht="13.2" x14ac:dyDescent="0.25">
      <c r="A554" s="10"/>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c r="HX554" s="3"/>
      <c r="HY554" s="3"/>
      <c r="HZ554" s="3"/>
      <c r="IA554" s="3"/>
      <c r="IB554" s="3"/>
      <c r="IC554" s="3"/>
      <c r="ID554" s="3"/>
      <c r="IE554" s="3"/>
      <c r="IF554" s="3"/>
      <c r="IG554" s="3"/>
      <c r="IH554" s="3"/>
      <c r="II554" s="3"/>
      <c r="IJ554" s="3"/>
      <c r="IK554" s="3"/>
      <c r="IL554" s="3"/>
      <c r="IM554" s="3"/>
      <c r="IN554" s="3"/>
      <c r="IO554" s="3"/>
      <c r="IP554" s="3"/>
      <c r="IQ554" s="3"/>
      <c r="IR554" s="3"/>
      <c r="IS554" s="3"/>
      <c r="IT554" s="3"/>
      <c r="IU554" s="3"/>
      <c r="IV554" s="3"/>
      <c r="IW554" s="3"/>
      <c r="IX554" s="3"/>
      <c r="IY554" s="3"/>
    </row>
    <row r="555" spans="1:259" ht="13.2" x14ac:dyDescent="0.25">
      <c r="A555" s="10"/>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c r="HX555" s="3"/>
      <c r="HY555" s="3"/>
      <c r="HZ555" s="3"/>
      <c r="IA555" s="3"/>
      <c r="IB555" s="3"/>
      <c r="IC555" s="3"/>
      <c r="ID555" s="3"/>
      <c r="IE555" s="3"/>
      <c r="IF555" s="3"/>
      <c r="IG555" s="3"/>
      <c r="IH555" s="3"/>
      <c r="II555" s="3"/>
      <c r="IJ555" s="3"/>
      <c r="IK555" s="3"/>
      <c r="IL555" s="3"/>
      <c r="IM555" s="3"/>
      <c r="IN555" s="3"/>
      <c r="IO555" s="3"/>
      <c r="IP555" s="3"/>
      <c r="IQ555" s="3"/>
      <c r="IR555" s="3"/>
      <c r="IS555" s="3"/>
      <c r="IT555" s="3"/>
      <c r="IU555" s="3"/>
      <c r="IV555" s="3"/>
      <c r="IW555" s="3"/>
      <c r="IX555" s="3"/>
      <c r="IY555" s="3"/>
    </row>
    <row r="556" spans="1:259" ht="13.2" x14ac:dyDescent="0.25">
      <c r="A556" s="10"/>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c r="HX556" s="3"/>
      <c r="HY556" s="3"/>
      <c r="HZ556" s="3"/>
      <c r="IA556" s="3"/>
      <c r="IB556" s="3"/>
      <c r="IC556" s="3"/>
      <c r="ID556" s="3"/>
      <c r="IE556" s="3"/>
      <c r="IF556" s="3"/>
      <c r="IG556" s="3"/>
      <c r="IH556" s="3"/>
      <c r="II556" s="3"/>
      <c r="IJ556" s="3"/>
      <c r="IK556" s="3"/>
      <c r="IL556" s="3"/>
      <c r="IM556" s="3"/>
      <c r="IN556" s="3"/>
      <c r="IO556" s="3"/>
      <c r="IP556" s="3"/>
      <c r="IQ556" s="3"/>
      <c r="IR556" s="3"/>
      <c r="IS556" s="3"/>
      <c r="IT556" s="3"/>
      <c r="IU556" s="3"/>
      <c r="IV556" s="3"/>
      <c r="IW556" s="3"/>
      <c r="IX556" s="3"/>
      <c r="IY556" s="3"/>
    </row>
    <row r="557" spans="1:259" ht="13.2" x14ac:dyDescent="0.25">
      <c r="A557" s="10"/>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c r="HX557" s="3"/>
      <c r="HY557" s="3"/>
      <c r="HZ557" s="3"/>
      <c r="IA557" s="3"/>
      <c r="IB557" s="3"/>
      <c r="IC557" s="3"/>
      <c r="ID557" s="3"/>
      <c r="IE557" s="3"/>
      <c r="IF557" s="3"/>
      <c r="IG557" s="3"/>
      <c r="IH557" s="3"/>
      <c r="II557" s="3"/>
      <c r="IJ557" s="3"/>
      <c r="IK557" s="3"/>
      <c r="IL557" s="3"/>
      <c r="IM557" s="3"/>
      <c r="IN557" s="3"/>
      <c r="IO557" s="3"/>
      <c r="IP557" s="3"/>
      <c r="IQ557" s="3"/>
      <c r="IR557" s="3"/>
      <c r="IS557" s="3"/>
      <c r="IT557" s="3"/>
      <c r="IU557" s="3"/>
      <c r="IV557" s="3"/>
      <c r="IW557" s="3"/>
      <c r="IX557" s="3"/>
      <c r="IY557" s="3"/>
    </row>
    <row r="558" spans="1:259" ht="13.2" x14ac:dyDescent="0.25">
      <c r="A558" s="10"/>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c r="HX558" s="3"/>
      <c r="HY558" s="3"/>
      <c r="HZ558" s="3"/>
      <c r="IA558" s="3"/>
      <c r="IB558" s="3"/>
      <c r="IC558" s="3"/>
      <c r="ID558" s="3"/>
      <c r="IE558" s="3"/>
      <c r="IF558" s="3"/>
      <c r="IG558" s="3"/>
      <c r="IH558" s="3"/>
      <c r="II558" s="3"/>
      <c r="IJ558" s="3"/>
      <c r="IK558" s="3"/>
      <c r="IL558" s="3"/>
      <c r="IM558" s="3"/>
      <c r="IN558" s="3"/>
      <c r="IO558" s="3"/>
      <c r="IP558" s="3"/>
      <c r="IQ558" s="3"/>
      <c r="IR558" s="3"/>
      <c r="IS558" s="3"/>
      <c r="IT558" s="3"/>
      <c r="IU558" s="3"/>
      <c r="IV558" s="3"/>
      <c r="IW558" s="3"/>
      <c r="IX558" s="3"/>
      <c r="IY558" s="3"/>
    </row>
    <row r="559" spans="1:259" ht="13.2" x14ac:dyDescent="0.25">
      <c r="A559" s="10"/>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c r="HX559" s="3"/>
      <c r="HY559" s="3"/>
      <c r="HZ559" s="3"/>
      <c r="IA559" s="3"/>
      <c r="IB559" s="3"/>
      <c r="IC559" s="3"/>
      <c r="ID559" s="3"/>
      <c r="IE559" s="3"/>
      <c r="IF559" s="3"/>
      <c r="IG559" s="3"/>
      <c r="IH559" s="3"/>
      <c r="II559" s="3"/>
      <c r="IJ559" s="3"/>
      <c r="IK559" s="3"/>
      <c r="IL559" s="3"/>
      <c r="IM559" s="3"/>
      <c r="IN559" s="3"/>
      <c r="IO559" s="3"/>
      <c r="IP559" s="3"/>
      <c r="IQ559" s="3"/>
      <c r="IR559" s="3"/>
      <c r="IS559" s="3"/>
      <c r="IT559" s="3"/>
      <c r="IU559" s="3"/>
      <c r="IV559" s="3"/>
      <c r="IW559" s="3"/>
      <c r="IX559" s="3"/>
      <c r="IY559" s="3"/>
    </row>
    <row r="560" spans="1:259" ht="13.2" x14ac:dyDescent="0.25">
      <c r="A560" s="10"/>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c r="HX560" s="3"/>
      <c r="HY560" s="3"/>
      <c r="HZ560" s="3"/>
      <c r="IA560" s="3"/>
      <c r="IB560" s="3"/>
      <c r="IC560" s="3"/>
      <c r="ID560" s="3"/>
      <c r="IE560" s="3"/>
      <c r="IF560" s="3"/>
      <c r="IG560" s="3"/>
      <c r="IH560" s="3"/>
      <c r="II560" s="3"/>
      <c r="IJ560" s="3"/>
      <c r="IK560" s="3"/>
      <c r="IL560" s="3"/>
      <c r="IM560" s="3"/>
      <c r="IN560" s="3"/>
      <c r="IO560" s="3"/>
      <c r="IP560" s="3"/>
      <c r="IQ560" s="3"/>
      <c r="IR560" s="3"/>
      <c r="IS560" s="3"/>
      <c r="IT560" s="3"/>
      <c r="IU560" s="3"/>
      <c r="IV560" s="3"/>
      <c r="IW560" s="3"/>
      <c r="IX560" s="3"/>
      <c r="IY560" s="3"/>
    </row>
    <row r="561" spans="1:259" ht="13.2" x14ac:dyDescent="0.25">
      <c r="A561" s="10"/>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c r="HX561" s="3"/>
      <c r="HY561" s="3"/>
      <c r="HZ561" s="3"/>
      <c r="IA561" s="3"/>
      <c r="IB561" s="3"/>
      <c r="IC561" s="3"/>
      <c r="ID561" s="3"/>
      <c r="IE561" s="3"/>
      <c r="IF561" s="3"/>
      <c r="IG561" s="3"/>
      <c r="IH561" s="3"/>
      <c r="II561" s="3"/>
      <c r="IJ561" s="3"/>
      <c r="IK561" s="3"/>
      <c r="IL561" s="3"/>
      <c r="IM561" s="3"/>
      <c r="IN561" s="3"/>
      <c r="IO561" s="3"/>
      <c r="IP561" s="3"/>
      <c r="IQ561" s="3"/>
      <c r="IR561" s="3"/>
      <c r="IS561" s="3"/>
      <c r="IT561" s="3"/>
      <c r="IU561" s="3"/>
      <c r="IV561" s="3"/>
      <c r="IW561" s="3"/>
      <c r="IX561" s="3"/>
      <c r="IY561" s="3"/>
    </row>
    <row r="562" spans="1:259" ht="13.2" x14ac:dyDescent="0.25">
      <c r="A562" s="10"/>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c r="HX562" s="3"/>
      <c r="HY562" s="3"/>
      <c r="HZ562" s="3"/>
      <c r="IA562" s="3"/>
      <c r="IB562" s="3"/>
      <c r="IC562" s="3"/>
      <c r="ID562" s="3"/>
      <c r="IE562" s="3"/>
      <c r="IF562" s="3"/>
      <c r="IG562" s="3"/>
      <c r="IH562" s="3"/>
      <c r="II562" s="3"/>
      <c r="IJ562" s="3"/>
      <c r="IK562" s="3"/>
      <c r="IL562" s="3"/>
      <c r="IM562" s="3"/>
      <c r="IN562" s="3"/>
      <c r="IO562" s="3"/>
      <c r="IP562" s="3"/>
      <c r="IQ562" s="3"/>
      <c r="IR562" s="3"/>
      <c r="IS562" s="3"/>
      <c r="IT562" s="3"/>
      <c r="IU562" s="3"/>
      <c r="IV562" s="3"/>
      <c r="IW562" s="3"/>
      <c r="IX562" s="3"/>
      <c r="IY562" s="3"/>
    </row>
    <row r="563" spans="1:259" ht="13.2" x14ac:dyDescent="0.25">
      <c r="A563" s="10"/>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c r="HX563" s="3"/>
      <c r="HY563" s="3"/>
      <c r="HZ563" s="3"/>
      <c r="IA563" s="3"/>
      <c r="IB563" s="3"/>
      <c r="IC563" s="3"/>
      <c r="ID563" s="3"/>
      <c r="IE563" s="3"/>
      <c r="IF563" s="3"/>
      <c r="IG563" s="3"/>
      <c r="IH563" s="3"/>
      <c r="II563" s="3"/>
      <c r="IJ563" s="3"/>
      <c r="IK563" s="3"/>
      <c r="IL563" s="3"/>
      <c r="IM563" s="3"/>
      <c r="IN563" s="3"/>
      <c r="IO563" s="3"/>
      <c r="IP563" s="3"/>
      <c r="IQ563" s="3"/>
      <c r="IR563" s="3"/>
      <c r="IS563" s="3"/>
      <c r="IT563" s="3"/>
      <c r="IU563" s="3"/>
      <c r="IV563" s="3"/>
      <c r="IW563" s="3"/>
      <c r="IX563" s="3"/>
      <c r="IY563" s="3"/>
    </row>
    <row r="564" spans="1:259" ht="13.2" x14ac:dyDescent="0.25">
      <c r="A564" s="10"/>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c r="HX564" s="3"/>
      <c r="HY564" s="3"/>
      <c r="HZ564" s="3"/>
      <c r="IA564" s="3"/>
      <c r="IB564" s="3"/>
      <c r="IC564" s="3"/>
      <c r="ID564" s="3"/>
      <c r="IE564" s="3"/>
      <c r="IF564" s="3"/>
      <c r="IG564" s="3"/>
      <c r="IH564" s="3"/>
      <c r="II564" s="3"/>
      <c r="IJ564" s="3"/>
      <c r="IK564" s="3"/>
      <c r="IL564" s="3"/>
      <c r="IM564" s="3"/>
      <c r="IN564" s="3"/>
      <c r="IO564" s="3"/>
      <c r="IP564" s="3"/>
      <c r="IQ564" s="3"/>
      <c r="IR564" s="3"/>
      <c r="IS564" s="3"/>
      <c r="IT564" s="3"/>
      <c r="IU564" s="3"/>
      <c r="IV564" s="3"/>
      <c r="IW564" s="3"/>
      <c r="IX564" s="3"/>
      <c r="IY564" s="3"/>
    </row>
    <row r="565" spans="1:259" ht="13.2" x14ac:dyDescent="0.25">
      <c r="A565" s="10"/>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c r="HX565" s="3"/>
      <c r="HY565" s="3"/>
      <c r="HZ565" s="3"/>
      <c r="IA565" s="3"/>
      <c r="IB565" s="3"/>
      <c r="IC565" s="3"/>
      <c r="ID565" s="3"/>
      <c r="IE565" s="3"/>
      <c r="IF565" s="3"/>
      <c r="IG565" s="3"/>
      <c r="IH565" s="3"/>
      <c r="II565" s="3"/>
      <c r="IJ565" s="3"/>
      <c r="IK565" s="3"/>
      <c r="IL565" s="3"/>
      <c r="IM565" s="3"/>
      <c r="IN565" s="3"/>
      <c r="IO565" s="3"/>
      <c r="IP565" s="3"/>
      <c r="IQ565" s="3"/>
      <c r="IR565" s="3"/>
      <c r="IS565" s="3"/>
      <c r="IT565" s="3"/>
      <c r="IU565" s="3"/>
      <c r="IV565" s="3"/>
      <c r="IW565" s="3"/>
      <c r="IX565" s="3"/>
      <c r="IY565" s="3"/>
    </row>
    <row r="566" spans="1:259" ht="13.2" x14ac:dyDescent="0.25">
      <c r="A566" s="10"/>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c r="HX566" s="3"/>
      <c r="HY566" s="3"/>
      <c r="HZ566" s="3"/>
      <c r="IA566" s="3"/>
      <c r="IB566" s="3"/>
      <c r="IC566" s="3"/>
      <c r="ID566" s="3"/>
      <c r="IE566" s="3"/>
      <c r="IF566" s="3"/>
      <c r="IG566" s="3"/>
      <c r="IH566" s="3"/>
      <c r="II566" s="3"/>
      <c r="IJ566" s="3"/>
      <c r="IK566" s="3"/>
      <c r="IL566" s="3"/>
      <c r="IM566" s="3"/>
      <c r="IN566" s="3"/>
      <c r="IO566" s="3"/>
      <c r="IP566" s="3"/>
      <c r="IQ566" s="3"/>
      <c r="IR566" s="3"/>
      <c r="IS566" s="3"/>
      <c r="IT566" s="3"/>
      <c r="IU566" s="3"/>
      <c r="IV566" s="3"/>
      <c r="IW566" s="3"/>
      <c r="IX566" s="3"/>
      <c r="IY566" s="3"/>
    </row>
    <row r="567" spans="1:259" ht="13.2" x14ac:dyDescent="0.25">
      <c r="A567" s="10"/>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c r="HX567" s="3"/>
      <c r="HY567" s="3"/>
      <c r="HZ567" s="3"/>
      <c r="IA567" s="3"/>
      <c r="IB567" s="3"/>
      <c r="IC567" s="3"/>
      <c r="ID567" s="3"/>
      <c r="IE567" s="3"/>
      <c r="IF567" s="3"/>
      <c r="IG567" s="3"/>
      <c r="IH567" s="3"/>
      <c r="II567" s="3"/>
      <c r="IJ567" s="3"/>
      <c r="IK567" s="3"/>
      <c r="IL567" s="3"/>
      <c r="IM567" s="3"/>
      <c r="IN567" s="3"/>
      <c r="IO567" s="3"/>
      <c r="IP567" s="3"/>
      <c r="IQ567" s="3"/>
      <c r="IR567" s="3"/>
      <c r="IS567" s="3"/>
      <c r="IT567" s="3"/>
      <c r="IU567" s="3"/>
      <c r="IV567" s="3"/>
      <c r="IW567" s="3"/>
      <c r="IX567" s="3"/>
      <c r="IY567" s="3"/>
    </row>
    <row r="568" spans="1:259" ht="13.2" x14ac:dyDescent="0.25">
      <c r="A568" s="10"/>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c r="HX568" s="3"/>
      <c r="HY568" s="3"/>
      <c r="HZ568" s="3"/>
      <c r="IA568" s="3"/>
      <c r="IB568" s="3"/>
      <c r="IC568" s="3"/>
      <c r="ID568" s="3"/>
      <c r="IE568" s="3"/>
      <c r="IF568" s="3"/>
      <c r="IG568" s="3"/>
      <c r="IH568" s="3"/>
      <c r="II568" s="3"/>
      <c r="IJ568" s="3"/>
      <c r="IK568" s="3"/>
      <c r="IL568" s="3"/>
      <c r="IM568" s="3"/>
      <c r="IN568" s="3"/>
      <c r="IO568" s="3"/>
      <c r="IP568" s="3"/>
      <c r="IQ568" s="3"/>
      <c r="IR568" s="3"/>
      <c r="IS568" s="3"/>
      <c r="IT568" s="3"/>
      <c r="IU568" s="3"/>
      <c r="IV568" s="3"/>
      <c r="IW568" s="3"/>
      <c r="IX568" s="3"/>
      <c r="IY568" s="3"/>
    </row>
    <row r="569" spans="1:259" ht="13.2" x14ac:dyDescent="0.25">
      <c r="A569" s="10"/>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c r="HX569" s="3"/>
      <c r="HY569" s="3"/>
      <c r="HZ569" s="3"/>
      <c r="IA569" s="3"/>
      <c r="IB569" s="3"/>
      <c r="IC569" s="3"/>
      <c r="ID569" s="3"/>
      <c r="IE569" s="3"/>
      <c r="IF569" s="3"/>
      <c r="IG569" s="3"/>
      <c r="IH569" s="3"/>
      <c r="II569" s="3"/>
      <c r="IJ569" s="3"/>
      <c r="IK569" s="3"/>
      <c r="IL569" s="3"/>
      <c r="IM569" s="3"/>
      <c r="IN569" s="3"/>
      <c r="IO569" s="3"/>
      <c r="IP569" s="3"/>
      <c r="IQ569" s="3"/>
      <c r="IR569" s="3"/>
      <c r="IS569" s="3"/>
      <c r="IT569" s="3"/>
      <c r="IU569" s="3"/>
      <c r="IV569" s="3"/>
      <c r="IW569" s="3"/>
      <c r="IX569" s="3"/>
      <c r="IY569" s="3"/>
    </row>
    <row r="570" spans="1:259" ht="13.2" x14ac:dyDescent="0.25">
      <c r="A570" s="10"/>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c r="HX570" s="3"/>
      <c r="HY570" s="3"/>
      <c r="HZ570" s="3"/>
      <c r="IA570" s="3"/>
      <c r="IB570" s="3"/>
      <c r="IC570" s="3"/>
      <c r="ID570" s="3"/>
      <c r="IE570" s="3"/>
      <c r="IF570" s="3"/>
      <c r="IG570" s="3"/>
      <c r="IH570" s="3"/>
      <c r="II570" s="3"/>
      <c r="IJ570" s="3"/>
      <c r="IK570" s="3"/>
      <c r="IL570" s="3"/>
      <c r="IM570" s="3"/>
      <c r="IN570" s="3"/>
      <c r="IO570" s="3"/>
      <c r="IP570" s="3"/>
      <c r="IQ570" s="3"/>
      <c r="IR570" s="3"/>
      <c r="IS570" s="3"/>
      <c r="IT570" s="3"/>
      <c r="IU570" s="3"/>
      <c r="IV570" s="3"/>
      <c r="IW570" s="3"/>
      <c r="IX570" s="3"/>
      <c r="IY570" s="3"/>
    </row>
    <row r="571" spans="1:259" ht="13.2" x14ac:dyDescent="0.25">
      <c r="A571" s="10"/>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c r="HX571" s="3"/>
      <c r="HY571" s="3"/>
      <c r="HZ571" s="3"/>
      <c r="IA571" s="3"/>
      <c r="IB571" s="3"/>
      <c r="IC571" s="3"/>
      <c r="ID571" s="3"/>
      <c r="IE571" s="3"/>
      <c r="IF571" s="3"/>
      <c r="IG571" s="3"/>
      <c r="IH571" s="3"/>
      <c r="II571" s="3"/>
      <c r="IJ571" s="3"/>
      <c r="IK571" s="3"/>
      <c r="IL571" s="3"/>
      <c r="IM571" s="3"/>
      <c r="IN571" s="3"/>
      <c r="IO571" s="3"/>
      <c r="IP571" s="3"/>
      <c r="IQ571" s="3"/>
      <c r="IR571" s="3"/>
      <c r="IS571" s="3"/>
      <c r="IT571" s="3"/>
      <c r="IU571" s="3"/>
      <c r="IV571" s="3"/>
      <c r="IW571" s="3"/>
      <c r="IX571" s="3"/>
      <c r="IY571" s="3"/>
    </row>
    <row r="572" spans="1:259" ht="13.2" x14ac:dyDescent="0.25">
      <c r="A572" s="10"/>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c r="HX572" s="3"/>
      <c r="HY572" s="3"/>
      <c r="HZ572" s="3"/>
      <c r="IA572" s="3"/>
      <c r="IB572" s="3"/>
      <c r="IC572" s="3"/>
      <c r="ID572" s="3"/>
      <c r="IE572" s="3"/>
      <c r="IF572" s="3"/>
      <c r="IG572" s="3"/>
      <c r="IH572" s="3"/>
      <c r="II572" s="3"/>
      <c r="IJ572" s="3"/>
      <c r="IK572" s="3"/>
      <c r="IL572" s="3"/>
      <c r="IM572" s="3"/>
      <c r="IN572" s="3"/>
      <c r="IO572" s="3"/>
      <c r="IP572" s="3"/>
      <c r="IQ572" s="3"/>
      <c r="IR572" s="3"/>
      <c r="IS572" s="3"/>
      <c r="IT572" s="3"/>
      <c r="IU572" s="3"/>
      <c r="IV572" s="3"/>
      <c r="IW572" s="3"/>
      <c r="IX572" s="3"/>
      <c r="IY572" s="3"/>
    </row>
    <row r="573" spans="1:259" ht="13.2" x14ac:dyDescent="0.25">
      <c r="A573" s="10"/>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c r="HX573" s="3"/>
      <c r="HY573" s="3"/>
      <c r="HZ573" s="3"/>
      <c r="IA573" s="3"/>
      <c r="IB573" s="3"/>
      <c r="IC573" s="3"/>
      <c r="ID573" s="3"/>
      <c r="IE573" s="3"/>
      <c r="IF573" s="3"/>
      <c r="IG573" s="3"/>
      <c r="IH573" s="3"/>
      <c r="II573" s="3"/>
      <c r="IJ573" s="3"/>
      <c r="IK573" s="3"/>
      <c r="IL573" s="3"/>
      <c r="IM573" s="3"/>
      <c r="IN573" s="3"/>
      <c r="IO573" s="3"/>
      <c r="IP573" s="3"/>
      <c r="IQ573" s="3"/>
      <c r="IR573" s="3"/>
      <c r="IS573" s="3"/>
      <c r="IT573" s="3"/>
      <c r="IU573" s="3"/>
      <c r="IV573" s="3"/>
      <c r="IW573" s="3"/>
      <c r="IX573" s="3"/>
      <c r="IY573" s="3"/>
    </row>
    <row r="574" spans="1:259" ht="13.2" x14ac:dyDescent="0.25">
      <c r="A574" s="10"/>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c r="HX574" s="3"/>
      <c r="HY574" s="3"/>
      <c r="HZ574" s="3"/>
      <c r="IA574" s="3"/>
      <c r="IB574" s="3"/>
      <c r="IC574" s="3"/>
      <c r="ID574" s="3"/>
      <c r="IE574" s="3"/>
      <c r="IF574" s="3"/>
      <c r="IG574" s="3"/>
      <c r="IH574" s="3"/>
      <c r="II574" s="3"/>
      <c r="IJ574" s="3"/>
      <c r="IK574" s="3"/>
      <c r="IL574" s="3"/>
      <c r="IM574" s="3"/>
      <c r="IN574" s="3"/>
      <c r="IO574" s="3"/>
      <c r="IP574" s="3"/>
      <c r="IQ574" s="3"/>
      <c r="IR574" s="3"/>
      <c r="IS574" s="3"/>
      <c r="IT574" s="3"/>
      <c r="IU574" s="3"/>
      <c r="IV574" s="3"/>
      <c r="IW574" s="3"/>
      <c r="IX574" s="3"/>
      <c r="IY574" s="3"/>
    </row>
    <row r="575" spans="1:259" ht="13.2" x14ac:dyDescent="0.25">
      <c r="A575" s="10"/>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c r="HX575" s="3"/>
      <c r="HY575" s="3"/>
      <c r="HZ575" s="3"/>
      <c r="IA575" s="3"/>
      <c r="IB575" s="3"/>
      <c r="IC575" s="3"/>
      <c r="ID575" s="3"/>
      <c r="IE575" s="3"/>
      <c r="IF575" s="3"/>
      <c r="IG575" s="3"/>
      <c r="IH575" s="3"/>
      <c r="II575" s="3"/>
      <c r="IJ575" s="3"/>
      <c r="IK575" s="3"/>
      <c r="IL575" s="3"/>
      <c r="IM575" s="3"/>
      <c r="IN575" s="3"/>
      <c r="IO575" s="3"/>
      <c r="IP575" s="3"/>
      <c r="IQ575" s="3"/>
      <c r="IR575" s="3"/>
      <c r="IS575" s="3"/>
      <c r="IT575" s="3"/>
      <c r="IU575" s="3"/>
      <c r="IV575" s="3"/>
      <c r="IW575" s="3"/>
      <c r="IX575" s="3"/>
      <c r="IY575" s="3"/>
    </row>
    <row r="576" spans="1:259" ht="13.2" x14ac:dyDescent="0.25">
      <c r="A576" s="10"/>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c r="HX576" s="3"/>
      <c r="HY576" s="3"/>
      <c r="HZ576" s="3"/>
      <c r="IA576" s="3"/>
      <c r="IB576" s="3"/>
      <c r="IC576" s="3"/>
      <c r="ID576" s="3"/>
      <c r="IE576" s="3"/>
      <c r="IF576" s="3"/>
      <c r="IG576" s="3"/>
      <c r="IH576" s="3"/>
      <c r="II576" s="3"/>
      <c r="IJ576" s="3"/>
      <c r="IK576" s="3"/>
      <c r="IL576" s="3"/>
      <c r="IM576" s="3"/>
      <c r="IN576" s="3"/>
      <c r="IO576" s="3"/>
      <c r="IP576" s="3"/>
      <c r="IQ576" s="3"/>
      <c r="IR576" s="3"/>
      <c r="IS576" s="3"/>
      <c r="IT576" s="3"/>
      <c r="IU576" s="3"/>
      <c r="IV576" s="3"/>
      <c r="IW576" s="3"/>
      <c r="IX576" s="3"/>
      <c r="IY576" s="3"/>
    </row>
    <row r="577" spans="1:259" ht="13.2" x14ac:dyDescent="0.25">
      <c r="A577" s="10"/>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c r="HX577" s="3"/>
      <c r="HY577" s="3"/>
      <c r="HZ577" s="3"/>
      <c r="IA577" s="3"/>
      <c r="IB577" s="3"/>
      <c r="IC577" s="3"/>
      <c r="ID577" s="3"/>
      <c r="IE577" s="3"/>
      <c r="IF577" s="3"/>
      <c r="IG577" s="3"/>
      <c r="IH577" s="3"/>
      <c r="II577" s="3"/>
      <c r="IJ577" s="3"/>
      <c r="IK577" s="3"/>
      <c r="IL577" s="3"/>
      <c r="IM577" s="3"/>
      <c r="IN577" s="3"/>
      <c r="IO577" s="3"/>
      <c r="IP577" s="3"/>
      <c r="IQ577" s="3"/>
      <c r="IR577" s="3"/>
      <c r="IS577" s="3"/>
      <c r="IT577" s="3"/>
      <c r="IU577" s="3"/>
      <c r="IV577" s="3"/>
      <c r="IW577" s="3"/>
      <c r="IX577" s="3"/>
      <c r="IY577" s="3"/>
    </row>
    <row r="578" spans="1:259" ht="13.2" x14ac:dyDescent="0.25">
      <c r="A578" s="10"/>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c r="HX578" s="3"/>
      <c r="HY578" s="3"/>
      <c r="HZ578" s="3"/>
      <c r="IA578" s="3"/>
      <c r="IB578" s="3"/>
      <c r="IC578" s="3"/>
      <c r="ID578" s="3"/>
      <c r="IE578" s="3"/>
      <c r="IF578" s="3"/>
      <c r="IG578" s="3"/>
      <c r="IH578" s="3"/>
      <c r="II578" s="3"/>
      <c r="IJ578" s="3"/>
      <c r="IK578" s="3"/>
      <c r="IL578" s="3"/>
      <c r="IM578" s="3"/>
      <c r="IN578" s="3"/>
      <c r="IO578" s="3"/>
      <c r="IP578" s="3"/>
      <c r="IQ578" s="3"/>
      <c r="IR578" s="3"/>
      <c r="IS578" s="3"/>
      <c r="IT578" s="3"/>
      <c r="IU578" s="3"/>
      <c r="IV578" s="3"/>
      <c r="IW578" s="3"/>
      <c r="IX578" s="3"/>
      <c r="IY578" s="3"/>
    </row>
    <row r="579" spans="1:259" ht="13.2" x14ac:dyDescent="0.25">
      <c r="A579" s="10"/>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c r="HX579" s="3"/>
      <c r="HY579" s="3"/>
      <c r="HZ579" s="3"/>
      <c r="IA579" s="3"/>
      <c r="IB579" s="3"/>
      <c r="IC579" s="3"/>
      <c r="ID579" s="3"/>
      <c r="IE579" s="3"/>
      <c r="IF579" s="3"/>
      <c r="IG579" s="3"/>
      <c r="IH579" s="3"/>
      <c r="II579" s="3"/>
      <c r="IJ579" s="3"/>
      <c r="IK579" s="3"/>
      <c r="IL579" s="3"/>
      <c r="IM579" s="3"/>
      <c r="IN579" s="3"/>
      <c r="IO579" s="3"/>
      <c r="IP579" s="3"/>
      <c r="IQ579" s="3"/>
      <c r="IR579" s="3"/>
      <c r="IS579" s="3"/>
      <c r="IT579" s="3"/>
      <c r="IU579" s="3"/>
      <c r="IV579" s="3"/>
      <c r="IW579" s="3"/>
      <c r="IX579" s="3"/>
      <c r="IY579" s="3"/>
    </row>
    <row r="580" spans="1:259" ht="13.2" x14ac:dyDescent="0.25">
      <c r="A580" s="10"/>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c r="HX580" s="3"/>
      <c r="HY580" s="3"/>
      <c r="HZ580" s="3"/>
      <c r="IA580" s="3"/>
      <c r="IB580" s="3"/>
      <c r="IC580" s="3"/>
      <c r="ID580" s="3"/>
      <c r="IE580" s="3"/>
      <c r="IF580" s="3"/>
      <c r="IG580" s="3"/>
      <c r="IH580" s="3"/>
      <c r="II580" s="3"/>
      <c r="IJ580" s="3"/>
      <c r="IK580" s="3"/>
      <c r="IL580" s="3"/>
      <c r="IM580" s="3"/>
      <c r="IN580" s="3"/>
      <c r="IO580" s="3"/>
      <c r="IP580" s="3"/>
      <c r="IQ580" s="3"/>
      <c r="IR580" s="3"/>
      <c r="IS580" s="3"/>
      <c r="IT580" s="3"/>
      <c r="IU580" s="3"/>
      <c r="IV580" s="3"/>
      <c r="IW580" s="3"/>
      <c r="IX580" s="3"/>
      <c r="IY580" s="3"/>
    </row>
    <row r="581" spans="1:259" ht="13.2" x14ac:dyDescent="0.25">
      <c r="A581" s="10"/>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c r="HX581" s="3"/>
      <c r="HY581" s="3"/>
      <c r="HZ581" s="3"/>
      <c r="IA581" s="3"/>
      <c r="IB581" s="3"/>
      <c r="IC581" s="3"/>
      <c r="ID581" s="3"/>
      <c r="IE581" s="3"/>
      <c r="IF581" s="3"/>
      <c r="IG581" s="3"/>
      <c r="IH581" s="3"/>
      <c r="II581" s="3"/>
      <c r="IJ581" s="3"/>
      <c r="IK581" s="3"/>
      <c r="IL581" s="3"/>
      <c r="IM581" s="3"/>
      <c r="IN581" s="3"/>
      <c r="IO581" s="3"/>
      <c r="IP581" s="3"/>
      <c r="IQ581" s="3"/>
      <c r="IR581" s="3"/>
      <c r="IS581" s="3"/>
      <c r="IT581" s="3"/>
      <c r="IU581" s="3"/>
      <c r="IV581" s="3"/>
      <c r="IW581" s="3"/>
      <c r="IX581" s="3"/>
      <c r="IY581" s="3"/>
    </row>
    <row r="582" spans="1:259" ht="13.2" x14ac:dyDescent="0.25">
      <c r="A582" s="10"/>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c r="HX582" s="3"/>
      <c r="HY582" s="3"/>
      <c r="HZ582" s="3"/>
      <c r="IA582" s="3"/>
      <c r="IB582" s="3"/>
      <c r="IC582" s="3"/>
      <c r="ID582" s="3"/>
      <c r="IE582" s="3"/>
      <c r="IF582" s="3"/>
      <c r="IG582" s="3"/>
      <c r="IH582" s="3"/>
      <c r="II582" s="3"/>
      <c r="IJ582" s="3"/>
      <c r="IK582" s="3"/>
      <c r="IL582" s="3"/>
      <c r="IM582" s="3"/>
      <c r="IN582" s="3"/>
      <c r="IO582" s="3"/>
      <c r="IP582" s="3"/>
      <c r="IQ582" s="3"/>
      <c r="IR582" s="3"/>
      <c r="IS582" s="3"/>
      <c r="IT582" s="3"/>
      <c r="IU582" s="3"/>
      <c r="IV582" s="3"/>
      <c r="IW582" s="3"/>
      <c r="IX582" s="3"/>
      <c r="IY582" s="3"/>
    </row>
    <row r="583" spans="1:259" ht="13.2" x14ac:dyDescent="0.25">
      <c r="A583" s="10"/>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c r="HX583" s="3"/>
      <c r="HY583" s="3"/>
      <c r="HZ583" s="3"/>
      <c r="IA583" s="3"/>
      <c r="IB583" s="3"/>
      <c r="IC583" s="3"/>
      <c r="ID583" s="3"/>
      <c r="IE583" s="3"/>
      <c r="IF583" s="3"/>
      <c r="IG583" s="3"/>
      <c r="IH583" s="3"/>
      <c r="II583" s="3"/>
      <c r="IJ583" s="3"/>
      <c r="IK583" s="3"/>
      <c r="IL583" s="3"/>
      <c r="IM583" s="3"/>
      <c r="IN583" s="3"/>
      <c r="IO583" s="3"/>
      <c r="IP583" s="3"/>
      <c r="IQ583" s="3"/>
      <c r="IR583" s="3"/>
      <c r="IS583" s="3"/>
      <c r="IT583" s="3"/>
      <c r="IU583" s="3"/>
      <c r="IV583" s="3"/>
      <c r="IW583" s="3"/>
      <c r="IX583" s="3"/>
      <c r="IY583" s="3"/>
    </row>
    <row r="584" spans="1:259" ht="13.2" x14ac:dyDescent="0.25">
      <c r="A584" s="10"/>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c r="HX584" s="3"/>
      <c r="HY584" s="3"/>
      <c r="HZ584" s="3"/>
      <c r="IA584" s="3"/>
      <c r="IB584" s="3"/>
      <c r="IC584" s="3"/>
      <c r="ID584" s="3"/>
      <c r="IE584" s="3"/>
      <c r="IF584" s="3"/>
      <c r="IG584" s="3"/>
      <c r="IH584" s="3"/>
      <c r="II584" s="3"/>
      <c r="IJ584" s="3"/>
      <c r="IK584" s="3"/>
      <c r="IL584" s="3"/>
      <c r="IM584" s="3"/>
      <c r="IN584" s="3"/>
      <c r="IO584" s="3"/>
      <c r="IP584" s="3"/>
      <c r="IQ584" s="3"/>
      <c r="IR584" s="3"/>
      <c r="IS584" s="3"/>
      <c r="IT584" s="3"/>
      <c r="IU584" s="3"/>
      <c r="IV584" s="3"/>
      <c r="IW584" s="3"/>
      <c r="IX584" s="3"/>
      <c r="IY584" s="3"/>
    </row>
    <row r="585" spans="1:259" ht="13.2" x14ac:dyDescent="0.25">
      <c r="A585" s="10"/>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c r="HX585" s="3"/>
      <c r="HY585" s="3"/>
      <c r="HZ585" s="3"/>
      <c r="IA585" s="3"/>
      <c r="IB585" s="3"/>
      <c r="IC585" s="3"/>
      <c r="ID585" s="3"/>
      <c r="IE585" s="3"/>
      <c r="IF585" s="3"/>
      <c r="IG585" s="3"/>
      <c r="IH585" s="3"/>
      <c r="II585" s="3"/>
      <c r="IJ585" s="3"/>
      <c r="IK585" s="3"/>
      <c r="IL585" s="3"/>
      <c r="IM585" s="3"/>
      <c r="IN585" s="3"/>
      <c r="IO585" s="3"/>
      <c r="IP585" s="3"/>
      <c r="IQ585" s="3"/>
      <c r="IR585" s="3"/>
      <c r="IS585" s="3"/>
      <c r="IT585" s="3"/>
      <c r="IU585" s="3"/>
      <c r="IV585" s="3"/>
      <c r="IW585" s="3"/>
      <c r="IX585" s="3"/>
      <c r="IY585" s="3"/>
    </row>
    <row r="586" spans="1:259" ht="13.2" x14ac:dyDescent="0.25">
      <c r="A586" s="10"/>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c r="HX586" s="3"/>
      <c r="HY586" s="3"/>
      <c r="HZ586" s="3"/>
      <c r="IA586" s="3"/>
      <c r="IB586" s="3"/>
      <c r="IC586" s="3"/>
      <c r="ID586" s="3"/>
      <c r="IE586" s="3"/>
      <c r="IF586" s="3"/>
      <c r="IG586" s="3"/>
      <c r="IH586" s="3"/>
      <c r="II586" s="3"/>
      <c r="IJ586" s="3"/>
      <c r="IK586" s="3"/>
      <c r="IL586" s="3"/>
      <c r="IM586" s="3"/>
      <c r="IN586" s="3"/>
      <c r="IO586" s="3"/>
      <c r="IP586" s="3"/>
      <c r="IQ586" s="3"/>
      <c r="IR586" s="3"/>
      <c r="IS586" s="3"/>
      <c r="IT586" s="3"/>
      <c r="IU586" s="3"/>
      <c r="IV586" s="3"/>
      <c r="IW586" s="3"/>
      <c r="IX586" s="3"/>
      <c r="IY586" s="3"/>
    </row>
    <row r="587" spans="1:259" ht="13.2" x14ac:dyDescent="0.25">
      <c r="A587" s="10"/>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c r="HX587" s="3"/>
      <c r="HY587" s="3"/>
      <c r="HZ587" s="3"/>
      <c r="IA587" s="3"/>
      <c r="IB587" s="3"/>
      <c r="IC587" s="3"/>
      <c r="ID587" s="3"/>
      <c r="IE587" s="3"/>
      <c r="IF587" s="3"/>
      <c r="IG587" s="3"/>
      <c r="IH587" s="3"/>
      <c r="II587" s="3"/>
      <c r="IJ587" s="3"/>
      <c r="IK587" s="3"/>
      <c r="IL587" s="3"/>
      <c r="IM587" s="3"/>
      <c r="IN587" s="3"/>
      <c r="IO587" s="3"/>
      <c r="IP587" s="3"/>
      <c r="IQ587" s="3"/>
      <c r="IR587" s="3"/>
      <c r="IS587" s="3"/>
      <c r="IT587" s="3"/>
      <c r="IU587" s="3"/>
      <c r="IV587" s="3"/>
      <c r="IW587" s="3"/>
      <c r="IX587" s="3"/>
      <c r="IY587" s="3"/>
    </row>
    <row r="588" spans="1:259" ht="13.2" x14ac:dyDescent="0.25">
      <c r="A588" s="10"/>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c r="HX588" s="3"/>
      <c r="HY588" s="3"/>
      <c r="HZ588" s="3"/>
      <c r="IA588" s="3"/>
      <c r="IB588" s="3"/>
      <c r="IC588" s="3"/>
      <c r="ID588" s="3"/>
      <c r="IE588" s="3"/>
      <c r="IF588" s="3"/>
      <c r="IG588" s="3"/>
      <c r="IH588" s="3"/>
      <c r="II588" s="3"/>
      <c r="IJ588" s="3"/>
      <c r="IK588" s="3"/>
      <c r="IL588" s="3"/>
      <c r="IM588" s="3"/>
      <c r="IN588" s="3"/>
      <c r="IO588" s="3"/>
      <c r="IP588" s="3"/>
      <c r="IQ588" s="3"/>
      <c r="IR588" s="3"/>
      <c r="IS588" s="3"/>
      <c r="IT588" s="3"/>
      <c r="IU588" s="3"/>
      <c r="IV588" s="3"/>
      <c r="IW588" s="3"/>
      <c r="IX588" s="3"/>
      <c r="IY588" s="3"/>
    </row>
    <row r="589" spans="1:259" ht="13.2" x14ac:dyDescent="0.25">
      <c r="A589" s="10"/>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c r="HX589" s="3"/>
      <c r="HY589" s="3"/>
      <c r="HZ589" s="3"/>
      <c r="IA589" s="3"/>
      <c r="IB589" s="3"/>
      <c r="IC589" s="3"/>
      <c r="ID589" s="3"/>
      <c r="IE589" s="3"/>
      <c r="IF589" s="3"/>
      <c r="IG589" s="3"/>
      <c r="IH589" s="3"/>
      <c r="II589" s="3"/>
      <c r="IJ589" s="3"/>
      <c r="IK589" s="3"/>
      <c r="IL589" s="3"/>
      <c r="IM589" s="3"/>
      <c r="IN589" s="3"/>
      <c r="IO589" s="3"/>
      <c r="IP589" s="3"/>
      <c r="IQ589" s="3"/>
      <c r="IR589" s="3"/>
      <c r="IS589" s="3"/>
      <c r="IT589" s="3"/>
      <c r="IU589" s="3"/>
      <c r="IV589" s="3"/>
      <c r="IW589" s="3"/>
      <c r="IX589" s="3"/>
      <c r="IY589" s="3"/>
    </row>
    <row r="590" spans="1:259" ht="13.2" x14ac:dyDescent="0.25">
      <c r="A590" s="10"/>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c r="HX590" s="3"/>
      <c r="HY590" s="3"/>
      <c r="HZ590" s="3"/>
      <c r="IA590" s="3"/>
      <c r="IB590" s="3"/>
      <c r="IC590" s="3"/>
      <c r="ID590" s="3"/>
      <c r="IE590" s="3"/>
      <c r="IF590" s="3"/>
      <c r="IG590" s="3"/>
      <c r="IH590" s="3"/>
      <c r="II590" s="3"/>
      <c r="IJ590" s="3"/>
      <c r="IK590" s="3"/>
      <c r="IL590" s="3"/>
      <c r="IM590" s="3"/>
      <c r="IN590" s="3"/>
      <c r="IO590" s="3"/>
      <c r="IP590" s="3"/>
      <c r="IQ590" s="3"/>
      <c r="IR590" s="3"/>
      <c r="IS590" s="3"/>
      <c r="IT590" s="3"/>
      <c r="IU590" s="3"/>
      <c r="IV590" s="3"/>
      <c r="IW590" s="3"/>
      <c r="IX590" s="3"/>
      <c r="IY590" s="3"/>
    </row>
    <row r="591" spans="1:259" ht="13.2" x14ac:dyDescent="0.25">
      <c r="A591" s="10"/>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c r="HX591" s="3"/>
      <c r="HY591" s="3"/>
      <c r="HZ591" s="3"/>
      <c r="IA591" s="3"/>
      <c r="IB591" s="3"/>
      <c r="IC591" s="3"/>
      <c r="ID591" s="3"/>
      <c r="IE591" s="3"/>
      <c r="IF591" s="3"/>
      <c r="IG591" s="3"/>
      <c r="IH591" s="3"/>
      <c r="II591" s="3"/>
      <c r="IJ591" s="3"/>
      <c r="IK591" s="3"/>
      <c r="IL591" s="3"/>
      <c r="IM591" s="3"/>
      <c r="IN591" s="3"/>
      <c r="IO591" s="3"/>
      <c r="IP591" s="3"/>
      <c r="IQ591" s="3"/>
      <c r="IR591" s="3"/>
      <c r="IS591" s="3"/>
      <c r="IT591" s="3"/>
      <c r="IU591" s="3"/>
      <c r="IV591" s="3"/>
      <c r="IW591" s="3"/>
      <c r="IX591" s="3"/>
      <c r="IY591" s="3"/>
    </row>
    <row r="592" spans="1:259" ht="13.2" x14ac:dyDescent="0.25">
      <c r="A592" s="10"/>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c r="HX592" s="3"/>
      <c r="HY592" s="3"/>
      <c r="HZ592" s="3"/>
      <c r="IA592" s="3"/>
      <c r="IB592" s="3"/>
      <c r="IC592" s="3"/>
      <c r="ID592" s="3"/>
      <c r="IE592" s="3"/>
      <c r="IF592" s="3"/>
      <c r="IG592" s="3"/>
      <c r="IH592" s="3"/>
      <c r="II592" s="3"/>
      <c r="IJ592" s="3"/>
      <c r="IK592" s="3"/>
      <c r="IL592" s="3"/>
      <c r="IM592" s="3"/>
      <c r="IN592" s="3"/>
      <c r="IO592" s="3"/>
      <c r="IP592" s="3"/>
      <c r="IQ592" s="3"/>
      <c r="IR592" s="3"/>
      <c r="IS592" s="3"/>
      <c r="IT592" s="3"/>
      <c r="IU592" s="3"/>
      <c r="IV592" s="3"/>
      <c r="IW592" s="3"/>
      <c r="IX592" s="3"/>
      <c r="IY592" s="3"/>
    </row>
    <row r="593" spans="1:259" ht="13.2" x14ac:dyDescent="0.25">
      <c r="A593" s="10"/>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c r="HX593" s="3"/>
      <c r="HY593" s="3"/>
      <c r="HZ593" s="3"/>
      <c r="IA593" s="3"/>
      <c r="IB593" s="3"/>
      <c r="IC593" s="3"/>
      <c r="ID593" s="3"/>
      <c r="IE593" s="3"/>
      <c r="IF593" s="3"/>
      <c r="IG593" s="3"/>
      <c r="IH593" s="3"/>
      <c r="II593" s="3"/>
      <c r="IJ593" s="3"/>
      <c r="IK593" s="3"/>
      <c r="IL593" s="3"/>
      <c r="IM593" s="3"/>
      <c r="IN593" s="3"/>
      <c r="IO593" s="3"/>
      <c r="IP593" s="3"/>
      <c r="IQ593" s="3"/>
      <c r="IR593" s="3"/>
      <c r="IS593" s="3"/>
      <c r="IT593" s="3"/>
      <c r="IU593" s="3"/>
      <c r="IV593" s="3"/>
      <c r="IW593" s="3"/>
      <c r="IX593" s="3"/>
      <c r="IY593" s="3"/>
    </row>
    <row r="594" spans="1:259" ht="13.2" x14ac:dyDescent="0.25">
      <c r="A594" s="10"/>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c r="HX594" s="3"/>
      <c r="HY594" s="3"/>
      <c r="HZ594" s="3"/>
      <c r="IA594" s="3"/>
      <c r="IB594" s="3"/>
      <c r="IC594" s="3"/>
      <c r="ID594" s="3"/>
      <c r="IE594" s="3"/>
      <c r="IF594" s="3"/>
      <c r="IG594" s="3"/>
      <c r="IH594" s="3"/>
      <c r="II594" s="3"/>
      <c r="IJ594" s="3"/>
      <c r="IK594" s="3"/>
      <c r="IL594" s="3"/>
      <c r="IM594" s="3"/>
      <c r="IN594" s="3"/>
      <c r="IO594" s="3"/>
      <c r="IP594" s="3"/>
      <c r="IQ594" s="3"/>
      <c r="IR594" s="3"/>
      <c r="IS594" s="3"/>
      <c r="IT594" s="3"/>
      <c r="IU594" s="3"/>
      <c r="IV594" s="3"/>
      <c r="IW594" s="3"/>
      <c r="IX594" s="3"/>
      <c r="IY594" s="3"/>
    </row>
    <row r="595" spans="1:259" ht="13.2" x14ac:dyDescent="0.25">
      <c r="A595" s="10"/>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c r="HX595" s="3"/>
      <c r="HY595" s="3"/>
      <c r="HZ595" s="3"/>
      <c r="IA595" s="3"/>
      <c r="IB595" s="3"/>
      <c r="IC595" s="3"/>
      <c r="ID595" s="3"/>
      <c r="IE595" s="3"/>
      <c r="IF595" s="3"/>
      <c r="IG595" s="3"/>
      <c r="IH595" s="3"/>
      <c r="II595" s="3"/>
      <c r="IJ595" s="3"/>
      <c r="IK595" s="3"/>
      <c r="IL595" s="3"/>
      <c r="IM595" s="3"/>
      <c r="IN595" s="3"/>
      <c r="IO595" s="3"/>
      <c r="IP595" s="3"/>
      <c r="IQ595" s="3"/>
      <c r="IR595" s="3"/>
      <c r="IS595" s="3"/>
      <c r="IT595" s="3"/>
      <c r="IU595" s="3"/>
      <c r="IV595" s="3"/>
      <c r="IW595" s="3"/>
      <c r="IX595" s="3"/>
      <c r="IY595" s="3"/>
    </row>
    <row r="596" spans="1:259" ht="13.2" x14ac:dyDescent="0.25">
      <c r="A596" s="10"/>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c r="HX596" s="3"/>
      <c r="HY596" s="3"/>
      <c r="HZ596" s="3"/>
      <c r="IA596" s="3"/>
      <c r="IB596" s="3"/>
      <c r="IC596" s="3"/>
      <c r="ID596" s="3"/>
      <c r="IE596" s="3"/>
      <c r="IF596" s="3"/>
      <c r="IG596" s="3"/>
      <c r="IH596" s="3"/>
      <c r="II596" s="3"/>
      <c r="IJ596" s="3"/>
      <c r="IK596" s="3"/>
      <c r="IL596" s="3"/>
      <c r="IM596" s="3"/>
      <c r="IN596" s="3"/>
      <c r="IO596" s="3"/>
      <c r="IP596" s="3"/>
      <c r="IQ596" s="3"/>
      <c r="IR596" s="3"/>
      <c r="IS596" s="3"/>
      <c r="IT596" s="3"/>
      <c r="IU596" s="3"/>
      <c r="IV596" s="3"/>
      <c r="IW596" s="3"/>
      <c r="IX596" s="3"/>
      <c r="IY596" s="3"/>
    </row>
    <row r="597" spans="1:259" ht="13.2" x14ac:dyDescent="0.25">
      <c r="A597" s="10"/>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c r="HX597" s="3"/>
      <c r="HY597" s="3"/>
      <c r="HZ597" s="3"/>
      <c r="IA597" s="3"/>
      <c r="IB597" s="3"/>
      <c r="IC597" s="3"/>
      <c r="ID597" s="3"/>
      <c r="IE597" s="3"/>
      <c r="IF597" s="3"/>
      <c r="IG597" s="3"/>
      <c r="IH597" s="3"/>
      <c r="II597" s="3"/>
      <c r="IJ597" s="3"/>
      <c r="IK597" s="3"/>
      <c r="IL597" s="3"/>
      <c r="IM597" s="3"/>
      <c r="IN597" s="3"/>
      <c r="IO597" s="3"/>
      <c r="IP597" s="3"/>
      <c r="IQ597" s="3"/>
      <c r="IR597" s="3"/>
      <c r="IS597" s="3"/>
      <c r="IT597" s="3"/>
      <c r="IU597" s="3"/>
      <c r="IV597" s="3"/>
      <c r="IW597" s="3"/>
      <c r="IX597" s="3"/>
      <c r="IY597" s="3"/>
    </row>
    <row r="598" spans="1:259" ht="13.2" x14ac:dyDescent="0.25">
      <c r="A598" s="10"/>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c r="HX598" s="3"/>
      <c r="HY598" s="3"/>
      <c r="HZ598" s="3"/>
      <c r="IA598" s="3"/>
      <c r="IB598" s="3"/>
      <c r="IC598" s="3"/>
      <c r="ID598" s="3"/>
      <c r="IE598" s="3"/>
      <c r="IF598" s="3"/>
      <c r="IG598" s="3"/>
      <c r="IH598" s="3"/>
      <c r="II598" s="3"/>
      <c r="IJ598" s="3"/>
      <c r="IK598" s="3"/>
      <c r="IL598" s="3"/>
      <c r="IM598" s="3"/>
      <c r="IN598" s="3"/>
      <c r="IO598" s="3"/>
      <c r="IP598" s="3"/>
      <c r="IQ598" s="3"/>
      <c r="IR598" s="3"/>
      <c r="IS598" s="3"/>
      <c r="IT598" s="3"/>
      <c r="IU598" s="3"/>
      <c r="IV598" s="3"/>
      <c r="IW598" s="3"/>
      <c r="IX598" s="3"/>
      <c r="IY598" s="3"/>
    </row>
    <row r="599" spans="1:259" ht="13.2" x14ac:dyDescent="0.25">
      <c r="A599" s="10"/>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c r="HX599" s="3"/>
      <c r="HY599" s="3"/>
      <c r="HZ599" s="3"/>
      <c r="IA599" s="3"/>
      <c r="IB599" s="3"/>
      <c r="IC599" s="3"/>
      <c r="ID599" s="3"/>
      <c r="IE599" s="3"/>
      <c r="IF599" s="3"/>
      <c r="IG599" s="3"/>
      <c r="IH599" s="3"/>
      <c r="II599" s="3"/>
      <c r="IJ599" s="3"/>
      <c r="IK599" s="3"/>
      <c r="IL599" s="3"/>
      <c r="IM599" s="3"/>
      <c r="IN599" s="3"/>
      <c r="IO599" s="3"/>
      <c r="IP599" s="3"/>
      <c r="IQ599" s="3"/>
      <c r="IR599" s="3"/>
      <c r="IS599" s="3"/>
      <c r="IT599" s="3"/>
      <c r="IU599" s="3"/>
      <c r="IV599" s="3"/>
      <c r="IW599" s="3"/>
      <c r="IX599" s="3"/>
      <c r="IY599" s="3"/>
    </row>
    <row r="600" spans="1:259" ht="13.2" x14ac:dyDescent="0.25">
      <c r="A600" s="10"/>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c r="HX600" s="3"/>
      <c r="HY600" s="3"/>
      <c r="HZ600" s="3"/>
      <c r="IA600" s="3"/>
      <c r="IB600" s="3"/>
      <c r="IC600" s="3"/>
      <c r="ID600" s="3"/>
      <c r="IE600" s="3"/>
      <c r="IF600" s="3"/>
      <c r="IG600" s="3"/>
      <c r="IH600" s="3"/>
      <c r="II600" s="3"/>
      <c r="IJ600" s="3"/>
      <c r="IK600" s="3"/>
      <c r="IL600" s="3"/>
      <c r="IM600" s="3"/>
      <c r="IN600" s="3"/>
      <c r="IO600" s="3"/>
      <c r="IP600" s="3"/>
      <c r="IQ600" s="3"/>
      <c r="IR600" s="3"/>
      <c r="IS600" s="3"/>
      <c r="IT600" s="3"/>
      <c r="IU600" s="3"/>
      <c r="IV600" s="3"/>
      <c r="IW600" s="3"/>
      <c r="IX600" s="3"/>
      <c r="IY600" s="3"/>
    </row>
    <row r="601" spans="1:259" ht="13.2" x14ac:dyDescent="0.25">
      <c r="A601" s="10"/>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c r="HX601" s="3"/>
      <c r="HY601" s="3"/>
      <c r="HZ601" s="3"/>
      <c r="IA601" s="3"/>
      <c r="IB601" s="3"/>
      <c r="IC601" s="3"/>
      <c r="ID601" s="3"/>
      <c r="IE601" s="3"/>
      <c r="IF601" s="3"/>
      <c r="IG601" s="3"/>
      <c r="IH601" s="3"/>
      <c r="II601" s="3"/>
      <c r="IJ601" s="3"/>
      <c r="IK601" s="3"/>
      <c r="IL601" s="3"/>
      <c r="IM601" s="3"/>
      <c r="IN601" s="3"/>
      <c r="IO601" s="3"/>
      <c r="IP601" s="3"/>
      <c r="IQ601" s="3"/>
      <c r="IR601" s="3"/>
      <c r="IS601" s="3"/>
      <c r="IT601" s="3"/>
      <c r="IU601" s="3"/>
      <c r="IV601" s="3"/>
      <c r="IW601" s="3"/>
      <c r="IX601" s="3"/>
      <c r="IY601" s="3"/>
    </row>
    <row r="602" spans="1:259" ht="13.2" x14ac:dyDescent="0.25">
      <c r="A602" s="10"/>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c r="HX602" s="3"/>
      <c r="HY602" s="3"/>
      <c r="HZ602" s="3"/>
      <c r="IA602" s="3"/>
      <c r="IB602" s="3"/>
      <c r="IC602" s="3"/>
      <c r="ID602" s="3"/>
      <c r="IE602" s="3"/>
      <c r="IF602" s="3"/>
      <c r="IG602" s="3"/>
      <c r="IH602" s="3"/>
      <c r="II602" s="3"/>
      <c r="IJ602" s="3"/>
      <c r="IK602" s="3"/>
      <c r="IL602" s="3"/>
      <c r="IM602" s="3"/>
      <c r="IN602" s="3"/>
      <c r="IO602" s="3"/>
      <c r="IP602" s="3"/>
      <c r="IQ602" s="3"/>
      <c r="IR602" s="3"/>
      <c r="IS602" s="3"/>
      <c r="IT602" s="3"/>
      <c r="IU602" s="3"/>
      <c r="IV602" s="3"/>
      <c r="IW602" s="3"/>
      <c r="IX602" s="3"/>
      <c r="IY602" s="3"/>
    </row>
    <row r="603" spans="1:259" ht="13.2" x14ac:dyDescent="0.25">
      <c r="A603" s="10"/>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c r="HX603" s="3"/>
      <c r="HY603" s="3"/>
      <c r="HZ603" s="3"/>
      <c r="IA603" s="3"/>
      <c r="IB603" s="3"/>
      <c r="IC603" s="3"/>
      <c r="ID603" s="3"/>
      <c r="IE603" s="3"/>
      <c r="IF603" s="3"/>
      <c r="IG603" s="3"/>
      <c r="IH603" s="3"/>
      <c r="II603" s="3"/>
      <c r="IJ603" s="3"/>
      <c r="IK603" s="3"/>
      <c r="IL603" s="3"/>
      <c r="IM603" s="3"/>
      <c r="IN603" s="3"/>
      <c r="IO603" s="3"/>
      <c r="IP603" s="3"/>
      <c r="IQ603" s="3"/>
      <c r="IR603" s="3"/>
      <c r="IS603" s="3"/>
      <c r="IT603" s="3"/>
      <c r="IU603" s="3"/>
      <c r="IV603" s="3"/>
      <c r="IW603" s="3"/>
      <c r="IX603" s="3"/>
      <c r="IY603" s="3"/>
    </row>
    <row r="604" spans="1:259" ht="13.2" x14ac:dyDescent="0.25">
      <c r="A604" s="10"/>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c r="HX604" s="3"/>
      <c r="HY604" s="3"/>
      <c r="HZ604" s="3"/>
      <c r="IA604" s="3"/>
      <c r="IB604" s="3"/>
      <c r="IC604" s="3"/>
      <c r="ID604" s="3"/>
      <c r="IE604" s="3"/>
      <c r="IF604" s="3"/>
      <c r="IG604" s="3"/>
      <c r="IH604" s="3"/>
      <c r="II604" s="3"/>
      <c r="IJ604" s="3"/>
      <c r="IK604" s="3"/>
      <c r="IL604" s="3"/>
      <c r="IM604" s="3"/>
      <c r="IN604" s="3"/>
      <c r="IO604" s="3"/>
      <c r="IP604" s="3"/>
      <c r="IQ604" s="3"/>
      <c r="IR604" s="3"/>
      <c r="IS604" s="3"/>
      <c r="IT604" s="3"/>
      <c r="IU604" s="3"/>
      <c r="IV604" s="3"/>
      <c r="IW604" s="3"/>
      <c r="IX604" s="3"/>
      <c r="IY604" s="3"/>
    </row>
    <row r="605" spans="1:259" ht="13.2" x14ac:dyDescent="0.25">
      <c r="A605" s="10"/>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c r="HX605" s="3"/>
      <c r="HY605" s="3"/>
      <c r="HZ605" s="3"/>
      <c r="IA605" s="3"/>
      <c r="IB605" s="3"/>
      <c r="IC605" s="3"/>
      <c r="ID605" s="3"/>
      <c r="IE605" s="3"/>
      <c r="IF605" s="3"/>
      <c r="IG605" s="3"/>
      <c r="IH605" s="3"/>
      <c r="II605" s="3"/>
      <c r="IJ605" s="3"/>
      <c r="IK605" s="3"/>
      <c r="IL605" s="3"/>
      <c r="IM605" s="3"/>
      <c r="IN605" s="3"/>
      <c r="IO605" s="3"/>
      <c r="IP605" s="3"/>
      <c r="IQ605" s="3"/>
      <c r="IR605" s="3"/>
      <c r="IS605" s="3"/>
      <c r="IT605" s="3"/>
      <c r="IU605" s="3"/>
      <c r="IV605" s="3"/>
      <c r="IW605" s="3"/>
      <c r="IX605" s="3"/>
      <c r="IY605" s="3"/>
    </row>
    <row r="606" spans="1:259" ht="13.2" x14ac:dyDescent="0.25">
      <c r="A606" s="10"/>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c r="HX606" s="3"/>
      <c r="HY606" s="3"/>
      <c r="HZ606" s="3"/>
      <c r="IA606" s="3"/>
      <c r="IB606" s="3"/>
      <c r="IC606" s="3"/>
      <c r="ID606" s="3"/>
      <c r="IE606" s="3"/>
      <c r="IF606" s="3"/>
      <c r="IG606" s="3"/>
      <c r="IH606" s="3"/>
      <c r="II606" s="3"/>
      <c r="IJ606" s="3"/>
      <c r="IK606" s="3"/>
      <c r="IL606" s="3"/>
      <c r="IM606" s="3"/>
      <c r="IN606" s="3"/>
      <c r="IO606" s="3"/>
      <c r="IP606" s="3"/>
      <c r="IQ606" s="3"/>
      <c r="IR606" s="3"/>
      <c r="IS606" s="3"/>
      <c r="IT606" s="3"/>
      <c r="IU606" s="3"/>
      <c r="IV606" s="3"/>
      <c r="IW606" s="3"/>
      <c r="IX606" s="3"/>
      <c r="IY606" s="3"/>
    </row>
    <row r="607" spans="1:259" ht="13.2" x14ac:dyDescent="0.25">
      <c r="A607" s="10"/>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c r="HX607" s="3"/>
      <c r="HY607" s="3"/>
      <c r="HZ607" s="3"/>
      <c r="IA607" s="3"/>
      <c r="IB607" s="3"/>
      <c r="IC607" s="3"/>
      <c r="ID607" s="3"/>
      <c r="IE607" s="3"/>
      <c r="IF607" s="3"/>
      <c r="IG607" s="3"/>
      <c r="IH607" s="3"/>
      <c r="II607" s="3"/>
      <c r="IJ607" s="3"/>
      <c r="IK607" s="3"/>
      <c r="IL607" s="3"/>
      <c r="IM607" s="3"/>
      <c r="IN607" s="3"/>
      <c r="IO607" s="3"/>
      <c r="IP607" s="3"/>
      <c r="IQ607" s="3"/>
      <c r="IR607" s="3"/>
      <c r="IS607" s="3"/>
      <c r="IT607" s="3"/>
      <c r="IU607" s="3"/>
      <c r="IV607" s="3"/>
      <c r="IW607" s="3"/>
      <c r="IX607" s="3"/>
      <c r="IY607" s="3"/>
    </row>
    <row r="608" spans="1:259" ht="13.2" x14ac:dyDescent="0.25">
      <c r="A608" s="10"/>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c r="HX608" s="3"/>
      <c r="HY608" s="3"/>
      <c r="HZ608" s="3"/>
      <c r="IA608" s="3"/>
      <c r="IB608" s="3"/>
      <c r="IC608" s="3"/>
      <c r="ID608" s="3"/>
      <c r="IE608" s="3"/>
      <c r="IF608" s="3"/>
      <c r="IG608" s="3"/>
      <c r="IH608" s="3"/>
      <c r="II608" s="3"/>
      <c r="IJ608" s="3"/>
      <c r="IK608" s="3"/>
      <c r="IL608" s="3"/>
      <c r="IM608" s="3"/>
      <c r="IN608" s="3"/>
      <c r="IO608" s="3"/>
      <c r="IP608" s="3"/>
      <c r="IQ608" s="3"/>
      <c r="IR608" s="3"/>
      <c r="IS608" s="3"/>
      <c r="IT608" s="3"/>
      <c r="IU608" s="3"/>
      <c r="IV608" s="3"/>
      <c r="IW608" s="3"/>
      <c r="IX608" s="3"/>
      <c r="IY608" s="3"/>
    </row>
    <row r="609" spans="1:259" ht="13.2" x14ac:dyDescent="0.25">
      <c r="A609" s="10"/>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c r="HX609" s="3"/>
      <c r="HY609" s="3"/>
      <c r="HZ609" s="3"/>
      <c r="IA609" s="3"/>
      <c r="IB609" s="3"/>
      <c r="IC609" s="3"/>
      <c r="ID609" s="3"/>
      <c r="IE609" s="3"/>
      <c r="IF609" s="3"/>
      <c r="IG609" s="3"/>
      <c r="IH609" s="3"/>
      <c r="II609" s="3"/>
      <c r="IJ609" s="3"/>
      <c r="IK609" s="3"/>
      <c r="IL609" s="3"/>
      <c r="IM609" s="3"/>
      <c r="IN609" s="3"/>
      <c r="IO609" s="3"/>
      <c r="IP609" s="3"/>
      <c r="IQ609" s="3"/>
      <c r="IR609" s="3"/>
      <c r="IS609" s="3"/>
      <c r="IT609" s="3"/>
      <c r="IU609" s="3"/>
      <c r="IV609" s="3"/>
      <c r="IW609" s="3"/>
      <c r="IX609" s="3"/>
      <c r="IY609" s="3"/>
    </row>
    <row r="610" spans="1:259" ht="13.2" x14ac:dyDescent="0.25">
      <c r="A610" s="10"/>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c r="HX610" s="3"/>
      <c r="HY610" s="3"/>
      <c r="HZ610" s="3"/>
      <c r="IA610" s="3"/>
      <c r="IB610" s="3"/>
      <c r="IC610" s="3"/>
      <c r="ID610" s="3"/>
      <c r="IE610" s="3"/>
      <c r="IF610" s="3"/>
      <c r="IG610" s="3"/>
      <c r="IH610" s="3"/>
      <c r="II610" s="3"/>
      <c r="IJ610" s="3"/>
      <c r="IK610" s="3"/>
      <c r="IL610" s="3"/>
      <c r="IM610" s="3"/>
      <c r="IN610" s="3"/>
      <c r="IO610" s="3"/>
      <c r="IP610" s="3"/>
      <c r="IQ610" s="3"/>
      <c r="IR610" s="3"/>
      <c r="IS610" s="3"/>
      <c r="IT610" s="3"/>
      <c r="IU610" s="3"/>
      <c r="IV610" s="3"/>
      <c r="IW610" s="3"/>
      <c r="IX610" s="3"/>
      <c r="IY610" s="3"/>
    </row>
    <row r="611" spans="1:259" ht="13.2" x14ac:dyDescent="0.25">
      <c r="A611" s="10"/>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c r="HX611" s="3"/>
      <c r="HY611" s="3"/>
      <c r="HZ611" s="3"/>
      <c r="IA611" s="3"/>
      <c r="IB611" s="3"/>
      <c r="IC611" s="3"/>
      <c r="ID611" s="3"/>
      <c r="IE611" s="3"/>
      <c r="IF611" s="3"/>
      <c r="IG611" s="3"/>
      <c r="IH611" s="3"/>
      <c r="II611" s="3"/>
      <c r="IJ611" s="3"/>
      <c r="IK611" s="3"/>
      <c r="IL611" s="3"/>
      <c r="IM611" s="3"/>
      <c r="IN611" s="3"/>
      <c r="IO611" s="3"/>
      <c r="IP611" s="3"/>
      <c r="IQ611" s="3"/>
      <c r="IR611" s="3"/>
      <c r="IS611" s="3"/>
      <c r="IT611" s="3"/>
      <c r="IU611" s="3"/>
      <c r="IV611" s="3"/>
      <c r="IW611" s="3"/>
      <c r="IX611" s="3"/>
      <c r="IY611" s="3"/>
    </row>
    <row r="612" spans="1:259" ht="13.2" x14ac:dyDescent="0.25">
      <c r="A612" s="10"/>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c r="HX612" s="3"/>
      <c r="HY612" s="3"/>
      <c r="HZ612" s="3"/>
      <c r="IA612" s="3"/>
      <c r="IB612" s="3"/>
      <c r="IC612" s="3"/>
      <c r="ID612" s="3"/>
      <c r="IE612" s="3"/>
      <c r="IF612" s="3"/>
      <c r="IG612" s="3"/>
      <c r="IH612" s="3"/>
      <c r="II612" s="3"/>
      <c r="IJ612" s="3"/>
      <c r="IK612" s="3"/>
      <c r="IL612" s="3"/>
      <c r="IM612" s="3"/>
      <c r="IN612" s="3"/>
      <c r="IO612" s="3"/>
      <c r="IP612" s="3"/>
      <c r="IQ612" s="3"/>
      <c r="IR612" s="3"/>
      <c r="IS612" s="3"/>
      <c r="IT612" s="3"/>
      <c r="IU612" s="3"/>
      <c r="IV612" s="3"/>
      <c r="IW612" s="3"/>
      <c r="IX612" s="3"/>
      <c r="IY612" s="3"/>
    </row>
    <row r="613" spans="1:259" ht="13.2" x14ac:dyDescent="0.25">
      <c r="A613" s="10"/>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c r="HX613" s="3"/>
      <c r="HY613" s="3"/>
      <c r="HZ613" s="3"/>
      <c r="IA613" s="3"/>
      <c r="IB613" s="3"/>
      <c r="IC613" s="3"/>
      <c r="ID613" s="3"/>
      <c r="IE613" s="3"/>
      <c r="IF613" s="3"/>
      <c r="IG613" s="3"/>
      <c r="IH613" s="3"/>
      <c r="II613" s="3"/>
      <c r="IJ613" s="3"/>
      <c r="IK613" s="3"/>
      <c r="IL613" s="3"/>
      <c r="IM613" s="3"/>
      <c r="IN613" s="3"/>
      <c r="IO613" s="3"/>
      <c r="IP613" s="3"/>
      <c r="IQ613" s="3"/>
      <c r="IR613" s="3"/>
      <c r="IS613" s="3"/>
      <c r="IT613" s="3"/>
      <c r="IU613" s="3"/>
      <c r="IV613" s="3"/>
      <c r="IW613" s="3"/>
      <c r="IX613" s="3"/>
      <c r="IY613" s="3"/>
    </row>
    <row r="614" spans="1:259" ht="13.2" x14ac:dyDescent="0.25">
      <c r="A614" s="10"/>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c r="HX614" s="3"/>
      <c r="HY614" s="3"/>
      <c r="HZ614" s="3"/>
      <c r="IA614" s="3"/>
      <c r="IB614" s="3"/>
      <c r="IC614" s="3"/>
      <c r="ID614" s="3"/>
      <c r="IE614" s="3"/>
      <c r="IF614" s="3"/>
      <c r="IG614" s="3"/>
      <c r="IH614" s="3"/>
      <c r="II614" s="3"/>
      <c r="IJ614" s="3"/>
      <c r="IK614" s="3"/>
      <c r="IL614" s="3"/>
      <c r="IM614" s="3"/>
      <c r="IN614" s="3"/>
      <c r="IO614" s="3"/>
      <c r="IP614" s="3"/>
      <c r="IQ614" s="3"/>
      <c r="IR614" s="3"/>
      <c r="IS614" s="3"/>
      <c r="IT614" s="3"/>
      <c r="IU614" s="3"/>
      <c r="IV614" s="3"/>
      <c r="IW614" s="3"/>
      <c r="IX614" s="3"/>
      <c r="IY614" s="3"/>
    </row>
    <row r="615" spans="1:259" ht="13.2" x14ac:dyDescent="0.25">
      <c r="A615" s="10"/>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c r="HX615" s="3"/>
      <c r="HY615" s="3"/>
      <c r="HZ615" s="3"/>
      <c r="IA615" s="3"/>
      <c r="IB615" s="3"/>
      <c r="IC615" s="3"/>
      <c r="ID615" s="3"/>
      <c r="IE615" s="3"/>
      <c r="IF615" s="3"/>
      <c r="IG615" s="3"/>
      <c r="IH615" s="3"/>
      <c r="II615" s="3"/>
      <c r="IJ615" s="3"/>
      <c r="IK615" s="3"/>
      <c r="IL615" s="3"/>
      <c r="IM615" s="3"/>
      <c r="IN615" s="3"/>
      <c r="IO615" s="3"/>
      <c r="IP615" s="3"/>
      <c r="IQ615" s="3"/>
      <c r="IR615" s="3"/>
      <c r="IS615" s="3"/>
      <c r="IT615" s="3"/>
      <c r="IU615" s="3"/>
      <c r="IV615" s="3"/>
      <c r="IW615" s="3"/>
      <c r="IX615" s="3"/>
      <c r="IY615" s="3"/>
    </row>
    <row r="616" spans="1:259" ht="13.2" x14ac:dyDescent="0.25">
      <c r="A616" s="10"/>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c r="HX616" s="3"/>
      <c r="HY616" s="3"/>
      <c r="HZ616" s="3"/>
      <c r="IA616" s="3"/>
      <c r="IB616" s="3"/>
      <c r="IC616" s="3"/>
      <c r="ID616" s="3"/>
      <c r="IE616" s="3"/>
      <c r="IF616" s="3"/>
      <c r="IG616" s="3"/>
      <c r="IH616" s="3"/>
      <c r="II616" s="3"/>
      <c r="IJ616" s="3"/>
      <c r="IK616" s="3"/>
      <c r="IL616" s="3"/>
      <c r="IM616" s="3"/>
      <c r="IN616" s="3"/>
      <c r="IO616" s="3"/>
      <c r="IP616" s="3"/>
      <c r="IQ616" s="3"/>
      <c r="IR616" s="3"/>
      <c r="IS616" s="3"/>
      <c r="IT616" s="3"/>
      <c r="IU616" s="3"/>
      <c r="IV616" s="3"/>
      <c r="IW616" s="3"/>
      <c r="IX616" s="3"/>
      <c r="IY616" s="3"/>
    </row>
    <row r="617" spans="1:259" ht="13.2" x14ac:dyDescent="0.25">
      <c r="A617" s="10"/>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c r="HX617" s="3"/>
      <c r="HY617" s="3"/>
      <c r="HZ617" s="3"/>
      <c r="IA617" s="3"/>
      <c r="IB617" s="3"/>
      <c r="IC617" s="3"/>
      <c r="ID617" s="3"/>
      <c r="IE617" s="3"/>
      <c r="IF617" s="3"/>
      <c r="IG617" s="3"/>
      <c r="IH617" s="3"/>
      <c r="II617" s="3"/>
      <c r="IJ617" s="3"/>
      <c r="IK617" s="3"/>
      <c r="IL617" s="3"/>
      <c r="IM617" s="3"/>
      <c r="IN617" s="3"/>
      <c r="IO617" s="3"/>
      <c r="IP617" s="3"/>
      <c r="IQ617" s="3"/>
      <c r="IR617" s="3"/>
      <c r="IS617" s="3"/>
      <c r="IT617" s="3"/>
      <c r="IU617" s="3"/>
      <c r="IV617" s="3"/>
      <c r="IW617" s="3"/>
      <c r="IX617" s="3"/>
      <c r="IY617" s="3"/>
    </row>
    <row r="618" spans="1:259" ht="13.2" x14ac:dyDescent="0.25">
      <c r="A618" s="10"/>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c r="HX618" s="3"/>
      <c r="HY618" s="3"/>
      <c r="HZ618" s="3"/>
      <c r="IA618" s="3"/>
      <c r="IB618" s="3"/>
      <c r="IC618" s="3"/>
      <c r="ID618" s="3"/>
      <c r="IE618" s="3"/>
      <c r="IF618" s="3"/>
      <c r="IG618" s="3"/>
      <c r="IH618" s="3"/>
      <c r="II618" s="3"/>
      <c r="IJ618" s="3"/>
      <c r="IK618" s="3"/>
      <c r="IL618" s="3"/>
      <c r="IM618" s="3"/>
      <c r="IN618" s="3"/>
      <c r="IO618" s="3"/>
      <c r="IP618" s="3"/>
      <c r="IQ618" s="3"/>
      <c r="IR618" s="3"/>
      <c r="IS618" s="3"/>
      <c r="IT618" s="3"/>
      <c r="IU618" s="3"/>
      <c r="IV618" s="3"/>
      <c r="IW618" s="3"/>
      <c r="IX618" s="3"/>
      <c r="IY618" s="3"/>
    </row>
    <row r="619" spans="1:259" ht="13.2" x14ac:dyDescent="0.25">
      <c r="A619" s="10"/>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c r="HX619" s="3"/>
      <c r="HY619" s="3"/>
      <c r="HZ619" s="3"/>
      <c r="IA619" s="3"/>
      <c r="IB619" s="3"/>
      <c r="IC619" s="3"/>
      <c r="ID619" s="3"/>
      <c r="IE619" s="3"/>
      <c r="IF619" s="3"/>
      <c r="IG619" s="3"/>
      <c r="IH619" s="3"/>
      <c r="II619" s="3"/>
      <c r="IJ619" s="3"/>
      <c r="IK619" s="3"/>
      <c r="IL619" s="3"/>
      <c r="IM619" s="3"/>
      <c r="IN619" s="3"/>
      <c r="IO619" s="3"/>
      <c r="IP619" s="3"/>
      <c r="IQ619" s="3"/>
      <c r="IR619" s="3"/>
      <c r="IS619" s="3"/>
      <c r="IT619" s="3"/>
      <c r="IU619" s="3"/>
      <c r="IV619" s="3"/>
      <c r="IW619" s="3"/>
      <c r="IX619" s="3"/>
      <c r="IY619" s="3"/>
    </row>
    <row r="620" spans="1:259" ht="13.2" x14ac:dyDescent="0.25">
      <c r="A620" s="10"/>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c r="HX620" s="3"/>
      <c r="HY620" s="3"/>
      <c r="HZ620" s="3"/>
      <c r="IA620" s="3"/>
      <c r="IB620" s="3"/>
      <c r="IC620" s="3"/>
      <c r="ID620" s="3"/>
      <c r="IE620" s="3"/>
      <c r="IF620" s="3"/>
      <c r="IG620" s="3"/>
      <c r="IH620" s="3"/>
      <c r="II620" s="3"/>
      <c r="IJ620" s="3"/>
      <c r="IK620" s="3"/>
      <c r="IL620" s="3"/>
      <c r="IM620" s="3"/>
      <c r="IN620" s="3"/>
      <c r="IO620" s="3"/>
      <c r="IP620" s="3"/>
      <c r="IQ620" s="3"/>
      <c r="IR620" s="3"/>
      <c r="IS620" s="3"/>
      <c r="IT620" s="3"/>
      <c r="IU620" s="3"/>
      <c r="IV620" s="3"/>
      <c r="IW620" s="3"/>
      <c r="IX620" s="3"/>
      <c r="IY620" s="3"/>
    </row>
    <row r="621" spans="1:259" ht="13.2" x14ac:dyDescent="0.25">
      <c r="A621" s="10"/>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c r="HX621" s="3"/>
      <c r="HY621" s="3"/>
      <c r="HZ621" s="3"/>
      <c r="IA621" s="3"/>
      <c r="IB621" s="3"/>
      <c r="IC621" s="3"/>
      <c r="ID621" s="3"/>
      <c r="IE621" s="3"/>
      <c r="IF621" s="3"/>
      <c r="IG621" s="3"/>
      <c r="IH621" s="3"/>
      <c r="II621" s="3"/>
      <c r="IJ621" s="3"/>
      <c r="IK621" s="3"/>
      <c r="IL621" s="3"/>
      <c r="IM621" s="3"/>
      <c r="IN621" s="3"/>
      <c r="IO621" s="3"/>
      <c r="IP621" s="3"/>
      <c r="IQ621" s="3"/>
      <c r="IR621" s="3"/>
      <c r="IS621" s="3"/>
      <c r="IT621" s="3"/>
      <c r="IU621" s="3"/>
      <c r="IV621" s="3"/>
      <c r="IW621" s="3"/>
      <c r="IX621" s="3"/>
      <c r="IY621" s="3"/>
    </row>
    <row r="622" spans="1:259" ht="13.2" x14ac:dyDescent="0.25">
      <c r="A622" s="10"/>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c r="HX622" s="3"/>
      <c r="HY622" s="3"/>
      <c r="HZ622" s="3"/>
      <c r="IA622" s="3"/>
      <c r="IB622" s="3"/>
      <c r="IC622" s="3"/>
      <c r="ID622" s="3"/>
      <c r="IE622" s="3"/>
      <c r="IF622" s="3"/>
      <c r="IG622" s="3"/>
      <c r="IH622" s="3"/>
      <c r="II622" s="3"/>
      <c r="IJ622" s="3"/>
      <c r="IK622" s="3"/>
      <c r="IL622" s="3"/>
      <c r="IM622" s="3"/>
      <c r="IN622" s="3"/>
      <c r="IO622" s="3"/>
      <c r="IP622" s="3"/>
      <c r="IQ622" s="3"/>
      <c r="IR622" s="3"/>
      <c r="IS622" s="3"/>
      <c r="IT622" s="3"/>
      <c r="IU622" s="3"/>
      <c r="IV622" s="3"/>
      <c r="IW622" s="3"/>
      <c r="IX622" s="3"/>
      <c r="IY622" s="3"/>
    </row>
    <row r="623" spans="1:259" ht="13.2" x14ac:dyDescent="0.25">
      <c r="A623" s="10"/>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c r="HX623" s="3"/>
      <c r="HY623" s="3"/>
      <c r="HZ623" s="3"/>
      <c r="IA623" s="3"/>
      <c r="IB623" s="3"/>
      <c r="IC623" s="3"/>
      <c r="ID623" s="3"/>
      <c r="IE623" s="3"/>
      <c r="IF623" s="3"/>
      <c r="IG623" s="3"/>
      <c r="IH623" s="3"/>
      <c r="II623" s="3"/>
      <c r="IJ623" s="3"/>
      <c r="IK623" s="3"/>
      <c r="IL623" s="3"/>
      <c r="IM623" s="3"/>
      <c r="IN623" s="3"/>
      <c r="IO623" s="3"/>
      <c r="IP623" s="3"/>
      <c r="IQ623" s="3"/>
      <c r="IR623" s="3"/>
      <c r="IS623" s="3"/>
      <c r="IT623" s="3"/>
      <c r="IU623" s="3"/>
      <c r="IV623" s="3"/>
      <c r="IW623" s="3"/>
      <c r="IX623" s="3"/>
      <c r="IY623" s="3"/>
    </row>
    <row r="624" spans="1:259" ht="13.2" x14ac:dyDescent="0.25">
      <c r="A624" s="10"/>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c r="HX624" s="3"/>
      <c r="HY624" s="3"/>
      <c r="HZ624" s="3"/>
      <c r="IA624" s="3"/>
      <c r="IB624" s="3"/>
      <c r="IC624" s="3"/>
      <c r="ID624" s="3"/>
      <c r="IE624" s="3"/>
      <c r="IF624" s="3"/>
      <c r="IG624" s="3"/>
      <c r="IH624" s="3"/>
      <c r="II624" s="3"/>
      <c r="IJ624" s="3"/>
      <c r="IK624" s="3"/>
      <c r="IL624" s="3"/>
      <c r="IM624" s="3"/>
      <c r="IN624" s="3"/>
      <c r="IO624" s="3"/>
      <c r="IP624" s="3"/>
      <c r="IQ624" s="3"/>
      <c r="IR624" s="3"/>
      <c r="IS624" s="3"/>
      <c r="IT624" s="3"/>
      <c r="IU624" s="3"/>
      <c r="IV624" s="3"/>
      <c r="IW624" s="3"/>
      <c r="IX624" s="3"/>
      <c r="IY624" s="3"/>
    </row>
    <row r="625" spans="1:259" ht="13.2" x14ac:dyDescent="0.25">
      <c r="A625" s="10"/>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c r="HX625" s="3"/>
      <c r="HY625" s="3"/>
      <c r="HZ625" s="3"/>
      <c r="IA625" s="3"/>
      <c r="IB625" s="3"/>
      <c r="IC625" s="3"/>
      <c r="ID625" s="3"/>
      <c r="IE625" s="3"/>
      <c r="IF625" s="3"/>
      <c r="IG625" s="3"/>
      <c r="IH625" s="3"/>
      <c r="II625" s="3"/>
      <c r="IJ625" s="3"/>
      <c r="IK625" s="3"/>
      <c r="IL625" s="3"/>
      <c r="IM625" s="3"/>
      <c r="IN625" s="3"/>
      <c r="IO625" s="3"/>
      <c r="IP625" s="3"/>
      <c r="IQ625" s="3"/>
      <c r="IR625" s="3"/>
      <c r="IS625" s="3"/>
      <c r="IT625" s="3"/>
      <c r="IU625" s="3"/>
      <c r="IV625" s="3"/>
      <c r="IW625" s="3"/>
      <c r="IX625" s="3"/>
      <c r="IY625" s="3"/>
    </row>
    <row r="626" spans="1:259" ht="13.2" x14ac:dyDescent="0.25">
      <c r="A626" s="10"/>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c r="HX626" s="3"/>
      <c r="HY626" s="3"/>
      <c r="HZ626" s="3"/>
      <c r="IA626" s="3"/>
      <c r="IB626" s="3"/>
      <c r="IC626" s="3"/>
      <c r="ID626" s="3"/>
      <c r="IE626" s="3"/>
      <c r="IF626" s="3"/>
      <c r="IG626" s="3"/>
      <c r="IH626" s="3"/>
      <c r="II626" s="3"/>
      <c r="IJ626" s="3"/>
      <c r="IK626" s="3"/>
      <c r="IL626" s="3"/>
      <c r="IM626" s="3"/>
      <c r="IN626" s="3"/>
      <c r="IO626" s="3"/>
      <c r="IP626" s="3"/>
      <c r="IQ626" s="3"/>
      <c r="IR626" s="3"/>
      <c r="IS626" s="3"/>
      <c r="IT626" s="3"/>
      <c r="IU626" s="3"/>
      <c r="IV626" s="3"/>
      <c r="IW626" s="3"/>
      <c r="IX626" s="3"/>
      <c r="IY626" s="3"/>
    </row>
    <row r="627" spans="1:259" ht="13.2" x14ac:dyDescent="0.25">
      <c r="A627" s="10"/>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c r="HX627" s="3"/>
      <c r="HY627" s="3"/>
      <c r="HZ627" s="3"/>
      <c r="IA627" s="3"/>
      <c r="IB627" s="3"/>
      <c r="IC627" s="3"/>
      <c r="ID627" s="3"/>
      <c r="IE627" s="3"/>
      <c r="IF627" s="3"/>
      <c r="IG627" s="3"/>
      <c r="IH627" s="3"/>
      <c r="II627" s="3"/>
      <c r="IJ627" s="3"/>
      <c r="IK627" s="3"/>
      <c r="IL627" s="3"/>
      <c r="IM627" s="3"/>
      <c r="IN627" s="3"/>
      <c r="IO627" s="3"/>
      <c r="IP627" s="3"/>
      <c r="IQ627" s="3"/>
      <c r="IR627" s="3"/>
      <c r="IS627" s="3"/>
      <c r="IT627" s="3"/>
      <c r="IU627" s="3"/>
      <c r="IV627" s="3"/>
      <c r="IW627" s="3"/>
      <c r="IX627" s="3"/>
      <c r="IY627" s="3"/>
    </row>
    <row r="628" spans="1:259" ht="13.2" x14ac:dyDescent="0.25">
      <c r="A628" s="10"/>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c r="HX628" s="3"/>
      <c r="HY628" s="3"/>
      <c r="HZ628" s="3"/>
      <c r="IA628" s="3"/>
      <c r="IB628" s="3"/>
      <c r="IC628" s="3"/>
      <c r="ID628" s="3"/>
      <c r="IE628" s="3"/>
      <c r="IF628" s="3"/>
      <c r="IG628" s="3"/>
      <c r="IH628" s="3"/>
      <c r="II628" s="3"/>
      <c r="IJ628" s="3"/>
      <c r="IK628" s="3"/>
      <c r="IL628" s="3"/>
      <c r="IM628" s="3"/>
      <c r="IN628" s="3"/>
      <c r="IO628" s="3"/>
      <c r="IP628" s="3"/>
      <c r="IQ628" s="3"/>
      <c r="IR628" s="3"/>
      <c r="IS628" s="3"/>
      <c r="IT628" s="3"/>
      <c r="IU628" s="3"/>
      <c r="IV628" s="3"/>
      <c r="IW628" s="3"/>
      <c r="IX628" s="3"/>
      <c r="IY628" s="3"/>
    </row>
    <row r="629" spans="1:259" ht="13.2" x14ac:dyDescent="0.25">
      <c r="A629" s="10"/>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c r="HX629" s="3"/>
      <c r="HY629" s="3"/>
      <c r="HZ629" s="3"/>
      <c r="IA629" s="3"/>
      <c r="IB629" s="3"/>
      <c r="IC629" s="3"/>
      <c r="ID629" s="3"/>
      <c r="IE629" s="3"/>
      <c r="IF629" s="3"/>
      <c r="IG629" s="3"/>
      <c r="IH629" s="3"/>
      <c r="II629" s="3"/>
      <c r="IJ629" s="3"/>
      <c r="IK629" s="3"/>
      <c r="IL629" s="3"/>
      <c r="IM629" s="3"/>
      <c r="IN629" s="3"/>
      <c r="IO629" s="3"/>
      <c r="IP629" s="3"/>
      <c r="IQ629" s="3"/>
      <c r="IR629" s="3"/>
      <c r="IS629" s="3"/>
      <c r="IT629" s="3"/>
      <c r="IU629" s="3"/>
      <c r="IV629" s="3"/>
      <c r="IW629" s="3"/>
      <c r="IX629" s="3"/>
      <c r="IY629" s="3"/>
    </row>
    <row r="630" spans="1:259" ht="13.2" x14ac:dyDescent="0.25">
      <c r="A630" s="10"/>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c r="HX630" s="3"/>
      <c r="HY630" s="3"/>
      <c r="HZ630" s="3"/>
      <c r="IA630" s="3"/>
      <c r="IB630" s="3"/>
      <c r="IC630" s="3"/>
      <c r="ID630" s="3"/>
      <c r="IE630" s="3"/>
      <c r="IF630" s="3"/>
      <c r="IG630" s="3"/>
      <c r="IH630" s="3"/>
      <c r="II630" s="3"/>
      <c r="IJ630" s="3"/>
      <c r="IK630" s="3"/>
      <c r="IL630" s="3"/>
      <c r="IM630" s="3"/>
      <c r="IN630" s="3"/>
      <c r="IO630" s="3"/>
      <c r="IP630" s="3"/>
      <c r="IQ630" s="3"/>
      <c r="IR630" s="3"/>
      <c r="IS630" s="3"/>
      <c r="IT630" s="3"/>
      <c r="IU630" s="3"/>
      <c r="IV630" s="3"/>
      <c r="IW630" s="3"/>
      <c r="IX630" s="3"/>
      <c r="IY630" s="3"/>
    </row>
    <row r="631" spans="1:259" ht="13.2" x14ac:dyDescent="0.25">
      <c r="A631" s="10"/>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c r="HX631" s="3"/>
      <c r="HY631" s="3"/>
      <c r="HZ631" s="3"/>
      <c r="IA631" s="3"/>
      <c r="IB631" s="3"/>
      <c r="IC631" s="3"/>
      <c r="ID631" s="3"/>
      <c r="IE631" s="3"/>
      <c r="IF631" s="3"/>
      <c r="IG631" s="3"/>
      <c r="IH631" s="3"/>
      <c r="II631" s="3"/>
      <c r="IJ631" s="3"/>
      <c r="IK631" s="3"/>
      <c r="IL631" s="3"/>
      <c r="IM631" s="3"/>
      <c r="IN631" s="3"/>
      <c r="IO631" s="3"/>
      <c r="IP631" s="3"/>
      <c r="IQ631" s="3"/>
      <c r="IR631" s="3"/>
      <c r="IS631" s="3"/>
      <c r="IT631" s="3"/>
      <c r="IU631" s="3"/>
      <c r="IV631" s="3"/>
      <c r="IW631" s="3"/>
      <c r="IX631" s="3"/>
      <c r="IY631" s="3"/>
    </row>
    <row r="632" spans="1:259" ht="13.2" x14ac:dyDescent="0.25">
      <c r="A632" s="10"/>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c r="HX632" s="3"/>
      <c r="HY632" s="3"/>
      <c r="HZ632" s="3"/>
      <c r="IA632" s="3"/>
      <c r="IB632" s="3"/>
      <c r="IC632" s="3"/>
      <c r="ID632" s="3"/>
      <c r="IE632" s="3"/>
      <c r="IF632" s="3"/>
      <c r="IG632" s="3"/>
      <c r="IH632" s="3"/>
      <c r="II632" s="3"/>
      <c r="IJ632" s="3"/>
      <c r="IK632" s="3"/>
      <c r="IL632" s="3"/>
      <c r="IM632" s="3"/>
      <c r="IN632" s="3"/>
      <c r="IO632" s="3"/>
      <c r="IP632" s="3"/>
      <c r="IQ632" s="3"/>
      <c r="IR632" s="3"/>
      <c r="IS632" s="3"/>
      <c r="IT632" s="3"/>
      <c r="IU632" s="3"/>
      <c r="IV632" s="3"/>
      <c r="IW632" s="3"/>
      <c r="IX632" s="3"/>
      <c r="IY632" s="3"/>
    </row>
    <row r="633" spans="1:259" ht="13.2" x14ac:dyDescent="0.25">
      <c r="A633" s="10"/>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c r="HX633" s="3"/>
      <c r="HY633" s="3"/>
      <c r="HZ633" s="3"/>
      <c r="IA633" s="3"/>
      <c r="IB633" s="3"/>
      <c r="IC633" s="3"/>
      <c r="ID633" s="3"/>
      <c r="IE633" s="3"/>
      <c r="IF633" s="3"/>
      <c r="IG633" s="3"/>
      <c r="IH633" s="3"/>
      <c r="II633" s="3"/>
      <c r="IJ633" s="3"/>
      <c r="IK633" s="3"/>
      <c r="IL633" s="3"/>
      <c r="IM633" s="3"/>
      <c r="IN633" s="3"/>
      <c r="IO633" s="3"/>
      <c r="IP633" s="3"/>
      <c r="IQ633" s="3"/>
      <c r="IR633" s="3"/>
      <c r="IS633" s="3"/>
      <c r="IT633" s="3"/>
      <c r="IU633" s="3"/>
      <c r="IV633" s="3"/>
      <c r="IW633" s="3"/>
      <c r="IX633" s="3"/>
      <c r="IY633" s="3"/>
    </row>
    <row r="634" spans="1:259" ht="13.2" x14ac:dyDescent="0.25">
      <c r="A634" s="10"/>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c r="HX634" s="3"/>
      <c r="HY634" s="3"/>
      <c r="HZ634" s="3"/>
      <c r="IA634" s="3"/>
      <c r="IB634" s="3"/>
      <c r="IC634" s="3"/>
      <c r="ID634" s="3"/>
      <c r="IE634" s="3"/>
      <c r="IF634" s="3"/>
      <c r="IG634" s="3"/>
      <c r="IH634" s="3"/>
      <c r="II634" s="3"/>
      <c r="IJ634" s="3"/>
      <c r="IK634" s="3"/>
      <c r="IL634" s="3"/>
      <c r="IM634" s="3"/>
      <c r="IN634" s="3"/>
      <c r="IO634" s="3"/>
      <c r="IP634" s="3"/>
      <c r="IQ634" s="3"/>
      <c r="IR634" s="3"/>
      <c r="IS634" s="3"/>
      <c r="IT634" s="3"/>
      <c r="IU634" s="3"/>
      <c r="IV634" s="3"/>
      <c r="IW634" s="3"/>
      <c r="IX634" s="3"/>
      <c r="IY634" s="3"/>
    </row>
    <row r="635" spans="1:259" ht="13.2" x14ac:dyDescent="0.25">
      <c r="A635" s="10"/>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c r="HX635" s="3"/>
      <c r="HY635" s="3"/>
      <c r="HZ635" s="3"/>
      <c r="IA635" s="3"/>
      <c r="IB635" s="3"/>
      <c r="IC635" s="3"/>
      <c r="ID635" s="3"/>
      <c r="IE635" s="3"/>
      <c r="IF635" s="3"/>
      <c r="IG635" s="3"/>
      <c r="IH635" s="3"/>
      <c r="II635" s="3"/>
      <c r="IJ635" s="3"/>
      <c r="IK635" s="3"/>
      <c r="IL635" s="3"/>
      <c r="IM635" s="3"/>
      <c r="IN635" s="3"/>
      <c r="IO635" s="3"/>
      <c r="IP635" s="3"/>
      <c r="IQ635" s="3"/>
      <c r="IR635" s="3"/>
      <c r="IS635" s="3"/>
      <c r="IT635" s="3"/>
      <c r="IU635" s="3"/>
      <c r="IV635" s="3"/>
      <c r="IW635" s="3"/>
      <c r="IX635" s="3"/>
      <c r="IY635" s="3"/>
    </row>
    <row r="636" spans="1:259" ht="13.2" x14ac:dyDescent="0.25">
      <c r="A636" s="10"/>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c r="HX636" s="3"/>
      <c r="HY636" s="3"/>
      <c r="HZ636" s="3"/>
      <c r="IA636" s="3"/>
      <c r="IB636" s="3"/>
      <c r="IC636" s="3"/>
      <c r="ID636" s="3"/>
      <c r="IE636" s="3"/>
      <c r="IF636" s="3"/>
      <c r="IG636" s="3"/>
      <c r="IH636" s="3"/>
      <c r="II636" s="3"/>
      <c r="IJ636" s="3"/>
      <c r="IK636" s="3"/>
      <c r="IL636" s="3"/>
      <c r="IM636" s="3"/>
      <c r="IN636" s="3"/>
      <c r="IO636" s="3"/>
      <c r="IP636" s="3"/>
      <c r="IQ636" s="3"/>
      <c r="IR636" s="3"/>
      <c r="IS636" s="3"/>
      <c r="IT636" s="3"/>
      <c r="IU636" s="3"/>
      <c r="IV636" s="3"/>
      <c r="IW636" s="3"/>
      <c r="IX636" s="3"/>
      <c r="IY636" s="3"/>
    </row>
    <row r="637" spans="1:259" ht="13.2" x14ac:dyDescent="0.25">
      <c r="A637" s="10"/>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c r="HX637" s="3"/>
      <c r="HY637" s="3"/>
      <c r="HZ637" s="3"/>
      <c r="IA637" s="3"/>
      <c r="IB637" s="3"/>
      <c r="IC637" s="3"/>
      <c r="ID637" s="3"/>
      <c r="IE637" s="3"/>
      <c r="IF637" s="3"/>
      <c r="IG637" s="3"/>
      <c r="IH637" s="3"/>
      <c r="II637" s="3"/>
      <c r="IJ637" s="3"/>
      <c r="IK637" s="3"/>
      <c r="IL637" s="3"/>
      <c r="IM637" s="3"/>
      <c r="IN637" s="3"/>
      <c r="IO637" s="3"/>
      <c r="IP637" s="3"/>
      <c r="IQ637" s="3"/>
      <c r="IR637" s="3"/>
      <c r="IS637" s="3"/>
      <c r="IT637" s="3"/>
      <c r="IU637" s="3"/>
      <c r="IV637" s="3"/>
      <c r="IW637" s="3"/>
      <c r="IX637" s="3"/>
      <c r="IY637" s="3"/>
    </row>
    <row r="638" spans="1:259" ht="13.2" x14ac:dyDescent="0.25">
      <c r="A638" s="10"/>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c r="HX638" s="3"/>
      <c r="HY638" s="3"/>
      <c r="HZ638" s="3"/>
      <c r="IA638" s="3"/>
      <c r="IB638" s="3"/>
      <c r="IC638" s="3"/>
      <c r="ID638" s="3"/>
      <c r="IE638" s="3"/>
      <c r="IF638" s="3"/>
      <c r="IG638" s="3"/>
      <c r="IH638" s="3"/>
      <c r="II638" s="3"/>
      <c r="IJ638" s="3"/>
      <c r="IK638" s="3"/>
      <c r="IL638" s="3"/>
      <c r="IM638" s="3"/>
      <c r="IN638" s="3"/>
      <c r="IO638" s="3"/>
      <c r="IP638" s="3"/>
      <c r="IQ638" s="3"/>
      <c r="IR638" s="3"/>
      <c r="IS638" s="3"/>
      <c r="IT638" s="3"/>
      <c r="IU638" s="3"/>
      <c r="IV638" s="3"/>
      <c r="IW638" s="3"/>
      <c r="IX638" s="3"/>
      <c r="IY638" s="3"/>
    </row>
    <row r="639" spans="1:259" ht="13.2" x14ac:dyDescent="0.25">
      <c r="A639" s="10"/>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c r="HX639" s="3"/>
      <c r="HY639" s="3"/>
      <c r="HZ639" s="3"/>
      <c r="IA639" s="3"/>
      <c r="IB639" s="3"/>
      <c r="IC639" s="3"/>
      <c r="ID639" s="3"/>
      <c r="IE639" s="3"/>
      <c r="IF639" s="3"/>
      <c r="IG639" s="3"/>
      <c r="IH639" s="3"/>
      <c r="II639" s="3"/>
      <c r="IJ639" s="3"/>
      <c r="IK639" s="3"/>
      <c r="IL639" s="3"/>
      <c r="IM639" s="3"/>
      <c r="IN639" s="3"/>
      <c r="IO639" s="3"/>
      <c r="IP639" s="3"/>
      <c r="IQ639" s="3"/>
      <c r="IR639" s="3"/>
      <c r="IS639" s="3"/>
      <c r="IT639" s="3"/>
      <c r="IU639" s="3"/>
      <c r="IV639" s="3"/>
      <c r="IW639" s="3"/>
      <c r="IX639" s="3"/>
      <c r="IY639" s="3"/>
    </row>
    <row r="640" spans="1:259" ht="13.2" x14ac:dyDescent="0.25">
      <c r="A640" s="10"/>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c r="HX640" s="3"/>
      <c r="HY640" s="3"/>
      <c r="HZ640" s="3"/>
      <c r="IA640" s="3"/>
      <c r="IB640" s="3"/>
      <c r="IC640" s="3"/>
      <c r="ID640" s="3"/>
      <c r="IE640" s="3"/>
      <c r="IF640" s="3"/>
      <c r="IG640" s="3"/>
      <c r="IH640" s="3"/>
      <c r="II640" s="3"/>
      <c r="IJ640" s="3"/>
      <c r="IK640" s="3"/>
      <c r="IL640" s="3"/>
      <c r="IM640" s="3"/>
      <c r="IN640" s="3"/>
      <c r="IO640" s="3"/>
      <c r="IP640" s="3"/>
      <c r="IQ640" s="3"/>
      <c r="IR640" s="3"/>
      <c r="IS640" s="3"/>
      <c r="IT640" s="3"/>
      <c r="IU640" s="3"/>
      <c r="IV640" s="3"/>
      <c r="IW640" s="3"/>
      <c r="IX640" s="3"/>
      <c r="IY640" s="3"/>
    </row>
    <row r="641" spans="1:259" ht="13.2" x14ac:dyDescent="0.25">
      <c r="A641" s="10"/>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c r="HX641" s="3"/>
      <c r="HY641" s="3"/>
      <c r="HZ641" s="3"/>
      <c r="IA641" s="3"/>
      <c r="IB641" s="3"/>
      <c r="IC641" s="3"/>
      <c r="ID641" s="3"/>
      <c r="IE641" s="3"/>
      <c r="IF641" s="3"/>
      <c r="IG641" s="3"/>
      <c r="IH641" s="3"/>
      <c r="II641" s="3"/>
      <c r="IJ641" s="3"/>
      <c r="IK641" s="3"/>
      <c r="IL641" s="3"/>
      <c r="IM641" s="3"/>
      <c r="IN641" s="3"/>
      <c r="IO641" s="3"/>
      <c r="IP641" s="3"/>
      <c r="IQ641" s="3"/>
      <c r="IR641" s="3"/>
      <c r="IS641" s="3"/>
      <c r="IT641" s="3"/>
      <c r="IU641" s="3"/>
      <c r="IV641" s="3"/>
      <c r="IW641" s="3"/>
      <c r="IX641" s="3"/>
      <c r="IY641" s="3"/>
    </row>
    <row r="642" spans="1:259" ht="13.2" x14ac:dyDescent="0.25">
      <c r="A642" s="10"/>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c r="HX642" s="3"/>
      <c r="HY642" s="3"/>
      <c r="HZ642" s="3"/>
      <c r="IA642" s="3"/>
      <c r="IB642" s="3"/>
      <c r="IC642" s="3"/>
      <c r="ID642" s="3"/>
      <c r="IE642" s="3"/>
      <c r="IF642" s="3"/>
      <c r="IG642" s="3"/>
      <c r="IH642" s="3"/>
      <c r="II642" s="3"/>
      <c r="IJ642" s="3"/>
      <c r="IK642" s="3"/>
      <c r="IL642" s="3"/>
      <c r="IM642" s="3"/>
      <c r="IN642" s="3"/>
      <c r="IO642" s="3"/>
      <c r="IP642" s="3"/>
      <c r="IQ642" s="3"/>
      <c r="IR642" s="3"/>
      <c r="IS642" s="3"/>
      <c r="IT642" s="3"/>
      <c r="IU642" s="3"/>
      <c r="IV642" s="3"/>
      <c r="IW642" s="3"/>
      <c r="IX642" s="3"/>
      <c r="IY642" s="3"/>
    </row>
    <row r="643" spans="1:259" ht="13.2" x14ac:dyDescent="0.25">
      <c r="A643" s="10"/>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c r="HX643" s="3"/>
      <c r="HY643" s="3"/>
      <c r="HZ643" s="3"/>
      <c r="IA643" s="3"/>
      <c r="IB643" s="3"/>
      <c r="IC643" s="3"/>
      <c r="ID643" s="3"/>
      <c r="IE643" s="3"/>
      <c r="IF643" s="3"/>
      <c r="IG643" s="3"/>
      <c r="IH643" s="3"/>
      <c r="II643" s="3"/>
      <c r="IJ643" s="3"/>
      <c r="IK643" s="3"/>
      <c r="IL643" s="3"/>
      <c r="IM643" s="3"/>
      <c r="IN643" s="3"/>
      <c r="IO643" s="3"/>
      <c r="IP643" s="3"/>
      <c r="IQ643" s="3"/>
      <c r="IR643" s="3"/>
      <c r="IS643" s="3"/>
      <c r="IT643" s="3"/>
      <c r="IU643" s="3"/>
      <c r="IV643" s="3"/>
      <c r="IW643" s="3"/>
      <c r="IX643" s="3"/>
      <c r="IY643" s="3"/>
    </row>
    <row r="644" spans="1:259" ht="13.2" x14ac:dyDescent="0.25">
      <c r="A644" s="10"/>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c r="HX644" s="3"/>
      <c r="HY644" s="3"/>
      <c r="HZ644" s="3"/>
      <c r="IA644" s="3"/>
      <c r="IB644" s="3"/>
      <c r="IC644" s="3"/>
      <c r="ID644" s="3"/>
      <c r="IE644" s="3"/>
      <c r="IF644" s="3"/>
      <c r="IG644" s="3"/>
      <c r="IH644" s="3"/>
      <c r="II644" s="3"/>
      <c r="IJ644" s="3"/>
      <c r="IK644" s="3"/>
      <c r="IL644" s="3"/>
      <c r="IM644" s="3"/>
      <c r="IN644" s="3"/>
      <c r="IO644" s="3"/>
      <c r="IP644" s="3"/>
      <c r="IQ644" s="3"/>
      <c r="IR644" s="3"/>
      <c r="IS644" s="3"/>
      <c r="IT644" s="3"/>
      <c r="IU644" s="3"/>
      <c r="IV644" s="3"/>
      <c r="IW644" s="3"/>
      <c r="IX644" s="3"/>
      <c r="IY644" s="3"/>
    </row>
    <row r="645" spans="1:259" ht="13.2" x14ac:dyDescent="0.25">
      <c r="A645" s="10"/>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c r="HX645" s="3"/>
      <c r="HY645" s="3"/>
      <c r="HZ645" s="3"/>
      <c r="IA645" s="3"/>
      <c r="IB645" s="3"/>
      <c r="IC645" s="3"/>
      <c r="ID645" s="3"/>
      <c r="IE645" s="3"/>
      <c r="IF645" s="3"/>
      <c r="IG645" s="3"/>
      <c r="IH645" s="3"/>
      <c r="II645" s="3"/>
      <c r="IJ645" s="3"/>
      <c r="IK645" s="3"/>
      <c r="IL645" s="3"/>
      <c r="IM645" s="3"/>
      <c r="IN645" s="3"/>
      <c r="IO645" s="3"/>
      <c r="IP645" s="3"/>
      <c r="IQ645" s="3"/>
      <c r="IR645" s="3"/>
      <c r="IS645" s="3"/>
      <c r="IT645" s="3"/>
      <c r="IU645" s="3"/>
      <c r="IV645" s="3"/>
      <c r="IW645" s="3"/>
      <c r="IX645" s="3"/>
      <c r="IY645" s="3"/>
    </row>
    <row r="646" spans="1:259" ht="13.2" x14ac:dyDescent="0.25">
      <c r="A646" s="10"/>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c r="HX646" s="3"/>
      <c r="HY646" s="3"/>
      <c r="HZ646" s="3"/>
      <c r="IA646" s="3"/>
      <c r="IB646" s="3"/>
      <c r="IC646" s="3"/>
      <c r="ID646" s="3"/>
      <c r="IE646" s="3"/>
      <c r="IF646" s="3"/>
      <c r="IG646" s="3"/>
      <c r="IH646" s="3"/>
      <c r="II646" s="3"/>
      <c r="IJ646" s="3"/>
      <c r="IK646" s="3"/>
      <c r="IL646" s="3"/>
      <c r="IM646" s="3"/>
      <c r="IN646" s="3"/>
      <c r="IO646" s="3"/>
      <c r="IP646" s="3"/>
      <c r="IQ646" s="3"/>
      <c r="IR646" s="3"/>
      <c r="IS646" s="3"/>
      <c r="IT646" s="3"/>
      <c r="IU646" s="3"/>
      <c r="IV646" s="3"/>
      <c r="IW646" s="3"/>
      <c r="IX646" s="3"/>
      <c r="IY646" s="3"/>
    </row>
    <row r="647" spans="1:259" ht="13.2" x14ac:dyDescent="0.25">
      <c r="A647" s="10"/>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c r="HX647" s="3"/>
      <c r="HY647" s="3"/>
      <c r="HZ647" s="3"/>
      <c r="IA647" s="3"/>
      <c r="IB647" s="3"/>
      <c r="IC647" s="3"/>
      <c r="ID647" s="3"/>
      <c r="IE647" s="3"/>
      <c r="IF647" s="3"/>
      <c r="IG647" s="3"/>
      <c r="IH647" s="3"/>
      <c r="II647" s="3"/>
      <c r="IJ647" s="3"/>
      <c r="IK647" s="3"/>
      <c r="IL647" s="3"/>
      <c r="IM647" s="3"/>
      <c r="IN647" s="3"/>
      <c r="IO647" s="3"/>
      <c r="IP647" s="3"/>
      <c r="IQ647" s="3"/>
      <c r="IR647" s="3"/>
      <c r="IS647" s="3"/>
      <c r="IT647" s="3"/>
      <c r="IU647" s="3"/>
      <c r="IV647" s="3"/>
      <c r="IW647" s="3"/>
      <c r="IX647" s="3"/>
      <c r="IY647" s="3"/>
    </row>
    <row r="648" spans="1:259" ht="13.2" x14ac:dyDescent="0.25">
      <c r="A648" s="10"/>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c r="HX648" s="3"/>
      <c r="HY648" s="3"/>
      <c r="HZ648" s="3"/>
      <c r="IA648" s="3"/>
      <c r="IB648" s="3"/>
      <c r="IC648" s="3"/>
      <c r="ID648" s="3"/>
      <c r="IE648" s="3"/>
      <c r="IF648" s="3"/>
      <c r="IG648" s="3"/>
      <c r="IH648" s="3"/>
      <c r="II648" s="3"/>
      <c r="IJ648" s="3"/>
      <c r="IK648" s="3"/>
      <c r="IL648" s="3"/>
      <c r="IM648" s="3"/>
      <c r="IN648" s="3"/>
      <c r="IO648" s="3"/>
      <c r="IP648" s="3"/>
      <c r="IQ648" s="3"/>
      <c r="IR648" s="3"/>
      <c r="IS648" s="3"/>
      <c r="IT648" s="3"/>
      <c r="IU648" s="3"/>
      <c r="IV648" s="3"/>
      <c r="IW648" s="3"/>
      <c r="IX648" s="3"/>
      <c r="IY648" s="3"/>
    </row>
    <row r="649" spans="1:259" ht="13.2" x14ac:dyDescent="0.25">
      <c r="A649" s="10"/>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c r="HX649" s="3"/>
      <c r="HY649" s="3"/>
      <c r="HZ649" s="3"/>
      <c r="IA649" s="3"/>
      <c r="IB649" s="3"/>
      <c r="IC649" s="3"/>
      <c r="ID649" s="3"/>
      <c r="IE649" s="3"/>
      <c r="IF649" s="3"/>
      <c r="IG649" s="3"/>
      <c r="IH649" s="3"/>
      <c r="II649" s="3"/>
      <c r="IJ649" s="3"/>
      <c r="IK649" s="3"/>
      <c r="IL649" s="3"/>
      <c r="IM649" s="3"/>
      <c r="IN649" s="3"/>
      <c r="IO649" s="3"/>
      <c r="IP649" s="3"/>
      <c r="IQ649" s="3"/>
      <c r="IR649" s="3"/>
      <c r="IS649" s="3"/>
      <c r="IT649" s="3"/>
      <c r="IU649" s="3"/>
      <c r="IV649" s="3"/>
      <c r="IW649" s="3"/>
      <c r="IX649" s="3"/>
      <c r="IY649" s="3"/>
    </row>
    <row r="650" spans="1:259" ht="13.2" x14ac:dyDescent="0.25">
      <c r="A650" s="10"/>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c r="HX650" s="3"/>
      <c r="HY650" s="3"/>
      <c r="HZ650" s="3"/>
      <c r="IA650" s="3"/>
      <c r="IB650" s="3"/>
      <c r="IC650" s="3"/>
      <c r="ID650" s="3"/>
      <c r="IE650" s="3"/>
      <c r="IF650" s="3"/>
      <c r="IG650" s="3"/>
      <c r="IH650" s="3"/>
      <c r="II650" s="3"/>
      <c r="IJ650" s="3"/>
      <c r="IK650" s="3"/>
      <c r="IL650" s="3"/>
      <c r="IM650" s="3"/>
      <c r="IN650" s="3"/>
      <c r="IO650" s="3"/>
      <c r="IP650" s="3"/>
      <c r="IQ650" s="3"/>
      <c r="IR650" s="3"/>
      <c r="IS650" s="3"/>
      <c r="IT650" s="3"/>
      <c r="IU650" s="3"/>
      <c r="IV650" s="3"/>
      <c r="IW650" s="3"/>
      <c r="IX650" s="3"/>
      <c r="IY650" s="3"/>
    </row>
    <row r="651" spans="1:259" ht="13.2" x14ac:dyDescent="0.25">
      <c r="A651" s="10"/>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c r="HX651" s="3"/>
      <c r="HY651" s="3"/>
      <c r="HZ651" s="3"/>
      <c r="IA651" s="3"/>
      <c r="IB651" s="3"/>
      <c r="IC651" s="3"/>
      <c r="ID651" s="3"/>
      <c r="IE651" s="3"/>
      <c r="IF651" s="3"/>
      <c r="IG651" s="3"/>
      <c r="IH651" s="3"/>
      <c r="II651" s="3"/>
      <c r="IJ651" s="3"/>
      <c r="IK651" s="3"/>
      <c r="IL651" s="3"/>
      <c r="IM651" s="3"/>
      <c r="IN651" s="3"/>
      <c r="IO651" s="3"/>
      <c r="IP651" s="3"/>
      <c r="IQ651" s="3"/>
      <c r="IR651" s="3"/>
      <c r="IS651" s="3"/>
      <c r="IT651" s="3"/>
      <c r="IU651" s="3"/>
      <c r="IV651" s="3"/>
      <c r="IW651" s="3"/>
      <c r="IX651" s="3"/>
      <c r="IY651" s="3"/>
    </row>
    <row r="652" spans="1:259" ht="13.2" x14ac:dyDescent="0.25">
      <c r="A652" s="10"/>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c r="HX652" s="3"/>
      <c r="HY652" s="3"/>
      <c r="HZ652" s="3"/>
      <c r="IA652" s="3"/>
      <c r="IB652" s="3"/>
      <c r="IC652" s="3"/>
      <c r="ID652" s="3"/>
      <c r="IE652" s="3"/>
      <c r="IF652" s="3"/>
      <c r="IG652" s="3"/>
      <c r="IH652" s="3"/>
      <c r="II652" s="3"/>
      <c r="IJ652" s="3"/>
      <c r="IK652" s="3"/>
      <c r="IL652" s="3"/>
      <c r="IM652" s="3"/>
      <c r="IN652" s="3"/>
      <c r="IO652" s="3"/>
      <c r="IP652" s="3"/>
      <c r="IQ652" s="3"/>
      <c r="IR652" s="3"/>
      <c r="IS652" s="3"/>
      <c r="IT652" s="3"/>
      <c r="IU652" s="3"/>
      <c r="IV652" s="3"/>
      <c r="IW652" s="3"/>
      <c r="IX652" s="3"/>
      <c r="IY652" s="3"/>
    </row>
    <row r="653" spans="1:259" ht="13.2" x14ac:dyDescent="0.25">
      <c r="A653" s="10"/>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c r="HX653" s="3"/>
      <c r="HY653" s="3"/>
      <c r="HZ653" s="3"/>
      <c r="IA653" s="3"/>
      <c r="IB653" s="3"/>
      <c r="IC653" s="3"/>
      <c r="ID653" s="3"/>
      <c r="IE653" s="3"/>
      <c r="IF653" s="3"/>
      <c r="IG653" s="3"/>
      <c r="IH653" s="3"/>
      <c r="II653" s="3"/>
      <c r="IJ653" s="3"/>
      <c r="IK653" s="3"/>
      <c r="IL653" s="3"/>
      <c r="IM653" s="3"/>
      <c r="IN653" s="3"/>
      <c r="IO653" s="3"/>
      <c r="IP653" s="3"/>
      <c r="IQ653" s="3"/>
      <c r="IR653" s="3"/>
      <c r="IS653" s="3"/>
      <c r="IT653" s="3"/>
      <c r="IU653" s="3"/>
      <c r="IV653" s="3"/>
      <c r="IW653" s="3"/>
      <c r="IX653" s="3"/>
      <c r="IY653" s="3"/>
    </row>
    <row r="654" spans="1:259" ht="13.2" x14ac:dyDescent="0.25">
      <c r="A654" s="10"/>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c r="HX654" s="3"/>
      <c r="HY654" s="3"/>
      <c r="HZ654" s="3"/>
      <c r="IA654" s="3"/>
      <c r="IB654" s="3"/>
      <c r="IC654" s="3"/>
      <c r="ID654" s="3"/>
      <c r="IE654" s="3"/>
      <c r="IF654" s="3"/>
      <c r="IG654" s="3"/>
      <c r="IH654" s="3"/>
      <c r="II654" s="3"/>
      <c r="IJ654" s="3"/>
      <c r="IK654" s="3"/>
      <c r="IL654" s="3"/>
      <c r="IM654" s="3"/>
      <c r="IN654" s="3"/>
      <c r="IO654" s="3"/>
      <c r="IP654" s="3"/>
      <c r="IQ654" s="3"/>
      <c r="IR654" s="3"/>
      <c r="IS654" s="3"/>
      <c r="IT654" s="3"/>
      <c r="IU654" s="3"/>
      <c r="IV654" s="3"/>
      <c r="IW654" s="3"/>
      <c r="IX654" s="3"/>
      <c r="IY654" s="3"/>
    </row>
    <row r="655" spans="1:259" ht="13.2" x14ac:dyDescent="0.25">
      <c r="A655" s="10"/>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c r="HX655" s="3"/>
      <c r="HY655" s="3"/>
      <c r="HZ655" s="3"/>
      <c r="IA655" s="3"/>
      <c r="IB655" s="3"/>
      <c r="IC655" s="3"/>
      <c r="ID655" s="3"/>
      <c r="IE655" s="3"/>
      <c r="IF655" s="3"/>
      <c r="IG655" s="3"/>
      <c r="IH655" s="3"/>
      <c r="II655" s="3"/>
      <c r="IJ655" s="3"/>
      <c r="IK655" s="3"/>
      <c r="IL655" s="3"/>
      <c r="IM655" s="3"/>
      <c r="IN655" s="3"/>
      <c r="IO655" s="3"/>
      <c r="IP655" s="3"/>
      <c r="IQ655" s="3"/>
      <c r="IR655" s="3"/>
      <c r="IS655" s="3"/>
      <c r="IT655" s="3"/>
      <c r="IU655" s="3"/>
      <c r="IV655" s="3"/>
      <c r="IW655" s="3"/>
      <c r="IX655" s="3"/>
      <c r="IY655" s="3"/>
    </row>
    <row r="656" spans="1:259" ht="13.2" x14ac:dyDescent="0.25">
      <c r="A656" s="10"/>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c r="HX656" s="3"/>
      <c r="HY656" s="3"/>
      <c r="HZ656" s="3"/>
      <c r="IA656" s="3"/>
      <c r="IB656" s="3"/>
      <c r="IC656" s="3"/>
      <c r="ID656" s="3"/>
      <c r="IE656" s="3"/>
      <c r="IF656" s="3"/>
      <c r="IG656" s="3"/>
      <c r="IH656" s="3"/>
      <c r="II656" s="3"/>
      <c r="IJ656" s="3"/>
      <c r="IK656" s="3"/>
      <c r="IL656" s="3"/>
      <c r="IM656" s="3"/>
      <c r="IN656" s="3"/>
      <c r="IO656" s="3"/>
      <c r="IP656" s="3"/>
      <c r="IQ656" s="3"/>
      <c r="IR656" s="3"/>
      <c r="IS656" s="3"/>
      <c r="IT656" s="3"/>
      <c r="IU656" s="3"/>
      <c r="IV656" s="3"/>
      <c r="IW656" s="3"/>
      <c r="IX656" s="3"/>
      <c r="IY656" s="3"/>
    </row>
    <row r="657" spans="1:259" ht="13.2" x14ac:dyDescent="0.25">
      <c r="A657" s="10"/>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c r="HX657" s="3"/>
      <c r="HY657" s="3"/>
      <c r="HZ657" s="3"/>
      <c r="IA657" s="3"/>
      <c r="IB657" s="3"/>
      <c r="IC657" s="3"/>
      <c r="ID657" s="3"/>
      <c r="IE657" s="3"/>
      <c r="IF657" s="3"/>
      <c r="IG657" s="3"/>
      <c r="IH657" s="3"/>
      <c r="II657" s="3"/>
      <c r="IJ657" s="3"/>
      <c r="IK657" s="3"/>
      <c r="IL657" s="3"/>
      <c r="IM657" s="3"/>
      <c r="IN657" s="3"/>
      <c r="IO657" s="3"/>
      <c r="IP657" s="3"/>
      <c r="IQ657" s="3"/>
      <c r="IR657" s="3"/>
      <c r="IS657" s="3"/>
      <c r="IT657" s="3"/>
      <c r="IU657" s="3"/>
      <c r="IV657" s="3"/>
      <c r="IW657" s="3"/>
      <c r="IX657" s="3"/>
      <c r="IY657" s="3"/>
    </row>
    <row r="658" spans="1:259" ht="13.2" x14ac:dyDescent="0.25">
      <c r="A658" s="10"/>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c r="HX658" s="3"/>
      <c r="HY658" s="3"/>
      <c r="HZ658" s="3"/>
      <c r="IA658" s="3"/>
      <c r="IB658" s="3"/>
      <c r="IC658" s="3"/>
      <c r="ID658" s="3"/>
      <c r="IE658" s="3"/>
      <c r="IF658" s="3"/>
      <c r="IG658" s="3"/>
      <c r="IH658" s="3"/>
      <c r="II658" s="3"/>
      <c r="IJ658" s="3"/>
      <c r="IK658" s="3"/>
      <c r="IL658" s="3"/>
      <c r="IM658" s="3"/>
      <c r="IN658" s="3"/>
      <c r="IO658" s="3"/>
      <c r="IP658" s="3"/>
      <c r="IQ658" s="3"/>
      <c r="IR658" s="3"/>
      <c r="IS658" s="3"/>
      <c r="IT658" s="3"/>
      <c r="IU658" s="3"/>
      <c r="IV658" s="3"/>
      <c r="IW658" s="3"/>
      <c r="IX658" s="3"/>
      <c r="IY658" s="3"/>
    </row>
    <row r="659" spans="1:259" ht="13.2" x14ac:dyDescent="0.25">
      <c r="A659" s="10"/>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c r="HX659" s="3"/>
      <c r="HY659" s="3"/>
      <c r="HZ659" s="3"/>
      <c r="IA659" s="3"/>
      <c r="IB659" s="3"/>
      <c r="IC659" s="3"/>
      <c r="ID659" s="3"/>
      <c r="IE659" s="3"/>
      <c r="IF659" s="3"/>
      <c r="IG659" s="3"/>
      <c r="IH659" s="3"/>
      <c r="II659" s="3"/>
      <c r="IJ659" s="3"/>
      <c r="IK659" s="3"/>
      <c r="IL659" s="3"/>
      <c r="IM659" s="3"/>
      <c r="IN659" s="3"/>
      <c r="IO659" s="3"/>
      <c r="IP659" s="3"/>
      <c r="IQ659" s="3"/>
      <c r="IR659" s="3"/>
      <c r="IS659" s="3"/>
      <c r="IT659" s="3"/>
      <c r="IU659" s="3"/>
      <c r="IV659" s="3"/>
      <c r="IW659" s="3"/>
      <c r="IX659" s="3"/>
      <c r="IY659" s="3"/>
    </row>
    <row r="660" spans="1:259" ht="13.2" x14ac:dyDescent="0.25">
      <c r="A660" s="10"/>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c r="HX660" s="3"/>
      <c r="HY660" s="3"/>
      <c r="HZ660" s="3"/>
      <c r="IA660" s="3"/>
      <c r="IB660" s="3"/>
      <c r="IC660" s="3"/>
      <c r="ID660" s="3"/>
      <c r="IE660" s="3"/>
      <c r="IF660" s="3"/>
      <c r="IG660" s="3"/>
      <c r="IH660" s="3"/>
      <c r="II660" s="3"/>
      <c r="IJ660" s="3"/>
      <c r="IK660" s="3"/>
      <c r="IL660" s="3"/>
      <c r="IM660" s="3"/>
      <c r="IN660" s="3"/>
      <c r="IO660" s="3"/>
      <c r="IP660" s="3"/>
      <c r="IQ660" s="3"/>
      <c r="IR660" s="3"/>
      <c r="IS660" s="3"/>
      <c r="IT660" s="3"/>
      <c r="IU660" s="3"/>
      <c r="IV660" s="3"/>
      <c r="IW660" s="3"/>
      <c r="IX660" s="3"/>
      <c r="IY660" s="3"/>
    </row>
    <row r="661" spans="1:259" ht="13.2" x14ac:dyDescent="0.25">
      <c r="A661" s="10"/>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c r="HX661" s="3"/>
      <c r="HY661" s="3"/>
      <c r="HZ661" s="3"/>
      <c r="IA661" s="3"/>
      <c r="IB661" s="3"/>
      <c r="IC661" s="3"/>
      <c r="ID661" s="3"/>
      <c r="IE661" s="3"/>
      <c r="IF661" s="3"/>
      <c r="IG661" s="3"/>
      <c r="IH661" s="3"/>
      <c r="II661" s="3"/>
      <c r="IJ661" s="3"/>
      <c r="IK661" s="3"/>
      <c r="IL661" s="3"/>
      <c r="IM661" s="3"/>
      <c r="IN661" s="3"/>
      <c r="IO661" s="3"/>
      <c r="IP661" s="3"/>
      <c r="IQ661" s="3"/>
      <c r="IR661" s="3"/>
      <c r="IS661" s="3"/>
      <c r="IT661" s="3"/>
      <c r="IU661" s="3"/>
      <c r="IV661" s="3"/>
      <c r="IW661" s="3"/>
      <c r="IX661" s="3"/>
      <c r="IY661" s="3"/>
    </row>
    <row r="662" spans="1:259" ht="13.2" x14ac:dyDescent="0.25">
      <c r="A662" s="10"/>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c r="HX662" s="3"/>
      <c r="HY662" s="3"/>
      <c r="HZ662" s="3"/>
      <c r="IA662" s="3"/>
      <c r="IB662" s="3"/>
      <c r="IC662" s="3"/>
      <c r="ID662" s="3"/>
      <c r="IE662" s="3"/>
      <c r="IF662" s="3"/>
      <c r="IG662" s="3"/>
      <c r="IH662" s="3"/>
      <c r="II662" s="3"/>
      <c r="IJ662" s="3"/>
      <c r="IK662" s="3"/>
      <c r="IL662" s="3"/>
      <c r="IM662" s="3"/>
      <c r="IN662" s="3"/>
      <c r="IO662" s="3"/>
      <c r="IP662" s="3"/>
      <c r="IQ662" s="3"/>
      <c r="IR662" s="3"/>
      <c r="IS662" s="3"/>
      <c r="IT662" s="3"/>
      <c r="IU662" s="3"/>
      <c r="IV662" s="3"/>
      <c r="IW662" s="3"/>
      <c r="IX662" s="3"/>
      <c r="IY662" s="3"/>
    </row>
    <row r="663" spans="1:259" ht="13.2" x14ac:dyDescent="0.25">
      <c r="A663" s="10"/>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c r="HX663" s="3"/>
      <c r="HY663" s="3"/>
      <c r="HZ663" s="3"/>
      <c r="IA663" s="3"/>
      <c r="IB663" s="3"/>
      <c r="IC663" s="3"/>
      <c r="ID663" s="3"/>
      <c r="IE663" s="3"/>
      <c r="IF663" s="3"/>
      <c r="IG663" s="3"/>
      <c r="IH663" s="3"/>
      <c r="II663" s="3"/>
      <c r="IJ663" s="3"/>
      <c r="IK663" s="3"/>
      <c r="IL663" s="3"/>
      <c r="IM663" s="3"/>
      <c r="IN663" s="3"/>
      <c r="IO663" s="3"/>
      <c r="IP663" s="3"/>
      <c r="IQ663" s="3"/>
      <c r="IR663" s="3"/>
      <c r="IS663" s="3"/>
      <c r="IT663" s="3"/>
      <c r="IU663" s="3"/>
      <c r="IV663" s="3"/>
      <c r="IW663" s="3"/>
      <c r="IX663" s="3"/>
      <c r="IY663" s="3"/>
    </row>
    <row r="664" spans="1:259" ht="13.2" x14ac:dyDescent="0.25">
      <c r="A664" s="10"/>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c r="HX664" s="3"/>
      <c r="HY664" s="3"/>
      <c r="HZ664" s="3"/>
      <c r="IA664" s="3"/>
      <c r="IB664" s="3"/>
      <c r="IC664" s="3"/>
      <c r="ID664" s="3"/>
      <c r="IE664" s="3"/>
      <c r="IF664" s="3"/>
      <c r="IG664" s="3"/>
      <c r="IH664" s="3"/>
      <c r="II664" s="3"/>
      <c r="IJ664" s="3"/>
      <c r="IK664" s="3"/>
      <c r="IL664" s="3"/>
      <c r="IM664" s="3"/>
      <c r="IN664" s="3"/>
      <c r="IO664" s="3"/>
      <c r="IP664" s="3"/>
      <c r="IQ664" s="3"/>
      <c r="IR664" s="3"/>
      <c r="IS664" s="3"/>
      <c r="IT664" s="3"/>
      <c r="IU664" s="3"/>
      <c r="IV664" s="3"/>
      <c r="IW664" s="3"/>
      <c r="IX664" s="3"/>
      <c r="IY664" s="3"/>
    </row>
    <row r="665" spans="1:259" ht="13.2" x14ac:dyDescent="0.25">
      <c r="A665" s="10"/>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c r="HX665" s="3"/>
      <c r="HY665" s="3"/>
      <c r="HZ665" s="3"/>
      <c r="IA665" s="3"/>
      <c r="IB665" s="3"/>
      <c r="IC665" s="3"/>
      <c r="ID665" s="3"/>
      <c r="IE665" s="3"/>
      <c r="IF665" s="3"/>
      <c r="IG665" s="3"/>
      <c r="IH665" s="3"/>
      <c r="II665" s="3"/>
      <c r="IJ665" s="3"/>
      <c r="IK665" s="3"/>
      <c r="IL665" s="3"/>
      <c r="IM665" s="3"/>
      <c r="IN665" s="3"/>
      <c r="IO665" s="3"/>
      <c r="IP665" s="3"/>
      <c r="IQ665" s="3"/>
      <c r="IR665" s="3"/>
      <c r="IS665" s="3"/>
      <c r="IT665" s="3"/>
      <c r="IU665" s="3"/>
      <c r="IV665" s="3"/>
      <c r="IW665" s="3"/>
      <c r="IX665" s="3"/>
      <c r="IY665" s="3"/>
    </row>
    <row r="666" spans="1:259" ht="13.2" x14ac:dyDescent="0.25">
      <c r="A666" s="10"/>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c r="HX666" s="3"/>
      <c r="HY666" s="3"/>
      <c r="HZ666" s="3"/>
      <c r="IA666" s="3"/>
      <c r="IB666" s="3"/>
      <c r="IC666" s="3"/>
      <c r="ID666" s="3"/>
      <c r="IE666" s="3"/>
      <c r="IF666" s="3"/>
      <c r="IG666" s="3"/>
      <c r="IH666" s="3"/>
      <c r="II666" s="3"/>
      <c r="IJ666" s="3"/>
      <c r="IK666" s="3"/>
      <c r="IL666" s="3"/>
      <c r="IM666" s="3"/>
      <c r="IN666" s="3"/>
      <c r="IO666" s="3"/>
      <c r="IP666" s="3"/>
      <c r="IQ666" s="3"/>
      <c r="IR666" s="3"/>
      <c r="IS666" s="3"/>
      <c r="IT666" s="3"/>
      <c r="IU666" s="3"/>
      <c r="IV666" s="3"/>
      <c r="IW666" s="3"/>
      <c r="IX666" s="3"/>
      <c r="IY666" s="3"/>
    </row>
    <row r="667" spans="1:259" ht="13.2" x14ac:dyDescent="0.25">
      <c r="A667" s="10"/>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c r="HX667" s="3"/>
      <c r="HY667" s="3"/>
      <c r="HZ667" s="3"/>
      <c r="IA667" s="3"/>
      <c r="IB667" s="3"/>
      <c r="IC667" s="3"/>
      <c r="ID667" s="3"/>
      <c r="IE667" s="3"/>
      <c r="IF667" s="3"/>
      <c r="IG667" s="3"/>
      <c r="IH667" s="3"/>
      <c r="II667" s="3"/>
      <c r="IJ667" s="3"/>
      <c r="IK667" s="3"/>
      <c r="IL667" s="3"/>
      <c r="IM667" s="3"/>
      <c r="IN667" s="3"/>
      <c r="IO667" s="3"/>
      <c r="IP667" s="3"/>
      <c r="IQ667" s="3"/>
      <c r="IR667" s="3"/>
      <c r="IS667" s="3"/>
      <c r="IT667" s="3"/>
      <c r="IU667" s="3"/>
      <c r="IV667" s="3"/>
      <c r="IW667" s="3"/>
      <c r="IX667" s="3"/>
      <c r="IY667" s="3"/>
    </row>
    <row r="668" spans="1:259" ht="13.2" x14ac:dyDescent="0.25">
      <c r="A668" s="10"/>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c r="HX668" s="3"/>
      <c r="HY668" s="3"/>
      <c r="HZ668" s="3"/>
      <c r="IA668" s="3"/>
      <c r="IB668" s="3"/>
      <c r="IC668" s="3"/>
      <c r="ID668" s="3"/>
      <c r="IE668" s="3"/>
      <c r="IF668" s="3"/>
      <c r="IG668" s="3"/>
      <c r="IH668" s="3"/>
      <c r="II668" s="3"/>
      <c r="IJ668" s="3"/>
      <c r="IK668" s="3"/>
      <c r="IL668" s="3"/>
      <c r="IM668" s="3"/>
      <c r="IN668" s="3"/>
      <c r="IO668" s="3"/>
      <c r="IP668" s="3"/>
      <c r="IQ668" s="3"/>
      <c r="IR668" s="3"/>
      <c r="IS668" s="3"/>
      <c r="IT668" s="3"/>
      <c r="IU668" s="3"/>
      <c r="IV668" s="3"/>
      <c r="IW668" s="3"/>
      <c r="IX668" s="3"/>
      <c r="IY668" s="3"/>
    </row>
    <row r="669" spans="1:259" ht="13.2" x14ac:dyDescent="0.25">
      <c r="A669" s="10"/>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c r="HX669" s="3"/>
      <c r="HY669" s="3"/>
      <c r="HZ669" s="3"/>
      <c r="IA669" s="3"/>
      <c r="IB669" s="3"/>
      <c r="IC669" s="3"/>
      <c r="ID669" s="3"/>
      <c r="IE669" s="3"/>
      <c r="IF669" s="3"/>
      <c r="IG669" s="3"/>
      <c r="IH669" s="3"/>
      <c r="II669" s="3"/>
      <c r="IJ669" s="3"/>
      <c r="IK669" s="3"/>
      <c r="IL669" s="3"/>
      <c r="IM669" s="3"/>
      <c r="IN669" s="3"/>
      <c r="IO669" s="3"/>
      <c r="IP669" s="3"/>
      <c r="IQ669" s="3"/>
      <c r="IR669" s="3"/>
      <c r="IS669" s="3"/>
      <c r="IT669" s="3"/>
      <c r="IU669" s="3"/>
      <c r="IV669" s="3"/>
      <c r="IW669" s="3"/>
      <c r="IX669" s="3"/>
      <c r="IY669" s="3"/>
    </row>
    <row r="670" spans="1:259" ht="13.2" x14ac:dyDescent="0.25">
      <c r="A670" s="10"/>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c r="HX670" s="3"/>
      <c r="HY670" s="3"/>
      <c r="HZ670" s="3"/>
      <c r="IA670" s="3"/>
      <c r="IB670" s="3"/>
      <c r="IC670" s="3"/>
      <c r="ID670" s="3"/>
      <c r="IE670" s="3"/>
      <c r="IF670" s="3"/>
      <c r="IG670" s="3"/>
      <c r="IH670" s="3"/>
      <c r="II670" s="3"/>
      <c r="IJ670" s="3"/>
      <c r="IK670" s="3"/>
      <c r="IL670" s="3"/>
      <c r="IM670" s="3"/>
      <c r="IN670" s="3"/>
      <c r="IO670" s="3"/>
      <c r="IP670" s="3"/>
      <c r="IQ670" s="3"/>
      <c r="IR670" s="3"/>
      <c r="IS670" s="3"/>
      <c r="IT670" s="3"/>
      <c r="IU670" s="3"/>
      <c r="IV670" s="3"/>
      <c r="IW670" s="3"/>
      <c r="IX670" s="3"/>
      <c r="IY670" s="3"/>
    </row>
    <row r="671" spans="1:259" ht="13.2" x14ac:dyDescent="0.25">
      <c r="A671" s="10"/>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c r="HX671" s="3"/>
      <c r="HY671" s="3"/>
      <c r="HZ671" s="3"/>
      <c r="IA671" s="3"/>
      <c r="IB671" s="3"/>
      <c r="IC671" s="3"/>
      <c r="ID671" s="3"/>
      <c r="IE671" s="3"/>
      <c r="IF671" s="3"/>
      <c r="IG671" s="3"/>
      <c r="IH671" s="3"/>
      <c r="II671" s="3"/>
      <c r="IJ671" s="3"/>
      <c r="IK671" s="3"/>
      <c r="IL671" s="3"/>
      <c r="IM671" s="3"/>
      <c r="IN671" s="3"/>
      <c r="IO671" s="3"/>
      <c r="IP671" s="3"/>
      <c r="IQ671" s="3"/>
      <c r="IR671" s="3"/>
      <c r="IS671" s="3"/>
      <c r="IT671" s="3"/>
      <c r="IU671" s="3"/>
      <c r="IV671" s="3"/>
      <c r="IW671" s="3"/>
      <c r="IX671" s="3"/>
      <c r="IY671" s="3"/>
    </row>
    <row r="672" spans="1:259" ht="13.2" x14ac:dyDescent="0.25">
      <c r="A672" s="10"/>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c r="HX672" s="3"/>
      <c r="HY672" s="3"/>
      <c r="HZ672" s="3"/>
      <c r="IA672" s="3"/>
      <c r="IB672" s="3"/>
      <c r="IC672" s="3"/>
      <c r="ID672" s="3"/>
      <c r="IE672" s="3"/>
      <c r="IF672" s="3"/>
      <c r="IG672" s="3"/>
      <c r="IH672" s="3"/>
      <c r="II672" s="3"/>
      <c r="IJ672" s="3"/>
      <c r="IK672" s="3"/>
      <c r="IL672" s="3"/>
      <c r="IM672" s="3"/>
      <c r="IN672" s="3"/>
      <c r="IO672" s="3"/>
      <c r="IP672" s="3"/>
      <c r="IQ672" s="3"/>
      <c r="IR672" s="3"/>
      <c r="IS672" s="3"/>
      <c r="IT672" s="3"/>
      <c r="IU672" s="3"/>
      <c r="IV672" s="3"/>
      <c r="IW672" s="3"/>
      <c r="IX672" s="3"/>
      <c r="IY672" s="3"/>
    </row>
    <row r="673" spans="1:259" ht="13.2" x14ac:dyDescent="0.25">
      <c r="A673" s="10"/>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c r="HX673" s="3"/>
      <c r="HY673" s="3"/>
      <c r="HZ673" s="3"/>
      <c r="IA673" s="3"/>
      <c r="IB673" s="3"/>
      <c r="IC673" s="3"/>
      <c r="ID673" s="3"/>
      <c r="IE673" s="3"/>
      <c r="IF673" s="3"/>
      <c r="IG673" s="3"/>
      <c r="IH673" s="3"/>
      <c r="II673" s="3"/>
      <c r="IJ673" s="3"/>
      <c r="IK673" s="3"/>
      <c r="IL673" s="3"/>
      <c r="IM673" s="3"/>
      <c r="IN673" s="3"/>
      <c r="IO673" s="3"/>
      <c r="IP673" s="3"/>
      <c r="IQ673" s="3"/>
      <c r="IR673" s="3"/>
      <c r="IS673" s="3"/>
      <c r="IT673" s="3"/>
      <c r="IU673" s="3"/>
      <c r="IV673" s="3"/>
      <c r="IW673" s="3"/>
      <c r="IX673" s="3"/>
      <c r="IY673" s="3"/>
    </row>
    <row r="674" spans="1:259" ht="13.2" x14ac:dyDescent="0.25">
      <c r="A674" s="10"/>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c r="HX674" s="3"/>
      <c r="HY674" s="3"/>
      <c r="HZ674" s="3"/>
      <c r="IA674" s="3"/>
      <c r="IB674" s="3"/>
      <c r="IC674" s="3"/>
      <c r="ID674" s="3"/>
      <c r="IE674" s="3"/>
      <c r="IF674" s="3"/>
      <c r="IG674" s="3"/>
      <c r="IH674" s="3"/>
      <c r="II674" s="3"/>
      <c r="IJ674" s="3"/>
      <c r="IK674" s="3"/>
      <c r="IL674" s="3"/>
      <c r="IM674" s="3"/>
      <c r="IN674" s="3"/>
      <c r="IO674" s="3"/>
      <c r="IP674" s="3"/>
      <c r="IQ674" s="3"/>
      <c r="IR674" s="3"/>
      <c r="IS674" s="3"/>
      <c r="IT674" s="3"/>
      <c r="IU674" s="3"/>
      <c r="IV674" s="3"/>
      <c r="IW674" s="3"/>
      <c r="IX674" s="3"/>
      <c r="IY674" s="3"/>
    </row>
    <row r="675" spans="1:259" ht="13.2" x14ac:dyDescent="0.25">
      <c r="A675" s="10"/>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c r="HX675" s="3"/>
      <c r="HY675" s="3"/>
      <c r="HZ675" s="3"/>
      <c r="IA675" s="3"/>
      <c r="IB675" s="3"/>
      <c r="IC675" s="3"/>
      <c r="ID675" s="3"/>
      <c r="IE675" s="3"/>
      <c r="IF675" s="3"/>
      <c r="IG675" s="3"/>
      <c r="IH675" s="3"/>
      <c r="II675" s="3"/>
      <c r="IJ675" s="3"/>
      <c r="IK675" s="3"/>
      <c r="IL675" s="3"/>
      <c r="IM675" s="3"/>
      <c r="IN675" s="3"/>
      <c r="IO675" s="3"/>
      <c r="IP675" s="3"/>
      <c r="IQ675" s="3"/>
      <c r="IR675" s="3"/>
      <c r="IS675" s="3"/>
      <c r="IT675" s="3"/>
      <c r="IU675" s="3"/>
      <c r="IV675" s="3"/>
      <c r="IW675" s="3"/>
      <c r="IX675" s="3"/>
      <c r="IY675" s="3"/>
    </row>
    <row r="676" spans="1:259" ht="13.2" x14ac:dyDescent="0.25">
      <c r="A676" s="10"/>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c r="HX676" s="3"/>
      <c r="HY676" s="3"/>
      <c r="HZ676" s="3"/>
      <c r="IA676" s="3"/>
      <c r="IB676" s="3"/>
      <c r="IC676" s="3"/>
      <c r="ID676" s="3"/>
      <c r="IE676" s="3"/>
      <c r="IF676" s="3"/>
      <c r="IG676" s="3"/>
      <c r="IH676" s="3"/>
      <c r="II676" s="3"/>
      <c r="IJ676" s="3"/>
      <c r="IK676" s="3"/>
      <c r="IL676" s="3"/>
      <c r="IM676" s="3"/>
      <c r="IN676" s="3"/>
      <c r="IO676" s="3"/>
      <c r="IP676" s="3"/>
      <c r="IQ676" s="3"/>
      <c r="IR676" s="3"/>
      <c r="IS676" s="3"/>
      <c r="IT676" s="3"/>
      <c r="IU676" s="3"/>
      <c r="IV676" s="3"/>
      <c r="IW676" s="3"/>
      <c r="IX676" s="3"/>
      <c r="IY676" s="3"/>
    </row>
    <row r="677" spans="1:259" ht="13.2" x14ac:dyDescent="0.25">
      <c r="A677" s="10"/>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c r="HX677" s="3"/>
      <c r="HY677" s="3"/>
      <c r="HZ677" s="3"/>
      <c r="IA677" s="3"/>
      <c r="IB677" s="3"/>
      <c r="IC677" s="3"/>
      <c r="ID677" s="3"/>
      <c r="IE677" s="3"/>
      <c r="IF677" s="3"/>
      <c r="IG677" s="3"/>
      <c r="IH677" s="3"/>
      <c r="II677" s="3"/>
      <c r="IJ677" s="3"/>
      <c r="IK677" s="3"/>
      <c r="IL677" s="3"/>
      <c r="IM677" s="3"/>
      <c r="IN677" s="3"/>
      <c r="IO677" s="3"/>
      <c r="IP677" s="3"/>
      <c r="IQ677" s="3"/>
      <c r="IR677" s="3"/>
      <c r="IS677" s="3"/>
      <c r="IT677" s="3"/>
      <c r="IU677" s="3"/>
      <c r="IV677" s="3"/>
      <c r="IW677" s="3"/>
      <c r="IX677" s="3"/>
      <c r="IY677" s="3"/>
    </row>
    <row r="678" spans="1:259" ht="13.2" x14ac:dyDescent="0.25">
      <c r="A678" s="10"/>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c r="HX678" s="3"/>
      <c r="HY678" s="3"/>
      <c r="HZ678" s="3"/>
      <c r="IA678" s="3"/>
      <c r="IB678" s="3"/>
      <c r="IC678" s="3"/>
      <c r="ID678" s="3"/>
      <c r="IE678" s="3"/>
      <c r="IF678" s="3"/>
      <c r="IG678" s="3"/>
      <c r="IH678" s="3"/>
      <c r="II678" s="3"/>
      <c r="IJ678" s="3"/>
      <c r="IK678" s="3"/>
      <c r="IL678" s="3"/>
      <c r="IM678" s="3"/>
      <c r="IN678" s="3"/>
      <c r="IO678" s="3"/>
      <c r="IP678" s="3"/>
      <c r="IQ678" s="3"/>
      <c r="IR678" s="3"/>
      <c r="IS678" s="3"/>
      <c r="IT678" s="3"/>
      <c r="IU678" s="3"/>
      <c r="IV678" s="3"/>
      <c r="IW678" s="3"/>
      <c r="IX678" s="3"/>
      <c r="IY678" s="3"/>
    </row>
    <row r="679" spans="1:259" ht="13.2" x14ac:dyDescent="0.25">
      <c r="A679" s="10"/>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c r="HX679" s="3"/>
      <c r="HY679" s="3"/>
      <c r="HZ679" s="3"/>
      <c r="IA679" s="3"/>
      <c r="IB679" s="3"/>
      <c r="IC679" s="3"/>
      <c r="ID679" s="3"/>
      <c r="IE679" s="3"/>
      <c r="IF679" s="3"/>
      <c r="IG679" s="3"/>
      <c r="IH679" s="3"/>
      <c r="II679" s="3"/>
      <c r="IJ679" s="3"/>
      <c r="IK679" s="3"/>
      <c r="IL679" s="3"/>
      <c r="IM679" s="3"/>
      <c r="IN679" s="3"/>
      <c r="IO679" s="3"/>
      <c r="IP679" s="3"/>
      <c r="IQ679" s="3"/>
      <c r="IR679" s="3"/>
      <c r="IS679" s="3"/>
      <c r="IT679" s="3"/>
      <c r="IU679" s="3"/>
      <c r="IV679" s="3"/>
      <c r="IW679" s="3"/>
      <c r="IX679" s="3"/>
      <c r="IY679" s="3"/>
    </row>
    <row r="680" spans="1:259" ht="13.2" x14ac:dyDescent="0.25">
      <c r="A680" s="10"/>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c r="HX680" s="3"/>
      <c r="HY680" s="3"/>
      <c r="HZ680" s="3"/>
      <c r="IA680" s="3"/>
      <c r="IB680" s="3"/>
      <c r="IC680" s="3"/>
      <c r="ID680" s="3"/>
      <c r="IE680" s="3"/>
      <c r="IF680" s="3"/>
      <c r="IG680" s="3"/>
      <c r="IH680" s="3"/>
      <c r="II680" s="3"/>
      <c r="IJ680" s="3"/>
      <c r="IK680" s="3"/>
      <c r="IL680" s="3"/>
      <c r="IM680" s="3"/>
      <c r="IN680" s="3"/>
      <c r="IO680" s="3"/>
      <c r="IP680" s="3"/>
      <c r="IQ680" s="3"/>
      <c r="IR680" s="3"/>
      <c r="IS680" s="3"/>
      <c r="IT680" s="3"/>
      <c r="IU680" s="3"/>
      <c r="IV680" s="3"/>
      <c r="IW680" s="3"/>
      <c r="IX680" s="3"/>
      <c r="IY680" s="3"/>
    </row>
    <row r="681" spans="1:259" ht="13.2" x14ac:dyDescent="0.25">
      <c r="A681" s="10"/>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c r="HX681" s="3"/>
      <c r="HY681" s="3"/>
      <c r="HZ681" s="3"/>
      <c r="IA681" s="3"/>
      <c r="IB681" s="3"/>
      <c r="IC681" s="3"/>
      <c r="ID681" s="3"/>
      <c r="IE681" s="3"/>
      <c r="IF681" s="3"/>
      <c r="IG681" s="3"/>
      <c r="IH681" s="3"/>
      <c r="II681" s="3"/>
      <c r="IJ681" s="3"/>
      <c r="IK681" s="3"/>
      <c r="IL681" s="3"/>
      <c r="IM681" s="3"/>
      <c r="IN681" s="3"/>
      <c r="IO681" s="3"/>
      <c r="IP681" s="3"/>
      <c r="IQ681" s="3"/>
      <c r="IR681" s="3"/>
      <c r="IS681" s="3"/>
      <c r="IT681" s="3"/>
      <c r="IU681" s="3"/>
      <c r="IV681" s="3"/>
      <c r="IW681" s="3"/>
      <c r="IX681" s="3"/>
      <c r="IY681" s="3"/>
    </row>
    <row r="682" spans="1:259" ht="13.2" x14ac:dyDescent="0.25">
      <c r="A682" s="10"/>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c r="HX682" s="3"/>
      <c r="HY682" s="3"/>
      <c r="HZ682" s="3"/>
      <c r="IA682" s="3"/>
      <c r="IB682" s="3"/>
      <c r="IC682" s="3"/>
      <c r="ID682" s="3"/>
      <c r="IE682" s="3"/>
      <c r="IF682" s="3"/>
      <c r="IG682" s="3"/>
      <c r="IH682" s="3"/>
      <c r="II682" s="3"/>
      <c r="IJ682" s="3"/>
      <c r="IK682" s="3"/>
      <c r="IL682" s="3"/>
      <c r="IM682" s="3"/>
      <c r="IN682" s="3"/>
      <c r="IO682" s="3"/>
      <c r="IP682" s="3"/>
      <c r="IQ682" s="3"/>
      <c r="IR682" s="3"/>
      <c r="IS682" s="3"/>
      <c r="IT682" s="3"/>
      <c r="IU682" s="3"/>
      <c r="IV682" s="3"/>
      <c r="IW682" s="3"/>
      <c r="IX682" s="3"/>
      <c r="IY682" s="3"/>
    </row>
    <row r="683" spans="1:259" ht="13.2" x14ac:dyDescent="0.25">
      <c r="A683" s="10"/>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c r="HX683" s="3"/>
      <c r="HY683" s="3"/>
      <c r="HZ683" s="3"/>
      <c r="IA683" s="3"/>
      <c r="IB683" s="3"/>
      <c r="IC683" s="3"/>
      <c r="ID683" s="3"/>
      <c r="IE683" s="3"/>
      <c r="IF683" s="3"/>
      <c r="IG683" s="3"/>
      <c r="IH683" s="3"/>
      <c r="II683" s="3"/>
      <c r="IJ683" s="3"/>
      <c r="IK683" s="3"/>
      <c r="IL683" s="3"/>
      <c r="IM683" s="3"/>
      <c r="IN683" s="3"/>
      <c r="IO683" s="3"/>
      <c r="IP683" s="3"/>
      <c r="IQ683" s="3"/>
      <c r="IR683" s="3"/>
      <c r="IS683" s="3"/>
      <c r="IT683" s="3"/>
      <c r="IU683" s="3"/>
      <c r="IV683" s="3"/>
      <c r="IW683" s="3"/>
      <c r="IX683" s="3"/>
      <c r="IY683" s="3"/>
    </row>
    <row r="684" spans="1:259" ht="13.2" x14ac:dyDescent="0.25">
      <c r="A684" s="10"/>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c r="HX684" s="3"/>
      <c r="HY684" s="3"/>
      <c r="HZ684" s="3"/>
      <c r="IA684" s="3"/>
      <c r="IB684" s="3"/>
      <c r="IC684" s="3"/>
      <c r="ID684" s="3"/>
      <c r="IE684" s="3"/>
      <c r="IF684" s="3"/>
      <c r="IG684" s="3"/>
      <c r="IH684" s="3"/>
      <c r="II684" s="3"/>
      <c r="IJ684" s="3"/>
      <c r="IK684" s="3"/>
      <c r="IL684" s="3"/>
      <c r="IM684" s="3"/>
      <c r="IN684" s="3"/>
      <c r="IO684" s="3"/>
      <c r="IP684" s="3"/>
      <c r="IQ684" s="3"/>
      <c r="IR684" s="3"/>
      <c r="IS684" s="3"/>
      <c r="IT684" s="3"/>
      <c r="IU684" s="3"/>
      <c r="IV684" s="3"/>
      <c r="IW684" s="3"/>
      <c r="IX684" s="3"/>
      <c r="IY684" s="3"/>
    </row>
    <row r="685" spans="1:259" ht="13.2" x14ac:dyDescent="0.25">
      <c r="A685" s="10"/>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c r="HX685" s="3"/>
      <c r="HY685" s="3"/>
      <c r="HZ685" s="3"/>
      <c r="IA685" s="3"/>
      <c r="IB685" s="3"/>
      <c r="IC685" s="3"/>
      <c r="ID685" s="3"/>
      <c r="IE685" s="3"/>
      <c r="IF685" s="3"/>
      <c r="IG685" s="3"/>
      <c r="IH685" s="3"/>
      <c r="II685" s="3"/>
      <c r="IJ685" s="3"/>
      <c r="IK685" s="3"/>
      <c r="IL685" s="3"/>
      <c r="IM685" s="3"/>
      <c r="IN685" s="3"/>
      <c r="IO685" s="3"/>
      <c r="IP685" s="3"/>
      <c r="IQ685" s="3"/>
      <c r="IR685" s="3"/>
      <c r="IS685" s="3"/>
      <c r="IT685" s="3"/>
      <c r="IU685" s="3"/>
      <c r="IV685" s="3"/>
      <c r="IW685" s="3"/>
      <c r="IX685" s="3"/>
      <c r="IY685" s="3"/>
    </row>
    <row r="686" spans="1:259" ht="13.2" x14ac:dyDescent="0.25">
      <c r="A686" s="10"/>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c r="HX686" s="3"/>
      <c r="HY686" s="3"/>
      <c r="HZ686" s="3"/>
      <c r="IA686" s="3"/>
      <c r="IB686" s="3"/>
      <c r="IC686" s="3"/>
      <c r="ID686" s="3"/>
      <c r="IE686" s="3"/>
      <c r="IF686" s="3"/>
      <c r="IG686" s="3"/>
      <c r="IH686" s="3"/>
      <c r="II686" s="3"/>
      <c r="IJ686" s="3"/>
      <c r="IK686" s="3"/>
      <c r="IL686" s="3"/>
      <c r="IM686" s="3"/>
      <c r="IN686" s="3"/>
      <c r="IO686" s="3"/>
      <c r="IP686" s="3"/>
      <c r="IQ686" s="3"/>
      <c r="IR686" s="3"/>
      <c r="IS686" s="3"/>
      <c r="IT686" s="3"/>
      <c r="IU686" s="3"/>
      <c r="IV686" s="3"/>
      <c r="IW686" s="3"/>
      <c r="IX686" s="3"/>
      <c r="IY686" s="3"/>
    </row>
    <row r="687" spans="1:259" ht="13.2" x14ac:dyDescent="0.25">
      <c r="A687" s="10"/>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c r="HX687" s="3"/>
      <c r="HY687" s="3"/>
      <c r="HZ687" s="3"/>
      <c r="IA687" s="3"/>
      <c r="IB687" s="3"/>
      <c r="IC687" s="3"/>
      <c r="ID687" s="3"/>
      <c r="IE687" s="3"/>
      <c r="IF687" s="3"/>
      <c r="IG687" s="3"/>
      <c r="IH687" s="3"/>
      <c r="II687" s="3"/>
      <c r="IJ687" s="3"/>
      <c r="IK687" s="3"/>
      <c r="IL687" s="3"/>
      <c r="IM687" s="3"/>
      <c r="IN687" s="3"/>
      <c r="IO687" s="3"/>
      <c r="IP687" s="3"/>
      <c r="IQ687" s="3"/>
      <c r="IR687" s="3"/>
      <c r="IS687" s="3"/>
      <c r="IT687" s="3"/>
      <c r="IU687" s="3"/>
      <c r="IV687" s="3"/>
      <c r="IW687" s="3"/>
      <c r="IX687" s="3"/>
      <c r="IY687" s="3"/>
    </row>
    <row r="688" spans="1:259" ht="13.2" x14ac:dyDescent="0.25">
      <c r="A688" s="10"/>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c r="HX688" s="3"/>
      <c r="HY688" s="3"/>
      <c r="HZ688" s="3"/>
      <c r="IA688" s="3"/>
      <c r="IB688" s="3"/>
      <c r="IC688" s="3"/>
      <c r="ID688" s="3"/>
      <c r="IE688" s="3"/>
      <c r="IF688" s="3"/>
      <c r="IG688" s="3"/>
      <c r="IH688" s="3"/>
      <c r="II688" s="3"/>
      <c r="IJ688" s="3"/>
      <c r="IK688" s="3"/>
      <c r="IL688" s="3"/>
      <c r="IM688" s="3"/>
      <c r="IN688" s="3"/>
      <c r="IO688" s="3"/>
      <c r="IP688" s="3"/>
      <c r="IQ688" s="3"/>
      <c r="IR688" s="3"/>
      <c r="IS688" s="3"/>
      <c r="IT688" s="3"/>
      <c r="IU688" s="3"/>
      <c r="IV688" s="3"/>
      <c r="IW688" s="3"/>
      <c r="IX688" s="3"/>
      <c r="IY688" s="3"/>
    </row>
    <row r="689" spans="1:259" ht="13.2" x14ac:dyDescent="0.25">
      <c r="A689" s="10"/>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c r="HX689" s="3"/>
      <c r="HY689" s="3"/>
      <c r="HZ689" s="3"/>
      <c r="IA689" s="3"/>
      <c r="IB689" s="3"/>
      <c r="IC689" s="3"/>
      <c r="ID689" s="3"/>
      <c r="IE689" s="3"/>
      <c r="IF689" s="3"/>
      <c r="IG689" s="3"/>
      <c r="IH689" s="3"/>
      <c r="II689" s="3"/>
      <c r="IJ689" s="3"/>
      <c r="IK689" s="3"/>
      <c r="IL689" s="3"/>
      <c r="IM689" s="3"/>
      <c r="IN689" s="3"/>
      <c r="IO689" s="3"/>
      <c r="IP689" s="3"/>
      <c r="IQ689" s="3"/>
      <c r="IR689" s="3"/>
      <c r="IS689" s="3"/>
      <c r="IT689" s="3"/>
      <c r="IU689" s="3"/>
      <c r="IV689" s="3"/>
      <c r="IW689" s="3"/>
      <c r="IX689" s="3"/>
      <c r="IY689" s="3"/>
    </row>
    <row r="690" spans="1:259" ht="13.2" x14ac:dyDescent="0.25">
      <c r="A690" s="10"/>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c r="HX690" s="3"/>
      <c r="HY690" s="3"/>
      <c r="HZ690" s="3"/>
      <c r="IA690" s="3"/>
      <c r="IB690" s="3"/>
      <c r="IC690" s="3"/>
      <c r="ID690" s="3"/>
      <c r="IE690" s="3"/>
      <c r="IF690" s="3"/>
      <c r="IG690" s="3"/>
      <c r="IH690" s="3"/>
      <c r="II690" s="3"/>
      <c r="IJ690" s="3"/>
      <c r="IK690" s="3"/>
      <c r="IL690" s="3"/>
      <c r="IM690" s="3"/>
      <c r="IN690" s="3"/>
      <c r="IO690" s="3"/>
      <c r="IP690" s="3"/>
      <c r="IQ690" s="3"/>
      <c r="IR690" s="3"/>
      <c r="IS690" s="3"/>
      <c r="IT690" s="3"/>
      <c r="IU690" s="3"/>
      <c r="IV690" s="3"/>
      <c r="IW690" s="3"/>
      <c r="IX690" s="3"/>
      <c r="IY690" s="3"/>
    </row>
    <row r="691" spans="1:259" ht="13.2" x14ac:dyDescent="0.25">
      <c r="A691" s="10"/>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c r="HX691" s="3"/>
      <c r="HY691" s="3"/>
      <c r="HZ691" s="3"/>
      <c r="IA691" s="3"/>
      <c r="IB691" s="3"/>
      <c r="IC691" s="3"/>
      <c r="ID691" s="3"/>
      <c r="IE691" s="3"/>
      <c r="IF691" s="3"/>
      <c r="IG691" s="3"/>
      <c r="IH691" s="3"/>
      <c r="II691" s="3"/>
      <c r="IJ691" s="3"/>
      <c r="IK691" s="3"/>
      <c r="IL691" s="3"/>
      <c r="IM691" s="3"/>
      <c r="IN691" s="3"/>
      <c r="IO691" s="3"/>
      <c r="IP691" s="3"/>
      <c r="IQ691" s="3"/>
      <c r="IR691" s="3"/>
      <c r="IS691" s="3"/>
      <c r="IT691" s="3"/>
      <c r="IU691" s="3"/>
      <c r="IV691" s="3"/>
      <c r="IW691" s="3"/>
      <c r="IX691" s="3"/>
      <c r="IY691" s="3"/>
    </row>
    <row r="692" spans="1:259" ht="13.2" x14ac:dyDescent="0.25">
      <c r="A692" s="10"/>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c r="HX692" s="3"/>
      <c r="HY692" s="3"/>
      <c r="HZ692" s="3"/>
      <c r="IA692" s="3"/>
      <c r="IB692" s="3"/>
      <c r="IC692" s="3"/>
      <c r="ID692" s="3"/>
      <c r="IE692" s="3"/>
      <c r="IF692" s="3"/>
      <c r="IG692" s="3"/>
      <c r="IH692" s="3"/>
      <c r="II692" s="3"/>
      <c r="IJ692" s="3"/>
      <c r="IK692" s="3"/>
      <c r="IL692" s="3"/>
      <c r="IM692" s="3"/>
      <c r="IN692" s="3"/>
      <c r="IO692" s="3"/>
      <c r="IP692" s="3"/>
      <c r="IQ692" s="3"/>
      <c r="IR692" s="3"/>
      <c r="IS692" s="3"/>
      <c r="IT692" s="3"/>
      <c r="IU692" s="3"/>
      <c r="IV692" s="3"/>
      <c r="IW692" s="3"/>
      <c r="IX692" s="3"/>
      <c r="IY692" s="3"/>
    </row>
    <row r="693" spans="1:259" ht="13.2" x14ac:dyDescent="0.25">
      <c r="A693" s="10"/>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c r="HX693" s="3"/>
      <c r="HY693" s="3"/>
      <c r="HZ693" s="3"/>
      <c r="IA693" s="3"/>
      <c r="IB693" s="3"/>
      <c r="IC693" s="3"/>
      <c r="ID693" s="3"/>
      <c r="IE693" s="3"/>
      <c r="IF693" s="3"/>
      <c r="IG693" s="3"/>
      <c r="IH693" s="3"/>
      <c r="II693" s="3"/>
      <c r="IJ693" s="3"/>
      <c r="IK693" s="3"/>
      <c r="IL693" s="3"/>
      <c r="IM693" s="3"/>
      <c r="IN693" s="3"/>
      <c r="IO693" s="3"/>
      <c r="IP693" s="3"/>
      <c r="IQ693" s="3"/>
      <c r="IR693" s="3"/>
      <c r="IS693" s="3"/>
      <c r="IT693" s="3"/>
      <c r="IU693" s="3"/>
      <c r="IV693" s="3"/>
      <c r="IW693" s="3"/>
      <c r="IX693" s="3"/>
      <c r="IY693" s="3"/>
    </row>
    <row r="694" spans="1:259" ht="13.2" x14ac:dyDescent="0.25">
      <c r="A694" s="10"/>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c r="HX694" s="3"/>
      <c r="HY694" s="3"/>
      <c r="HZ694" s="3"/>
      <c r="IA694" s="3"/>
      <c r="IB694" s="3"/>
      <c r="IC694" s="3"/>
      <c r="ID694" s="3"/>
      <c r="IE694" s="3"/>
      <c r="IF694" s="3"/>
      <c r="IG694" s="3"/>
      <c r="IH694" s="3"/>
      <c r="II694" s="3"/>
      <c r="IJ694" s="3"/>
      <c r="IK694" s="3"/>
      <c r="IL694" s="3"/>
      <c r="IM694" s="3"/>
      <c r="IN694" s="3"/>
      <c r="IO694" s="3"/>
      <c r="IP694" s="3"/>
      <c r="IQ694" s="3"/>
      <c r="IR694" s="3"/>
      <c r="IS694" s="3"/>
      <c r="IT694" s="3"/>
      <c r="IU694" s="3"/>
      <c r="IV694" s="3"/>
      <c r="IW694" s="3"/>
      <c r="IX694" s="3"/>
      <c r="IY694" s="3"/>
    </row>
    <row r="695" spans="1:259" ht="13.2" x14ac:dyDescent="0.25">
      <c r="A695" s="10"/>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c r="HX695" s="3"/>
      <c r="HY695" s="3"/>
      <c r="HZ695" s="3"/>
      <c r="IA695" s="3"/>
      <c r="IB695" s="3"/>
      <c r="IC695" s="3"/>
      <c r="ID695" s="3"/>
      <c r="IE695" s="3"/>
      <c r="IF695" s="3"/>
      <c r="IG695" s="3"/>
      <c r="IH695" s="3"/>
      <c r="II695" s="3"/>
      <c r="IJ695" s="3"/>
      <c r="IK695" s="3"/>
      <c r="IL695" s="3"/>
      <c r="IM695" s="3"/>
      <c r="IN695" s="3"/>
      <c r="IO695" s="3"/>
      <c r="IP695" s="3"/>
      <c r="IQ695" s="3"/>
      <c r="IR695" s="3"/>
      <c r="IS695" s="3"/>
      <c r="IT695" s="3"/>
      <c r="IU695" s="3"/>
      <c r="IV695" s="3"/>
      <c r="IW695" s="3"/>
      <c r="IX695" s="3"/>
      <c r="IY695" s="3"/>
    </row>
    <row r="696" spans="1:259" ht="13.2" x14ac:dyDescent="0.25">
      <c r="A696" s="10"/>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c r="HX696" s="3"/>
      <c r="HY696" s="3"/>
      <c r="HZ696" s="3"/>
      <c r="IA696" s="3"/>
      <c r="IB696" s="3"/>
      <c r="IC696" s="3"/>
      <c r="ID696" s="3"/>
      <c r="IE696" s="3"/>
      <c r="IF696" s="3"/>
      <c r="IG696" s="3"/>
      <c r="IH696" s="3"/>
      <c r="II696" s="3"/>
      <c r="IJ696" s="3"/>
      <c r="IK696" s="3"/>
      <c r="IL696" s="3"/>
      <c r="IM696" s="3"/>
      <c r="IN696" s="3"/>
      <c r="IO696" s="3"/>
      <c r="IP696" s="3"/>
      <c r="IQ696" s="3"/>
      <c r="IR696" s="3"/>
      <c r="IS696" s="3"/>
      <c r="IT696" s="3"/>
      <c r="IU696" s="3"/>
      <c r="IV696" s="3"/>
      <c r="IW696" s="3"/>
      <c r="IX696" s="3"/>
      <c r="IY696" s="3"/>
    </row>
    <row r="697" spans="1:259" ht="13.2" x14ac:dyDescent="0.25">
      <c r="A697" s="10"/>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c r="HX697" s="3"/>
      <c r="HY697" s="3"/>
      <c r="HZ697" s="3"/>
      <c r="IA697" s="3"/>
      <c r="IB697" s="3"/>
      <c r="IC697" s="3"/>
      <c r="ID697" s="3"/>
      <c r="IE697" s="3"/>
      <c r="IF697" s="3"/>
      <c r="IG697" s="3"/>
      <c r="IH697" s="3"/>
      <c r="II697" s="3"/>
      <c r="IJ697" s="3"/>
      <c r="IK697" s="3"/>
      <c r="IL697" s="3"/>
      <c r="IM697" s="3"/>
      <c r="IN697" s="3"/>
      <c r="IO697" s="3"/>
      <c r="IP697" s="3"/>
      <c r="IQ697" s="3"/>
      <c r="IR697" s="3"/>
      <c r="IS697" s="3"/>
      <c r="IT697" s="3"/>
      <c r="IU697" s="3"/>
      <c r="IV697" s="3"/>
      <c r="IW697" s="3"/>
      <c r="IX697" s="3"/>
      <c r="IY697" s="3"/>
    </row>
    <row r="698" spans="1:259" ht="13.2" x14ac:dyDescent="0.25">
      <c r="A698" s="10"/>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c r="HX698" s="3"/>
      <c r="HY698" s="3"/>
      <c r="HZ698" s="3"/>
      <c r="IA698" s="3"/>
      <c r="IB698" s="3"/>
      <c r="IC698" s="3"/>
      <c r="ID698" s="3"/>
      <c r="IE698" s="3"/>
      <c r="IF698" s="3"/>
      <c r="IG698" s="3"/>
      <c r="IH698" s="3"/>
      <c r="II698" s="3"/>
      <c r="IJ698" s="3"/>
      <c r="IK698" s="3"/>
      <c r="IL698" s="3"/>
      <c r="IM698" s="3"/>
      <c r="IN698" s="3"/>
      <c r="IO698" s="3"/>
      <c r="IP698" s="3"/>
      <c r="IQ698" s="3"/>
      <c r="IR698" s="3"/>
      <c r="IS698" s="3"/>
      <c r="IT698" s="3"/>
      <c r="IU698" s="3"/>
      <c r="IV698" s="3"/>
      <c r="IW698" s="3"/>
      <c r="IX698" s="3"/>
      <c r="IY698" s="3"/>
    </row>
    <row r="699" spans="1:259" ht="13.2" x14ac:dyDescent="0.25">
      <c r="A699" s="10"/>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c r="HX699" s="3"/>
      <c r="HY699" s="3"/>
      <c r="HZ699" s="3"/>
      <c r="IA699" s="3"/>
      <c r="IB699" s="3"/>
      <c r="IC699" s="3"/>
      <c r="ID699" s="3"/>
      <c r="IE699" s="3"/>
      <c r="IF699" s="3"/>
      <c r="IG699" s="3"/>
      <c r="IH699" s="3"/>
      <c r="II699" s="3"/>
      <c r="IJ699" s="3"/>
      <c r="IK699" s="3"/>
      <c r="IL699" s="3"/>
      <c r="IM699" s="3"/>
      <c r="IN699" s="3"/>
      <c r="IO699" s="3"/>
      <c r="IP699" s="3"/>
      <c r="IQ699" s="3"/>
      <c r="IR699" s="3"/>
      <c r="IS699" s="3"/>
      <c r="IT699" s="3"/>
      <c r="IU699" s="3"/>
      <c r="IV699" s="3"/>
      <c r="IW699" s="3"/>
      <c r="IX699" s="3"/>
      <c r="IY699" s="3"/>
    </row>
    <row r="700" spans="1:259" ht="13.2" x14ac:dyDescent="0.25">
      <c r="A700" s="10"/>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c r="HX700" s="3"/>
      <c r="HY700" s="3"/>
      <c r="HZ700" s="3"/>
      <c r="IA700" s="3"/>
      <c r="IB700" s="3"/>
      <c r="IC700" s="3"/>
      <c r="ID700" s="3"/>
      <c r="IE700" s="3"/>
      <c r="IF700" s="3"/>
      <c r="IG700" s="3"/>
      <c r="IH700" s="3"/>
      <c r="II700" s="3"/>
      <c r="IJ700" s="3"/>
      <c r="IK700" s="3"/>
      <c r="IL700" s="3"/>
      <c r="IM700" s="3"/>
      <c r="IN700" s="3"/>
      <c r="IO700" s="3"/>
      <c r="IP700" s="3"/>
      <c r="IQ700" s="3"/>
      <c r="IR700" s="3"/>
      <c r="IS700" s="3"/>
      <c r="IT700" s="3"/>
      <c r="IU700" s="3"/>
      <c r="IV700" s="3"/>
      <c r="IW700" s="3"/>
      <c r="IX700" s="3"/>
      <c r="IY700" s="3"/>
    </row>
    <row r="701" spans="1:259" ht="13.2" x14ac:dyDescent="0.25">
      <c r="A701" s="10"/>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c r="HX701" s="3"/>
      <c r="HY701" s="3"/>
      <c r="HZ701" s="3"/>
      <c r="IA701" s="3"/>
      <c r="IB701" s="3"/>
      <c r="IC701" s="3"/>
      <c r="ID701" s="3"/>
      <c r="IE701" s="3"/>
      <c r="IF701" s="3"/>
      <c r="IG701" s="3"/>
      <c r="IH701" s="3"/>
      <c r="II701" s="3"/>
      <c r="IJ701" s="3"/>
      <c r="IK701" s="3"/>
      <c r="IL701" s="3"/>
      <c r="IM701" s="3"/>
      <c r="IN701" s="3"/>
      <c r="IO701" s="3"/>
      <c r="IP701" s="3"/>
      <c r="IQ701" s="3"/>
      <c r="IR701" s="3"/>
      <c r="IS701" s="3"/>
      <c r="IT701" s="3"/>
      <c r="IU701" s="3"/>
      <c r="IV701" s="3"/>
      <c r="IW701" s="3"/>
      <c r="IX701" s="3"/>
      <c r="IY701" s="3"/>
    </row>
    <row r="702" spans="1:259" ht="13.2" x14ac:dyDescent="0.25">
      <c r="A702" s="10"/>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c r="HX702" s="3"/>
      <c r="HY702" s="3"/>
      <c r="HZ702" s="3"/>
      <c r="IA702" s="3"/>
      <c r="IB702" s="3"/>
      <c r="IC702" s="3"/>
      <c r="ID702" s="3"/>
      <c r="IE702" s="3"/>
      <c r="IF702" s="3"/>
      <c r="IG702" s="3"/>
      <c r="IH702" s="3"/>
      <c r="II702" s="3"/>
      <c r="IJ702" s="3"/>
      <c r="IK702" s="3"/>
      <c r="IL702" s="3"/>
      <c r="IM702" s="3"/>
      <c r="IN702" s="3"/>
      <c r="IO702" s="3"/>
      <c r="IP702" s="3"/>
      <c r="IQ702" s="3"/>
      <c r="IR702" s="3"/>
      <c r="IS702" s="3"/>
      <c r="IT702" s="3"/>
      <c r="IU702" s="3"/>
      <c r="IV702" s="3"/>
      <c r="IW702" s="3"/>
      <c r="IX702" s="3"/>
      <c r="IY702" s="3"/>
    </row>
    <row r="703" spans="1:259" ht="13.2" x14ac:dyDescent="0.25">
      <c r="A703" s="10"/>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c r="HX703" s="3"/>
      <c r="HY703" s="3"/>
      <c r="HZ703" s="3"/>
      <c r="IA703" s="3"/>
      <c r="IB703" s="3"/>
      <c r="IC703" s="3"/>
      <c r="ID703" s="3"/>
      <c r="IE703" s="3"/>
      <c r="IF703" s="3"/>
      <c r="IG703" s="3"/>
      <c r="IH703" s="3"/>
      <c r="II703" s="3"/>
      <c r="IJ703" s="3"/>
      <c r="IK703" s="3"/>
      <c r="IL703" s="3"/>
      <c r="IM703" s="3"/>
      <c r="IN703" s="3"/>
      <c r="IO703" s="3"/>
      <c r="IP703" s="3"/>
      <c r="IQ703" s="3"/>
      <c r="IR703" s="3"/>
      <c r="IS703" s="3"/>
      <c r="IT703" s="3"/>
      <c r="IU703" s="3"/>
      <c r="IV703" s="3"/>
      <c r="IW703" s="3"/>
      <c r="IX703" s="3"/>
      <c r="IY703" s="3"/>
    </row>
    <row r="704" spans="1:259" ht="13.2" x14ac:dyDescent="0.25">
      <c r="A704" s="10"/>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c r="HX704" s="3"/>
      <c r="HY704" s="3"/>
      <c r="HZ704" s="3"/>
      <c r="IA704" s="3"/>
      <c r="IB704" s="3"/>
      <c r="IC704" s="3"/>
      <c r="ID704" s="3"/>
      <c r="IE704" s="3"/>
      <c r="IF704" s="3"/>
      <c r="IG704" s="3"/>
      <c r="IH704" s="3"/>
      <c r="II704" s="3"/>
      <c r="IJ704" s="3"/>
      <c r="IK704" s="3"/>
      <c r="IL704" s="3"/>
      <c r="IM704" s="3"/>
      <c r="IN704" s="3"/>
      <c r="IO704" s="3"/>
      <c r="IP704" s="3"/>
      <c r="IQ704" s="3"/>
      <c r="IR704" s="3"/>
      <c r="IS704" s="3"/>
      <c r="IT704" s="3"/>
      <c r="IU704" s="3"/>
      <c r="IV704" s="3"/>
      <c r="IW704" s="3"/>
      <c r="IX704" s="3"/>
      <c r="IY704" s="3"/>
    </row>
    <row r="705" spans="1:259" ht="13.2" x14ac:dyDescent="0.25">
      <c r="A705" s="10"/>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c r="HX705" s="3"/>
      <c r="HY705" s="3"/>
      <c r="HZ705" s="3"/>
      <c r="IA705" s="3"/>
      <c r="IB705" s="3"/>
      <c r="IC705" s="3"/>
      <c r="ID705" s="3"/>
      <c r="IE705" s="3"/>
      <c r="IF705" s="3"/>
      <c r="IG705" s="3"/>
      <c r="IH705" s="3"/>
      <c r="II705" s="3"/>
      <c r="IJ705" s="3"/>
      <c r="IK705" s="3"/>
      <c r="IL705" s="3"/>
      <c r="IM705" s="3"/>
      <c r="IN705" s="3"/>
      <c r="IO705" s="3"/>
      <c r="IP705" s="3"/>
      <c r="IQ705" s="3"/>
      <c r="IR705" s="3"/>
      <c r="IS705" s="3"/>
      <c r="IT705" s="3"/>
      <c r="IU705" s="3"/>
      <c r="IV705" s="3"/>
      <c r="IW705" s="3"/>
      <c r="IX705" s="3"/>
      <c r="IY705" s="3"/>
    </row>
    <row r="706" spans="1:259" ht="13.2" x14ac:dyDescent="0.25">
      <c r="A706" s="10"/>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c r="HX706" s="3"/>
      <c r="HY706" s="3"/>
      <c r="HZ706" s="3"/>
      <c r="IA706" s="3"/>
      <c r="IB706" s="3"/>
      <c r="IC706" s="3"/>
      <c r="ID706" s="3"/>
      <c r="IE706" s="3"/>
      <c r="IF706" s="3"/>
      <c r="IG706" s="3"/>
      <c r="IH706" s="3"/>
      <c r="II706" s="3"/>
      <c r="IJ706" s="3"/>
      <c r="IK706" s="3"/>
      <c r="IL706" s="3"/>
      <c r="IM706" s="3"/>
      <c r="IN706" s="3"/>
      <c r="IO706" s="3"/>
      <c r="IP706" s="3"/>
      <c r="IQ706" s="3"/>
      <c r="IR706" s="3"/>
      <c r="IS706" s="3"/>
      <c r="IT706" s="3"/>
      <c r="IU706" s="3"/>
      <c r="IV706" s="3"/>
      <c r="IW706" s="3"/>
      <c r="IX706" s="3"/>
      <c r="IY706" s="3"/>
    </row>
    <row r="707" spans="1:259" ht="13.2" x14ac:dyDescent="0.25">
      <c r="A707" s="10"/>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c r="HX707" s="3"/>
      <c r="HY707" s="3"/>
      <c r="HZ707" s="3"/>
      <c r="IA707" s="3"/>
      <c r="IB707" s="3"/>
      <c r="IC707" s="3"/>
      <c r="ID707" s="3"/>
      <c r="IE707" s="3"/>
      <c r="IF707" s="3"/>
      <c r="IG707" s="3"/>
      <c r="IH707" s="3"/>
      <c r="II707" s="3"/>
      <c r="IJ707" s="3"/>
      <c r="IK707" s="3"/>
      <c r="IL707" s="3"/>
      <c r="IM707" s="3"/>
      <c r="IN707" s="3"/>
      <c r="IO707" s="3"/>
      <c r="IP707" s="3"/>
      <c r="IQ707" s="3"/>
      <c r="IR707" s="3"/>
      <c r="IS707" s="3"/>
      <c r="IT707" s="3"/>
      <c r="IU707" s="3"/>
      <c r="IV707" s="3"/>
      <c r="IW707" s="3"/>
      <c r="IX707" s="3"/>
      <c r="IY707" s="3"/>
    </row>
    <row r="708" spans="1:259" ht="13.2" x14ac:dyDescent="0.25">
      <c r="A708" s="10"/>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c r="HX708" s="3"/>
      <c r="HY708" s="3"/>
      <c r="HZ708" s="3"/>
      <c r="IA708" s="3"/>
      <c r="IB708" s="3"/>
      <c r="IC708" s="3"/>
      <c r="ID708" s="3"/>
      <c r="IE708" s="3"/>
      <c r="IF708" s="3"/>
      <c r="IG708" s="3"/>
      <c r="IH708" s="3"/>
      <c r="II708" s="3"/>
      <c r="IJ708" s="3"/>
      <c r="IK708" s="3"/>
      <c r="IL708" s="3"/>
      <c r="IM708" s="3"/>
      <c r="IN708" s="3"/>
      <c r="IO708" s="3"/>
      <c r="IP708" s="3"/>
      <c r="IQ708" s="3"/>
      <c r="IR708" s="3"/>
      <c r="IS708" s="3"/>
      <c r="IT708" s="3"/>
      <c r="IU708" s="3"/>
      <c r="IV708" s="3"/>
      <c r="IW708" s="3"/>
      <c r="IX708" s="3"/>
      <c r="IY708" s="3"/>
    </row>
    <row r="709" spans="1:259" ht="13.2" x14ac:dyDescent="0.25">
      <c r="A709" s="10"/>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c r="HX709" s="3"/>
      <c r="HY709" s="3"/>
      <c r="HZ709" s="3"/>
      <c r="IA709" s="3"/>
      <c r="IB709" s="3"/>
      <c r="IC709" s="3"/>
      <c r="ID709" s="3"/>
      <c r="IE709" s="3"/>
      <c r="IF709" s="3"/>
      <c r="IG709" s="3"/>
      <c r="IH709" s="3"/>
      <c r="II709" s="3"/>
      <c r="IJ709" s="3"/>
      <c r="IK709" s="3"/>
      <c r="IL709" s="3"/>
      <c r="IM709" s="3"/>
      <c r="IN709" s="3"/>
      <c r="IO709" s="3"/>
      <c r="IP709" s="3"/>
      <c r="IQ709" s="3"/>
      <c r="IR709" s="3"/>
      <c r="IS709" s="3"/>
      <c r="IT709" s="3"/>
      <c r="IU709" s="3"/>
      <c r="IV709" s="3"/>
      <c r="IW709" s="3"/>
      <c r="IX709" s="3"/>
      <c r="IY709" s="3"/>
    </row>
    <row r="710" spans="1:259" ht="13.2" x14ac:dyDescent="0.25">
      <c r="A710" s="10"/>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c r="HX710" s="3"/>
      <c r="HY710" s="3"/>
      <c r="HZ710" s="3"/>
      <c r="IA710" s="3"/>
      <c r="IB710" s="3"/>
      <c r="IC710" s="3"/>
      <c r="ID710" s="3"/>
      <c r="IE710" s="3"/>
      <c r="IF710" s="3"/>
      <c r="IG710" s="3"/>
      <c r="IH710" s="3"/>
      <c r="II710" s="3"/>
      <c r="IJ710" s="3"/>
      <c r="IK710" s="3"/>
      <c r="IL710" s="3"/>
      <c r="IM710" s="3"/>
      <c r="IN710" s="3"/>
      <c r="IO710" s="3"/>
      <c r="IP710" s="3"/>
      <c r="IQ710" s="3"/>
      <c r="IR710" s="3"/>
      <c r="IS710" s="3"/>
      <c r="IT710" s="3"/>
      <c r="IU710" s="3"/>
      <c r="IV710" s="3"/>
      <c r="IW710" s="3"/>
      <c r="IX710" s="3"/>
      <c r="IY710" s="3"/>
    </row>
    <row r="711" spans="1:259" ht="13.2" x14ac:dyDescent="0.25">
      <c r="A711" s="10"/>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c r="HX711" s="3"/>
      <c r="HY711" s="3"/>
      <c r="HZ711" s="3"/>
      <c r="IA711" s="3"/>
      <c r="IB711" s="3"/>
      <c r="IC711" s="3"/>
      <c r="ID711" s="3"/>
      <c r="IE711" s="3"/>
      <c r="IF711" s="3"/>
      <c r="IG711" s="3"/>
      <c r="IH711" s="3"/>
      <c r="II711" s="3"/>
      <c r="IJ711" s="3"/>
      <c r="IK711" s="3"/>
      <c r="IL711" s="3"/>
      <c r="IM711" s="3"/>
      <c r="IN711" s="3"/>
      <c r="IO711" s="3"/>
      <c r="IP711" s="3"/>
      <c r="IQ711" s="3"/>
      <c r="IR711" s="3"/>
      <c r="IS711" s="3"/>
      <c r="IT711" s="3"/>
      <c r="IU711" s="3"/>
      <c r="IV711" s="3"/>
      <c r="IW711" s="3"/>
      <c r="IX711" s="3"/>
      <c r="IY711" s="3"/>
    </row>
    <row r="712" spans="1:259" ht="13.2" x14ac:dyDescent="0.25">
      <c r="A712" s="10"/>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c r="HX712" s="3"/>
      <c r="HY712" s="3"/>
      <c r="HZ712" s="3"/>
      <c r="IA712" s="3"/>
      <c r="IB712" s="3"/>
      <c r="IC712" s="3"/>
      <c r="ID712" s="3"/>
      <c r="IE712" s="3"/>
      <c r="IF712" s="3"/>
      <c r="IG712" s="3"/>
      <c r="IH712" s="3"/>
      <c r="II712" s="3"/>
      <c r="IJ712" s="3"/>
      <c r="IK712" s="3"/>
      <c r="IL712" s="3"/>
      <c r="IM712" s="3"/>
      <c r="IN712" s="3"/>
      <c r="IO712" s="3"/>
      <c r="IP712" s="3"/>
      <c r="IQ712" s="3"/>
      <c r="IR712" s="3"/>
      <c r="IS712" s="3"/>
      <c r="IT712" s="3"/>
      <c r="IU712" s="3"/>
      <c r="IV712" s="3"/>
      <c r="IW712" s="3"/>
      <c r="IX712" s="3"/>
      <c r="IY712" s="3"/>
    </row>
    <row r="713" spans="1:259" ht="13.2" x14ac:dyDescent="0.25">
      <c r="A713" s="10"/>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row>
    <row r="714" spans="1:259" ht="13.2" x14ac:dyDescent="0.25">
      <c r="A714" s="10"/>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c r="HX714" s="3"/>
      <c r="HY714" s="3"/>
      <c r="HZ714" s="3"/>
      <c r="IA714" s="3"/>
      <c r="IB714" s="3"/>
      <c r="IC714" s="3"/>
      <c r="ID714" s="3"/>
      <c r="IE714" s="3"/>
      <c r="IF714" s="3"/>
      <c r="IG714" s="3"/>
      <c r="IH714" s="3"/>
      <c r="II714" s="3"/>
      <c r="IJ714" s="3"/>
      <c r="IK714" s="3"/>
      <c r="IL714" s="3"/>
      <c r="IM714" s="3"/>
      <c r="IN714" s="3"/>
      <c r="IO714" s="3"/>
      <c r="IP714" s="3"/>
      <c r="IQ714" s="3"/>
      <c r="IR714" s="3"/>
      <c r="IS714" s="3"/>
      <c r="IT714" s="3"/>
      <c r="IU714" s="3"/>
      <c r="IV714" s="3"/>
      <c r="IW714" s="3"/>
      <c r="IX714" s="3"/>
      <c r="IY714" s="3"/>
    </row>
    <row r="715" spans="1:259" ht="13.2" x14ac:dyDescent="0.25">
      <c r="A715" s="10"/>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row>
    <row r="716" spans="1:259" ht="13.2" x14ac:dyDescent="0.25">
      <c r="A716" s="10"/>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c r="HX716" s="3"/>
      <c r="HY716" s="3"/>
      <c r="HZ716" s="3"/>
      <c r="IA716" s="3"/>
      <c r="IB716" s="3"/>
      <c r="IC716" s="3"/>
      <c r="ID716" s="3"/>
      <c r="IE716" s="3"/>
      <c r="IF716" s="3"/>
      <c r="IG716" s="3"/>
      <c r="IH716" s="3"/>
      <c r="II716" s="3"/>
      <c r="IJ716" s="3"/>
      <c r="IK716" s="3"/>
      <c r="IL716" s="3"/>
      <c r="IM716" s="3"/>
      <c r="IN716" s="3"/>
      <c r="IO716" s="3"/>
      <c r="IP716" s="3"/>
      <c r="IQ716" s="3"/>
      <c r="IR716" s="3"/>
      <c r="IS716" s="3"/>
      <c r="IT716" s="3"/>
      <c r="IU716" s="3"/>
      <c r="IV716" s="3"/>
      <c r="IW716" s="3"/>
      <c r="IX716" s="3"/>
      <c r="IY716" s="3"/>
    </row>
    <row r="717" spans="1:259" ht="13.2" x14ac:dyDescent="0.25">
      <c r="A717" s="10"/>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c r="HX717" s="3"/>
      <c r="HY717" s="3"/>
      <c r="HZ717" s="3"/>
      <c r="IA717" s="3"/>
      <c r="IB717" s="3"/>
      <c r="IC717" s="3"/>
      <c r="ID717" s="3"/>
      <c r="IE717" s="3"/>
      <c r="IF717" s="3"/>
      <c r="IG717" s="3"/>
      <c r="IH717" s="3"/>
      <c r="II717" s="3"/>
      <c r="IJ717" s="3"/>
      <c r="IK717" s="3"/>
      <c r="IL717" s="3"/>
      <c r="IM717" s="3"/>
      <c r="IN717" s="3"/>
      <c r="IO717" s="3"/>
      <c r="IP717" s="3"/>
      <c r="IQ717" s="3"/>
      <c r="IR717" s="3"/>
      <c r="IS717" s="3"/>
      <c r="IT717" s="3"/>
      <c r="IU717" s="3"/>
      <c r="IV717" s="3"/>
      <c r="IW717" s="3"/>
      <c r="IX717" s="3"/>
      <c r="IY717" s="3"/>
    </row>
    <row r="718" spans="1:259" ht="13.2" x14ac:dyDescent="0.25">
      <c r="A718" s="10"/>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c r="HX718" s="3"/>
      <c r="HY718" s="3"/>
      <c r="HZ718" s="3"/>
      <c r="IA718" s="3"/>
      <c r="IB718" s="3"/>
      <c r="IC718" s="3"/>
      <c r="ID718" s="3"/>
      <c r="IE718" s="3"/>
      <c r="IF718" s="3"/>
      <c r="IG718" s="3"/>
      <c r="IH718" s="3"/>
      <c r="II718" s="3"/>
      <c r="IJ718" s="3"/>
      <c r="IK718" s="3"/>
      <c r="IL718" s="3"/>
      <c r="IM718" s="3"/>
      <c r="IN718" s="3"/>
      <c r="IO718" s="3"/>
      <c r="IP718" s="3"/>
      <c r="IQ718" s="3"/>
      <c r="IR718" s="3"/>
      <c r="IS718" s="3"/>
      <c r="IT718" s="3"/>
      <c r="IU718" s="3"/>
      <c r="IV718" s="3"/>
      <c r="IW718" s="3"/>
      <c r="IX718" s="3"/>
      <c r="IY718" s="3"/>
    </row>
    <row r="719" spans="1:259" ht="13.2" x14ac:dyDescent="0.25">
      <c r="A719" s="10"/>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c r="HX719" s="3"/>
      <c r="HY719" s="3"/>
      <c r="HZ719" s="3"/>
      <c r="IA719" s="3"/>
      <c r="IB719" s="3"/>
      <c r="IC719" s="3"/>
      <c r="ID719" s="3"/>
      <c r="IE719" s="3"/>
      <c r="IF719" s="3"/>
      <c r="IG719" s="3"/>
      <c r="IH719" s="3"/>
      <c r="II719" s="3"/>
      <c r="IJ719" s="3"/>
      <c r="IK719" s="3"/>
      <c r="IL719" s="3"/>
      <c r="IM719" s="3"/>
      <c r="IN719" s="3"/>
      <c r="IO719" s="3"/>
      <c r="IP719" s="3"/>
      <c r="IQ719" s="3"/>
      <c r="IR719" s="3"/>
      <c r="IS719" s="3"/>
      <c r="IT719" s="3"/>
      <c r="IU719" s="3"/>
      <c r="IV719" s="3"/>
      <c r="IW719" s="3"/>
      <c r="IX719" s="3"/>
      <c r="IY719" s="3"/>
    </row>
    <row r="720" spans="1:259" ht="13.2" x14ac:dyDescent="0.25">
      <c r="A720" s="10"/>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c r="HX720" s="3"/>
      <c r="HY720" s="3"/>
      <c r="HZ720" s="3"/>
      <c r="IA720" s="3"/>
      <c r="IB720" s="3"/>
      <c r="IC720" s="3"/>
      <c r="ID720" s="3"/>
      <c r="IE720" s="3"/>
      <c r="IF720" s="3"/>
      <c r="IG720" s="3"/>
      <c r="IH720" s="3"/>
      <c r="II720" s="3"/>
      <c r="IJ720" s="3"/>
      <c r="IK720" s="3"/>
      <c r="IL720" s="3"/>
      <c r="IM720" s="3"/>
      <c r="IN720" s="3"/>
      <c r="IO720" s="3"/>
      <c r="IP720" s="3"/>
      <c r="IQ720" s="3"/>
      <c r="IR720" s="3"/>
      <c r="IS720" s="3"/>
      <c r="IT720" s="3"/>
      <c r="IU720" s="3"/>
      <c r="IV720" s="3"/>
      <c r="IW720" s="3"/>
      <c r="IX720" s="3"/>
      <c r="IY720" s="3"/>
    </row>
    <row r="721" spans="1:259" ht="13.2" x14ac:dyDescent="0.25">
      <c r="A721" s="10"/>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c r="HX721" s="3"/>
      <c r="HY721" s="3"/>
      <c r="HZ721" s="3"/>
      <c r="IA721" s="3"/>
      <c r="IB721" s="3"/>
      <c r="IC721" s="3"/>
      <c r="ID721" s="3"/>
      <c r="IE721" s="3"/>
      <c r="IF721" s="3"/>
      <c r="IG721" s="3"/>
      <c r="IH721" s="3"/>
      <c r="II721" s="3"/>
      <c r="IJ721" s="3"/>
      <c r="IK721" s="3"/>
      <c r="IL721" s="3"/>
      <c r="IM721" s="3"/>
      <c r="IN721" s="3"/>
      <c r="IO721" s="3"/>
      <c r="IP721" s="3"/>
      <c r="IQ721" s="3"/>
      <c r="IR721" s="3"/>
      <c r="IS721" s="3"/>
      <c r="IT721" s="3"/>
      <c r="IU721" s="3"/>
      <c r="IV721" s="3"/>
      <c r="IW721" s="3"/>
      <c r="IX721" s="3"/>
      <c r="IY721" s="3"/>
    </row>
    <row r="722" spans="1:259" ht="13.2" x14ac:dyDescent="0.25">
      <c r="A722" s="10"/>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c r="HX722" s="3"/>
      <c r="HY722" s="3"/>
      <c r="HZ722" s="3"/>
      <c r="IA722" s="3"/>
      <c r="IB722" s="3"/>
      <c r="IC722" s="3"/>
      <c r="ID722" s="3"/>
      <c r="IE722" s="3"/>
      <c r="IF722" s="3"/>
      <c r="IG722" s="3"/>
      <c r="IH722" s="3"/>
      <c r="II722" s="3"/>
      <c r="IJ722" s="3"/>
      <c r="IK722" s="3"/>
      <c r="IL722" s="3"/>
      <c r="IM722" s="3"/>
      <c r="IN722" s="3"/>
      <c r="IO722" s="3"/>
      <c r="IP722" s="3"/>
      <c r="IQ722" s="3"/>
      <c r="IR722" s="3"/>
      <c r="IS722" s="3"/>
      <c r="IT722" s="3"/>
      <c r="IU722" s="3"/>
      <c r="IV722" s="3"/>
      <c r="IW722" s="3"/>
      <c r="IX722" s="3"/>
      <c r="IY722" s="3"/>
    </row>
    <row r="723" spans="1:259" ht="13.2" x14ac:dyDescent="0.25">
      <c r="A723" s="10"/>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c r="HX723" s="3"/>
      <c r="HY723" s="3"/>
      <c r="HZ723" s="3"/>
      <c r="IA723" s="3"/>
      <c r="IB723" s="3"/>
      <c r="IC723" s="3"/>
      <c r="ID723" s="3"/>
      <c r="IE723" s="3"/>
      <c r="IF723" s="3"/>
      <c r="IG723" s="3"/>
      <c r="IH723" s="3"/>
      <c r="II723" s="3"/>
      <c r="IJ723" s="3"/>
      <c r="IK723" s="3"/>
      <c r="IL723" s="3"/>
      <c r="IM723" s="3"/>
      <c r="IN723" s="3"/>
      <c r="IO723" s="3"/>
      <c r="IP723" s="3"/>
      <c r="IQ723" s="3"/>
      <c r="IR723" s="3"/>
      <c r="IS723" s="3"/>
      <c r="IT723" s="3"/>
      <c r="IU723" s="3"/>
      <c r="IV723" s="3"/>
      <c r="IW723" s="3"/>
      <c r="IX723" s="3"/>
      <c r="IY723" s="3"/>
    </row>
    <row r="724" spans="1:259" ht="13.2" x14ac:dyDescent="0.25">
      <c r="A724" s="10"/>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c r="HX724" s="3"/>
      <c r="HY724" s="3"/>
      <c r="HZ724" s="3"/>
      <c r="IA724" s="3"/>
      <c r="IB724" s="3"/>
      <c r="IC724" s="3"/>
      <c r="ID724" s="3"/>
      <c r="IE724" s="3"/>
      <c r="IF724" s="3"/>
      <c r="IG724" s="3"/>
      <c r="IH724" s="3"/>
      <c r="II724" s="3"/>
      <c r="IJ724" s="3"/>
      <c r="IK724" s="3"/>
      <c r="IL724" s="3"/>
      <c r="IM724" s="3"/>
      <c r="IN724" s="3"/>
      <c r="IO724" s="3"/>
      <c r="IP724" s="3"/>
      <c r="IQ724" s="3"/>
      <c r="IR724" s="3"/>
      <c r="IS724" s="3"/>
      <c r="IT724" s="3"/>
      <c r="IU724" s="3"/>
      <c r="IV724" s="3"/>
      <c r="IW724" s="3"/>
      <c r="IX724" s="3"/>
      <c r="IY724" s="3"/>
    </row>
    <row r="725" spans="1:259" ht="13.2" x14ac:dyDescent="0.25">
      <c r="A725" s="10"/>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c r="HX725" s="3"/>
      <c r="HY725" s="3"/>
      <c r="HZ725" s="3"/>
      <c r="IA725" s="3"/>
      <c r="IB725" s="3"/>
      <c r="IC725" s="3"/>
      <c r="ID725" s="3"/>
      <c r="IE725" s="3"/>
      <c r="IF725" s="3"/>
      <c r="IG725" s="3"/>
      <c r="IH725" s="3"/>
      <c r="II725" s="3"/>
      <c r="IJ725" s="3"/>
      <c r="IK725" s="3"/>
      <c r="IL725" s="3"/>
      <c r="IM725" s="3"/>
      <c r="IN725" s="3"/>
      <c r="IO725" s="3"/>
      <c r="IP725" s="3"/>
      <c r="IQ725" s="3"/>
      <c r="IR725" s="3"/>
      <c r="IS725" s="3"/>
      <c r="IT725" s="3"/>
      <c r="IU725" s="3"/>
      <c r="IV725" s="3"/>
      <c r="IW725" s="3"/>
      <c r="IX725" s="3"/>
      <c r="IY725" s="3"/>
    </row>
    <row r="726" spans="1:259" ht="13.2" x14ac:dyDescent="0.25">
      <c r="A726" s="10"/>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c r="HX726" s="3"/>
      <c r="HY726" s="3"/>
      <c r="HZ726" s="3"/>
      <c r="IA726" s="3"/>
      <c r="IB726" s="3"/>
      <c r="IC726" s="3"/>
      <c r="ID726" s="3"/>
      <c r="IE726" s="3"/>
      <c r="IF726" s="3"/>
      <c r="IG726" s="3"/>
      <c r="IH726" s="3"/>
      <c r="II726" s="3"/>
      <c r="IJ726" s="3"/>
      <c r="IK726" s="3"/>
      <c r="IL726" s="3"/>
      <c r="IM726" s="3"/>
      <c r="IN726" s="3"/>
      <c r="IO726" s="3"/>
      <c r="IP726" s="3"/>
      <c r="IQ726" s="3"/>
      <c r="IR726" s="3"/>
      <c r="IS726" s="3"/>
      <c r="IT726" s="3"/>
      <c r="IU726" s="3"/>
      <c r="IV726" s="3"/>
      <c r="IW726" s="3"/>
      <c r="IX726" s="3"/>
      <c r="IY726" s="3"/>
    </row>
    <row r="727" spans="1:259" ht="13.2" x14ac:dyDescent="0.25">
      <c r="A727" s="10"/>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c r="HX727" s="3"/>
      <c r="HY727" s="3"/>
      <c r="HZ727" s="3"/>
      <c r="IA727" s="3"/>
      <c r="IB727" s="3"/>
      <c r="IC727" s="3"/>
      <c r="ID727" s="3"/>
      <c r="IE727" s="3"/>
      <c r="IF727" s="3"/>
      <c r="IG727" s="3"/>
      <c r="IH727" s="3"/>
      <c r="II727" s="3"/>
      <c r="IJ727" s="3"/>
      <c r="IK727" s="3"/>
      <c r="IL727" s="3"/>
      <c r="IM727" s="3"/>
      <c r="IN727" s="3"/>
      <c r="IO727" s="3"/>
      <c r="IP727" s="3"/>
      <c r="IQ727" s="3"/>
      <c r="IR727" s="3"/>
      <c r="IS727" s="3"/>
      <c r="IT727" s="3"/>
      <c r="IU727" s="3"/>
      <c r="IV727" s="3"/>
      <c r="IW727" s="3"/>
      <c r="IX727" s="3"/>
      <c r="IY727" s="3"/>
    </row>
    <row r="728" spans="1:259" ht="13.2" x14ac:dyDescent="0.25">
      <c r="A728" s="10"/>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c r="HX728" s="3"/>
      <c r="HY728" s="3"/>
      <c r="HZ728" s="3"/>
      <c r="IA728" s="3"/>
      <c r="IB728" s="3"/>
      <c r="IC728" s="3"/>
      <c r="ID728" s="3"/>
      <c r="IE728" s="3"/>
      <c r="IF728" s="3"/>
      <c r="IG728" s="3"/>
      <c r="IH728" s="3"/>
      <c r="II728" s="3"/>
      <c r="IJ728" s="3"/>
      <c r="IK728" s="3"/>
      <c r="IL728" s="3"/>
      <c r="IM728" s="3"/>
      <c r="IN728" s="3"/>
      <c r="IO728" s="3"/>
      <c r="IP728" s="3"/>
      <c r="IQ728" s="3"/>
      <c r="IR728" s="3"/>
      <c r="IS728" s="3"/>
      <c r="IT728" s="3"/>
      <c r="IU728" s="3"/>
      <c r="IV728" s="3"/>
      <c r="IW728" s="3"/>
      <c r="IX728" s="3"/>
      <c r="IY728" s="3"/>
    </row>
    <row r="729" spans="1:259" ht="13.2" x14ac:dyDescent="0.25">
      <c r="A729" s="10"/>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c r="HX729" s="3"/>
      <c r="HY729" s="3"/>
      <c r="HZ729" s="3"/>
      <c r="IA729" s="3"/>
      <c r="IB729" s="3"/>
      <c r="IC729" s="3"/>
      <c r="ID729" s="3"/>
      <c r="IE729" s="3"/>
      <c r="IF729" s="3"/>
      <c r="IG729" s="3"/>
      <c r="IH729" s="3"/>
      <c r="II729" s="3"/>
      <c r="IJ729" s="3"/>
      <c r="IK729" s="3"/>
      <c r="IL729" s="3"/>
      <c r="IM729" s="3"/>
      <c r="IN729" s="3"/>
      <c r="IO729" s="3"/>
      <c r="IP729" s="3"/>
      <c r="IQ729" s="3"/>
      <c r="IR729" s="3"/>
      <c r="IS729" s="3"/>
      <c r="IT729" s="3"/>
      <c r="IU729" s="3"/>
      <c r="IV729" s="3"/>
      <c r="IW729" s="3"/>
      <c r="IX729" s="3"/>
      <c r="IY729" s="3"/>
    </row>
    <row r="730" spans="1:259" ht="13.2" x14ac:dyDescent="0.25">
      <c r="A730" s="10"/>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c r="HX730" s="3"/>
      <c r="HY730" s="3"/>
      <c r="HZ730" s="3"/>
      <c r="IA730" s="3"/>
      <c r="IB730" s="3"/>
      <c r="IC730" s="3"/>
      <c r="ID730" s="3"/>
      <c r="IE730" s="3"/>
      <c r="IF730" s="3"/>
      <c r="IG730" s="3"/>
      <c r="IH730" s="3"/>
      <c r="II730" s="3"/>
      <c r="IJ730" s="3"/>
      <c r="IK730" s="3"/>
      <c r="IL730" s="3"/>
      <c r="IM730" s="3"/>
      <c r="IN730" s="3"/>
      <c r="IO730" s="3"/>
      <c r="IP730" s="3"/>
      <c r="IQ730" s="3"/>
      <c r="IR730" s="3"/>
      <c r="IS730" s="3"/>
      <c r="IT730" s="3"/>
      <c r="IU730" s="3"/>
      <c r="IV730" s="3"/>
      <c r="IW730" s="3"/>
      <c r="IX730" s="3"/>
      <c r="IY730" s="3"/>
    </row>
    <row r="731" spans="1:259" ht="13.2" x14ac:dyDescent="0.25">
      <c r="A731" s="10"/>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c r="HX731" s="3"/>
      <c r="HY731" s="3"/>
      <c r="HZ731" s="3"/>
      <c r="IA731" s="3"/>
      <c r="IB731" s="3"/>
      <c r="IC731" s="3"/>
      <c r="ID731" s="3"/>
      <c r="IE731" s="3"/>
      <c r="IF731" s="3"/>
      <c r="IG731" s="3"/>
      <c r="IH731" s="3"/>
      <c r="II731" s="3"/>
      <c r="IJ731" s="3"/>
      <c r="IK731" s="3"/>
      <c r="IL731" s="3"/>
      <c r="IM731" s="3"/>
      <c r="IN731" s="3"/>
      <c r="IO731" s="3"/>
      <c r="IP731" s="3"/>
      <c r="IQ731" s="3"/>
      <c r="IR731" s="3"/>
      <c r="IS731" s="3"/>
      <c r="IT731" s="3"/>
      <c r="IU731" s="3"/>
      <c r="IV731" s="3"/>
      <c r="IW731" s="3"/>
      <c r="IX731" s="3"/>
      <c r="IY731" s="3"/>
    </row>
    <row r="732" spans="1:259" ht="13.2" x14ac:dyDescent="0.25">
      <c r="A732" s="10"/>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c r="HX732" s="3"/>
      <c r="HY732" s="3"/>
      <c r="HZ732" s="3"/>
      <c r="IA732" s="3"/>
      <c r="IB732" s="3"/>
      <c r="IC732" s="3"/>
      <c r="ID732" s="3"/>
      <c r="IE732" s="3"/>
      <c r="IF732" s="3"/>
      <c r="IG732" s="3"/>
      <c r="IH732" s="3"/>
      <c r="II732" s="3"/>
      <c r="IJ732" s="3"/>
      <c r="IK732" s="3"/>
      <c r="IL732" s="3"/>
      <c r="IM732" s="3"/>
      <c r="IN732" s="3"/>
      <c r="IO732" s="3"/>
      <c r="IP732" s="3"/>
      <c r="IQ732" s="3"/>
      <c r="IR732" s="3"/>
      <c r="IS732" s="3"/>
      <c r="IT732" s="3"/>
      <c r="IU732" s="3"/>
      <c r="IV732" s="3"/>
      <c r="IW732" s="3"/>
      <c r="IX732" s="3"/>
      <c r="IY732" s="3"/>
    </row>
    <row r="733" spans="1:259" ht="13.2" x14ac:dyDescent="0.25">
      <c r="A733" s="10"/>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c r="HX733" s="3"/>
      <c r="HY733" s="3"/>
      <c r="HZ733" s="3"/>
      <c r="IA733" s="3"/>
      <c r="IB733" s="3"/>
      <c r="IC733" s="3"/>
      <c r="ID733" s="3"/>
      <c r="IE733" s="3"/>
      <c r="IF733" s="3"/>
      <c r="IG733" s="3"/>
      <c r="IH733" s="3"/>
      <c r="II733" s="3"/>
      <c r="IJ733" s="3"/>
      <c r="IK733" s="3"/>
      <c r="IL733" s="3"/>
      <c r="IM733" s="3"/>
      <c r="IN733" s="3"/>
      <c r="IO733" s="3"/>
      <c r="IP733" s="3"/>
      <c r="IQ733" s="3"/>
      <c r="IR733" s="3"/>
      <c r="IS733" s="3"/>
      <c r="IT733" s="3"/>
      <c r="IU733" s="3"/>
      <c r="IV733" s="3"/>
      <c r="IW733" s="3"/>
      <c r="IX733" s="3"/>
      <c r="IY733" s="3"/>
    </row>
    <row r="734" spans="1:259" ht="13.2" x14ac:dyDescent="0.25">
      <c r="A734" s="10"/>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c r="HX734" s="3"/>
      <c r="HY734" s="3"/>
      <c r="HZ734" s="3"/>
      <c r="IA734" s="3"/>
      <c r="IB734" s="3"/>
      <c r="IC734" s="3"/>
      <c r="ID734" s="3"/>
      <c r="IE734" s="3"/>
      <c r="IF734" s="3"/>
      <c r="IG734" s="3"/>
      <c r="IH734" s="3"/>
      <c r="II734" s="3"/>
      <c r="IJ734" s="3"/>
      <c r="IK734" s="3"/>
      <c r="IL734" s="3"/>
      <c r="IM734" s="3"/>
      <c r="IN734" s="3"/>
      <c r="IO734" s="3"/>
      <c r="IP734" s="3"/>
      <c r="IQ734" s="3"/>
      <c r="IR734" s="3"/>
      <c r="IS734" s="3"/>
      <c r="IT734" s="3"/>
      <c r="IU734" s="3"/>
      <c r="IV734" s="3"/>
      <c r="IW734" s="3"/>
      <c r="IX734" s="3"/>
      <c r="IY734" s="3"/>
    </row>
    <row r="735" spans="1:259" ht="13.2" x14ac:dyDescent="0.25">
      <c r="A735" s="10"/>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c r="HX735" s="3"/>
      <c r="HY735" s="3"/>
      <c r="HZ735" s="3"/>
      <c r="IA735" s="3"/>
      <c r="IB735" s="3"/>
      <c r="IC735" s="3"/>
      <c r="ID735" s="3"/>
      <c r="IE735" s="3"/>
      <c r="IF735" s="3"/>
      <c r="IG735" s="3"/>
      <c r="IH735" s="3"/>
      <c r="II735" s="3"/>
      <c r="IJ735" s="3"/>
      <c r="IK735" s="3"/>
      <c r="IL735" s="3"/>
      <c r="IM735" s="3"/>
      <c r="IN735" s="3"/>
      <c r="IO735" s="3"/>
      <c r="IP735" s="3"/>
      <c r="IQ735" s="3"/>
      <c r="IR735" s="3"/>
      <c r="IS735" s="3"/>
      <c r="IT735" s="3"/>
      <c r="IU735" s="3"/>
      <c r="IV735" s="3"/>
      <c r="IW735" s="3"/>
      <c r="IX735" s="3"/>
      <c r="IY735" s="3"/>
    </row>
    <row r="736" spans="1:259" ht="13.2" x14ac:dyDescent="0.25">
      <c r="A736" s="10"/>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c r="HX736" s="3"/>
      <c r="HY736" s="3"/>
      <c r="HZ736" s="3"/>
      <c r="IA736" s="3"/>
      <c r="IB736" s="3"/>
      <c r="IC736" s="3"/>
      <c r="ID736" s="3"/>
      <c r="IE736" s="3"/>
      <c r="IF736" s="3"/>
      <c r="IG736" s="3"/>
      <c r="IH736" s="3"/>
      <c r="II736" s="3"/>
      <c r="IJ736" s="3"/>
      <c r="IK736" s="3"/>
      <c r="IL736" s="3"/>
      <c r="IM736" s="3"/>
      <c r="IN736" s="3"/>
      <c r="IO736" s="3"/>
      <c r="IP736" s="3"/>
      <c r="IQ736" s="3"/>
      <c r="IR736" s="3"/>
      <c r="IS736" s="3"/>
      <c r="IT736" s="3"/>
      <c r="IU736" s="3"/>
      <c r="IV736" s="3"/>
      <c r="IW736" s="3"/>
      <c r="IX736" s="3"/>
      <c r="IY736" s="3"/>
    </row>
    <row r="737" spans="1:259" ht="13.2" x14ac:dyDescent="0.25">
      <c r="A737" s="10"/>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c r="HX737" s="3"/>
      <c r="HY737" s="3"/>
      <c r="HZ737" s="3"/>
      <c r="IA737" s="3"/>
      <c r="IB737" s="3"/>
      <c r="IC737" s="3"/>
      <c r="ID737" s="3"/>
      <c r="IE737" s="3"/>
      <c r="IF737" s="3"/>
      <c r="IG737" s="3"/>
      <c r="IH737" s="3"/>
      <c r="II737" s="3"/>
      <c r="IJ737" s="3"/>
      <c r="IK737" s="3"/>
      <c r="IL737" s="3"/>
      <c r="IM737" s="3"/>
      <c r="IN737" s="3"/>
      <c r="IO737" s="3"/>
      <c r="IP737" s="3"/>
      <c r="IQ737" s="3"/>
      <c r="IR737" s="3"/>
      <c r="IS737" s="3"/>
      <c r="IT737" s="3"/>
      <c r="IU737" s="3"/>
      <c r="IV737" s="3"/>
      <c r="IW737" s="3"/>
      <c r="IX737" s="3"/>
      <c r="IY737" s="3"/>
    </row>
    <row r="738" spans="1:259" ht="13.2" x14ac:dyDescent="0.25">
      <c r="A738" s="10"/>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c r="HX738" s="3"/>
      <c r="HY738" s="3"/>
      <c r="HZ738" s="3"/>
      <c r="IA738" s="3"/>
      <c r="IB738" s="3"/>
      <c r="IC738" s="3"/>
      <c r="ID738" s="3"/>
      <c r="IE738" s="3"/>
      <c r="IF738" s="3"/>
      <c r="IG738" s="3"/>
      <c r="IH738" s="3"/>
      <c r="II738" s="3"/>
      <c r="IJ738" s="3"/>
      <c r="IK738" s="3"/>
      <c r="IL738" s="3"/>
      <c r="IM738" s="3"/>
      <c r="IN738" s="3"/>
      <c r="IO738" s="3"/>
      <c r="IP738" s="3"/>
      <c r="IQ738" s="3"/>
      <c r="IR738" s="3"/>
      <c r="IS738" s="3"/>
      <c r="IT738" s="3"/>
      <c r="IU738" s="3"/>
      <c r="IV738" s="3"/>
      <c r="IW738" s="3"/>
      <c r="IX738" s="3"/>
      <c r="IY738" s="3"/>
    </row>
    <row r="739" spans="1:259" ht="13.2" x14ac:dyDescent="0.25">
      <c r="A739" s="10"/>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c r="HX739" s="3"/>
      <c r="HY739" s="3"/>
      <c r="HZ739" s="3"/>
      <c r="IA739" s="3"/>
      <c r="IB739" s="3"/>
      <c r="IC739" s="3"/>
      <c r="ID739" s="3"/>
      <c r="IE739" s="3"/>
      <c r="IF739" s="3"/>
      <c r="IG739" s="3"/>
      <c r="IH739" s="3"/>
      <c r="II739" s="3"/>
      <c r="IJ739" s="3"/>
      <c r="IK739" s="3"/>
      <c r="IL739" s="3"/>
      <c r="IM739" s="3"/>
      <c r="IN739" s="3"/>
      <c r="IO739" s="3"/>
      <c r="IP739" s="3"/>
      <c r="IQ739" s="3"/>
      <c r="IR739" s="3"/>
      <c r="IS739" s="3"/>
      <c r="IT739" s="3"/>
      <c r="IU739" s="3"/>
      <c r="IV739" s="3"/>
      <c r="IW739" s="3"/>
      <c r="IX739" s="3"/>
      <c r="IY739" s="3"/>
    </row>
    <row r="740" spans="1:259" ht="13.2" x14ac:dyDescent="0.25">
      <c r="A740" s="10"/>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c r="HX740" s="3"/>
      <c r="HY740" s="3"/>
      <c r="HZ740" s="3"/>
      <c r="IA740" s="3"/>
      <c r="IB740" s="3"/>
      <c r="IC740" s="3"/>
      <c r="ID740" s="3"/>
      <c r="IE740" s="3"/>
      <c r="IF740" s="3"/>
      <c r="IG740" s="3"/>
      <c r="IH740" s="3"/>
      <c r="II740" s="3"/>
      <c r="IJ740" s="3"/>
      <c r="IK740" s="3"/>
      <c r="IL740" s="3"/>
      <c r="IM740" s="3"/>
      <c r="IN740" s="3"/>
      <c r="IO740" s="3"/>
      <c r="IP740" s="3"/>
      <c r="IQ740" s="3"/>
      <c r="IR740" s="3"/>
      <c r="IS740" s="3"/>
      <c r="IT740" s="3"/>
      <c r="IU740" s="3"/>
      <c r="IV740" s="3"/>
      <c r="IW740" s="3"/>
      <c r="IX740" s="3"/>
      <c r="IY740" s="3"/>
    </row>
    <row r="741" spans="1:259" ht="13.2" x14ac:dyDescent="0.25">
      <c r="A741" s="10"/>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c r="HX741" s="3"/>
      <c r="HY741" s="3"/>
      <c r="HZ741" s="3"/>
      <c r="IA741" s="3"/>
      <c r="IB741" s="3"/>
      <c r="IC741" s="3"/>
      <c r="ID741" s="3"/>
      <c r="IE741" s="3"/>
      <c r="IF741" s="3"/>
      <c r="IG741" s="3"/>
      <c r="IH741" s="3"/>
      <c r="II741" s="3"/>
      <c r="IJ741" s="3"/>
      <c r="IK741" s="3"/>
      <c r="IL741" s="3"/>
      <c r="IM741" s="3"/>
      <c r="IN741" s="3"/>
      <c r="IO741" s="3"/>
      <c r="IP741" s="3"/>
      <c r="IQ741" s="3"/>
      <c r="IR741" s="3"/>
      <c r="IS741" s="3"/>
      <c r="IT741" s="3"/>
      <c r="IU741" s="3"/>
      <c r="IV741" s="3"/>
      <c r="IW741" s="3"/>
      <c r="IX741" s="3"/>
      <c r="IY741" s="3"/>
    </row>
    <row r="742" spans="1:259" ht="13.2" x14ac:dyDescent="0.25">
      <c r="A742" s="10"/>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c r="HX742" s="3"/>
      <c r="HY742" s="3"/>
      <c r="HZ742" s="3"/>
      <c r="IA742" s="3"/>
      <c r="IB742" s="3"/>
      <c r="IC742" s="3"/>
      <c r="ID742" s="3"/>
      <c r="IE742" s="3"/>
      <c r="IF742" s="3"/>
      <c r="IG742" s="3"/>
      <c r="IH742" s="3"/>
      <c r="II742" s="3"/>
      <c r="IJ742" s="3"/>
      <c r="IK742" s="3"/>
      <c r="IL742" s="3"/>
      <c r="IM742" s="3"/>
      <c r="IN742" s="3"/>
      <c r="IO742" s="3"/>
      <c r="IP742" s="3"/>
      <c r="IQ742" s="3"/>
      <c r="IR742" s="3"/>
      <c r="IS742" s="3"/>
      <c r="IT742" s="3"/>
      <c r="IU742" s="3"/>
      <c r="IV742" s="3"/>
      <c r="IW742" s="3"/>
      <c r="IX742" s="3"/>
      <c r="IY742" s="3"/>
    </row>
    <row r="743" spans="1:259" ht="13.2" x14ac:dyDescent="0.25">
      <c r="A743" s="10"/>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c r="HX743" s="3"/>
      <c r="HY743" s="3"/>
      <c r="HZ743" s="3"/>
      <c r="IA743" s="3"/>
      <c r="IB743" s="3"/>
      <c r="IC743" s="3"/>
      <c r="ID743" s="3"/>
      <c r="IE743" s="3"/>
      <c r="IF743" s="3"/>
      <c r="IG743" s="3"/>
      <c r="IH743" s="3"/>
      <c r="II743" s="3"/>
      <c r="IJ743" s="3"/>
      <c r="IK743" s="3"/>
      <c r="IL743" s="3"/>
      <c r="IM743" s="3"/>
      <c r="IN743" s="3"/>
      <c r="IO743" s="3"/>
      <c r="IP743" s="3"/>
      <c r="IQ743" s="3"/>
      <c r="IR743" s="3"/>
      <c r="IS743" s="3"/>
      <c r="IT743" s="3"/>
      <c r="IU743" s="3"/>
      <c r="IV743" s="3"/>
      <c r="IW743" s="3"/>
      <c r="IX743" s="3"/>
      <c r="IY743" s="3"/>
    </row>
    <row r="744" spans="1:259" ht="13.2" x14ac:dyDescent="0.25">
      <c r="A744" s="10"/>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c r="HX744" s="3"/>
      <c r="HY744" s="3"/>
      <c r="HZ744" s="3"/>
      <c r="IA744" s="3"/>
      <c r="IB744" s="3"/>
      <c r="IC744" s="3"/>
      <c r="ID744" s="3"/>
      <c r="IE744" s="3"/>
      <c r="IF744" s="3"/>
      <c r="IG744" s="3"/>
      <c r="IH744" s="3"/>
      <c r="II744" s="3"/>
      <c r="IJ744" s="3"/>
      <c r="IK744" s="3"/>
      <c r="IL744" s="3"/>
      <c r="IM744" s="3"/>
      <c r="IN744" s="3"/>
      <c r="IO744" s="3"/>
      <c r="IP744" s="3"/>
      <c r="IQ744" s="3"/>
      <c r="IR744" s="3"/>
      <c r="IS744" s="3"/>
      <c r="IT744" s="3"/>
      <c r="IU744" s="3"/>
      <c r="IV744" s="3"/>
      <c r="IW744" s="3"/>
      <c r="IX744" s="3"/>
      <c r="IY744" s="3"/>
    </row>
    <row r="745" spans="1:259" ht="13.2" x14ac:dyDescent="0.25">
      <c r="A745" s="10"/>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c r="HX745" s="3"/>
      <c r="HY745" s="3"/>
      <c r="HZ745" s="3"/>
      <c r="IA745" s="3"/>
      <c r="IB745" s="3"/>
      <c r="IC745" s="3"/>
      <c r="ID745" s="3"/>
      <c r="IE745" s="3"/>
      <c r="IF745" s="3"/>
      <c r="IG745" s="3"/>
      <c r="IH745" s="3"/>
      <c r="II745" s="3"/>
      <c r="IJ745" s="3"/>
      <c r="IK745" s="3"/>
      <c r="IL745" s="3"/>
      <c r="IM745" s="3"/>
      <c r="IN745" s="3"/>
      <c r="IO745" s="3"/>
      <c r="IP745" s="3"/>
      <c r="IQ745" s="3"/>
      <c r="IR745" s="3"/>
      <c r="IS745" s="3"/>
      <c r="IT745" s="3"/>
      <c r="IU745" s="3"/>
      <c r="IV745" s="3"/>
      <c r="IW745" s="3"/>
      <c r="IX745" s="3"/>
      <c r="IY745" s="3"/>
    </row>
    <row r="746" spans="1:259" ht="13.2" x14ac:dyDescent="0.25">
      <c r="A746" s="10"/>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c r="HX746" s="3"/>
      <c r="HY746" s="3"/>
      <c r="HZ746" s="3"/>
      <c r="IA746" s="3"/>
      <c r="IB746" s="3"/>
      <c r="IC746" s="3"/>
      <c r="ID746" s="3"/>
      <c r="IE746" s="3"/>
      <c r="IF746" s="3"/>
      <c r="IG746" s="3"/>
      <c r="IH746" s="3"/>
      <c r="II746" s="3"/>
      <c r="IJ746" s="3"/>
      <c r="IK746" s="3"/>
      <c r="IL746" s="3"/>
      <c r="IM746" s="3"/>
      <c r="IN746" s="3"/>
      <c r="IO746" s="3"/>
      <c r="IP746" s="3"/>
      <c r="IQ746" s="3"/>
      <c r="IR746" s="3"/>
      <c r="IS746" s="3"/>
      <c r="IT746" s="3"/>
      <c r="IU746" s="3"/>
      <c r="IV746" s="3"/>
      <c r="IW746" s="3"/>
      <c r="IX746" s="3"/>
      <c r="IY746" s="3"/>
    </row>
    <row r="747" spans="1:259" ht="13.2" x14ac:dyDescent="0.25">
      <c r="A747" s="10"/>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c r="HX747" s="3"/>
      <c r="HY747" s="3"/>
      <c r="HZ747" s="3"/>
      <c r="IA747" s="3"/>
      <c r="IB747" s="3"/>
      <c r="IC747" s="3"/>
      <c r="ID747" s="3"/>
      <c r="IE747" s="3"/>
      <c r="IF747" s="3"/>
      <c r="IG747" s="3"/>
      <c r="IH747" s="3"/>
      <c r="II747" s="3"/>
      <c r="IJ747" s="3"/>
      <c r="IK747" s="3"/>
      <c r="IL747" s="3"/>
      <c r="IM747" s="3"/>
      <c r="IN747" s="3"/>
      <c r="IO747" s="3"/>
      <c r="IP747" s="3"/>
      <c r="IQ747" s="3"/>
      <c r="IR747" s="3"/>
      <c r="IS747" s="3"/>
      <c r="IT747" s="3"/>
      <c r="IU747" s="3"/>
      <c r="IV747" s="3"/>
      <c r="IW747" s="3"/>
      <c r="IX747" s="3"/>
      <c r="IY747" s="3"/>
    </row>
    <row r="748" spans="1:259" ht="13.2" x14ac:dyDescent="0.25">
      <c r="A748" s="10"/>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c r="HX748" s="3"/>
      <c r="HY748" s="3"/>
      <c r="HZ748" s="3"/>
      <c r="IA748" s="3"/>
      <c r="IB748" s="3"/>
      <c r="IC748" s="3"/>
      <c r="ID748" s="3"/>
      <c r="IE748" s="3"/>
      <c r="IF748" s="3"/>
      <c r="IG748" s="3"/>
      <c r="IH748" s="3"/>
      <c r="II748" s="3"/>
      <c r="IJ748" s="3"/>
      <c r="IK748" s="3"/>
      <c r="IL748" s="3"/>
      <c r="IM748" s="3"/>
      <c r="IN748" s="3"/>
      <c r="IO748" s="3"/>
      <c r="IP748" s="3"/>
      <c r="IQ748" s="3"/>
      <c r="IR748" s="3"/>
      <c r="IS748" s="3"/>
      <c r="IT748" s="3"/>
      <c r="IU748" s="3"/>
      <c r="IV748" s="3"/>
      <c r="IW748" s="3"/>
      <c r="IX748" s="3"/>
      <c r="IY748" s="3"/>
    </row>
    <row r="749" spans="1:259" ht="13.2" x14ac:dyDescent="0.25">
      <c r="A749" s="10"/>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c r="HX749" s="3"/>
      <c r="HY749" s="3"/>
      <c r="HZ749" s="3"/>
      <c r="IA749" s="3"/>
      <c r="IB749" s="3"/>
      <c r="IC749" s="3"/>
      <c r="ID749" s="3"/>
      <c r="IE749" s="3"/>
      <c r="IF749" s="3"/>
      <c r="IG749" s="3"/>
      <c r="IH749" s="3"/>
      <c r="II749" s="3"/>
      <c r="IJ749" s="3"/>
      <c r="IK749" s="3"/>
      <c r="IL749" s="3"/>
      <c r="IM749" s="3"/>
      <c r="IN749" s="3"/>
      <c r="IO749" s="3"/>
      <c r="IP749" s="3"/>
      <c r="IQ749" s="3"/>
      <c r="IR749" s="3"/>
      <c r="IS749" s="3"/>
      <c r="IT749" s="3"/>
      <c r="IU749" s="3"/>
      <c r="IV749" s="3"/>
      <c r="IW749" s="3"/>
      <c r="IX749" s="3"/>
      <c r="IY749" s="3"/>
    </row>
    <row r="750" spans="1:259" ht="13.2" x14ac:dyDescent="0.25">
      <c r="A750" s="10"/>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c r="HX750" s="3"/>
      <c r="HY750" s="3"/>
      <c r="HZ750" s="3"/>
      <c r="IA750" s="3"/>
      <c r="IB750" s="3"/>
      <c r="IC750" s="3"/>
      <c r="ID750" s="3"/>
      <c r="IE750" s="3"/>
      <c r="IF750" s="3"/>
      <c r="IG750" s="3"/>
      <c r="IH750" s="3"/>
      <c r="II750" s="3"/>
      <c r="IJ750" s="3"/>
      <c r="IK750" s="3"/>
      <c r="IL750" s="3"/>
      <c r="IM750" s="3"/>
      <c r="IN750" s="3"/>
      <c r="IO750" s="3"/>
      <c r="IP750" s="3"/>
      <c r="IQ750" s="3"/>
      <c r="IR750" s="3"/>
      <c r="IS750" s="3"/>
      <c r="IT750" s="3"/>
      <c r="IU750" s="3"/>
      <c r="IV750" s="3"/>
      <c r="IW750" s="3"/>
      <c r="IX750" s="3"/>
      <c r="IY750" s="3"/>
    </row>
    <row r="751" spans="1:259" ht="13.2" x14ac:dyDescent="0.25">
      <c r="A751" s="10"/>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c r="HX751" s="3"/>
      <c r="HY751" s="3"/>
      <c r="HZ751" s="3"/>
      <c r="IA751" s="3"/>
      <c r="IB751" s="3"/>
      <c r="IC751" s="3"/>
      <c r="ID751" s="3"/>
      <c r="IE751" s="3"/>
      <c r="IF751" s="3"/>
      <c r="IG751" s="3"/>
      <c r="IH751" s="3"/>
      <c r="II751" s="3"/>
      <c r="IJ751" s="3"/>
      <c r="IK751" s="3"/>
      <c r="IL751" s="3"/>
      <c r="IM751" s="3"/>
      <c r="IN751" s="3"/>
      <c r="IO751" s="3"/>
      <c r="IP751" s="3"/>
      <c r="IQ751" s="3"/>
      <c r="IR751" s="3"/>
      <c r="IS751" s="3"/>
      <c r="IT751" s="3"/>
      <c r="IU751" s="3"/>
      <c r="IV751" s="3"/>
      <c r="IW751" s="3"/>
      <c r="IX751" s="3"/>
      <c r="IY751" s="3"/>
    </row>
    <row r="752" spans="1:259" ht="13.2" x14ac:dyDescent="0.25">
      <c r="A752" s="10"/>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c r="HX752" s="3"/>
      <c r="HY752" s="3"/>
      <c r="HZ752" s="3"/>
      <c r="IA752" s="3"/>
      <c r="IB752" s="3"/>
      <c r="IC752" s="3"/>
      <c r="ID752" s="3"/>
      <c r="IE752" s="3"/>
      <c r="IF752" s="3"/>
      <c r="IG752" s="3"/>
      <c r="IH752" s="3"/>
      <c r="II752" s="3"/>
      <c r="IJ752" s="3"/>
      <c r="IK752" s="3"/>
      <c r="IL752" s="3"/>
      <c r="IM752" s="3"/>
      <c r="IN752" s="3"/>
      <c r="IO752" s="3"/>
      <c r="IP752" s="3"/>
      <c r="IQ752" s="3"/>
      <c r="IR752" s="3"/>
      <c r="IS752" s="3"/>
      <c r="IT752" s="3"/>
      <c r="IU752" s="3"/>
      <c r="IV752" s="3"/>
      <c r="IW752" s="3"/>
      <c r="IX752" s="3"/>
      <c r="IY752" s="3"/>
    </row>
    <row r="753" spans="1:259" ht="13.2" x14ac:dyDescent="0.25">
      <c r="A753" s="10"/>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c r="HX753" s="3"/>
      <c r="HY753" s="3"/>
      <c r="HZ753" s="3"/>
      <c r="IA753" s="3"/>
      <c r="IB753" s="3"/>
      <c r="IC753" s="3"/>
      <c r="ID753" s="3"/>
      <c r="IE753" s="3"/>
      <c r="IF753" s="3"/>
      <c r="IG753" s="3"/>
      <c r="IH753" s="3"/>
      <c r="II753" s="3"/>
      <c r="IJ753" s="3"/>
      <c r="IK753" s="3"/>
      <c r="IL753" s="3"/>
      <c r="IM753" s="3"/>
      <c r="IN753" s="3"/>
      <c r="IO753" s="3"/>
      <c r="IP753" s="3"/>
      <c r="IQ753" s="3"/>
      <c r="IR753" s="3"/>
      <c r="IS753" s="3"/>
      <c r="IT753" s="3"/>
      <c r="IU753" s="3"/>
      <c r="IV753" s="3"/>
      <c r="IW753" s="3"/>
      <c r="IX753" s="3"/>
      <c r="IY753" s="3"/>
    </row>
    <row r="754" spans="1:259" ht="13.2" x14ac:dyDescent="0.25">
      <c r="A754" s="10"/>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c r="HX754" s="3"/>
      <c r="HY754" s="3"/>
      <c r="HZ754" s="3"/>
      <c r="IA754" s="3"/>
      <c r="IB754" s="3"/>
      <c r="IC754" s="3"/>
      <c r="ID754" s="3"/>
      <c r="IE754" s="3"/>
      <c r="IF754" s="3"/>
      <c r="IG754" s="3"/>
      <c r="IH754" s="3"/>
      <c r="II754" s="3"/>
      <c r="IJ754" s="3"/>
      <c r="IK754" s="3"/>
      <c r="IL754" s="3"/>
      <c r="IM754" s="3"/>
      <c r="IN754" s="3"/>
      <c r="IO754" s="3"/>
      <c r="IP754" s="3"/>
      <c r="IQ754" s="3"/>
      <c r="IR754" s="3"/>
      <c r="IS754" s="3"/>
      <c r="IT754" s="3"/>
      <c r="IU754" s="3"/>
      <c r="IV754" s="3"/>
      <c r="IW754" s="3"/>
      <c r="IX754" s="3"/>
      <c r="IY754" s="3"/>
    </row>
    <row r="755" spans="1:259" ht="13.2" x14ac:dyDescent="0.25">
      <c r="A755" s="10"/>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c r="HX755" s="3"/>
      <c r="HY755" s="3"/>
      <c r="HZ755" s="3"/>
      <c r="IA755" s="3"/>
      <c r="IB755" s="3"/>
      <c r="IC755" s="3"/>
      <c r="ID755" s="3"/>
      <c r="IE755" s="3"/>
      <c r="IF755" s="3"/>
      <c r="IG755" s="3"/>
      <c r="IH755" s="3"/>
      <c r="II755" s="3"/>
      <c r="IJ755" s="3"/>
      <c r="IK755" s="3"/>
      <c r="IL755" s="3"/>
      <c r="IM755" s="3"/>
      <c r="IN755" s="3"/>
      <c r="IO755" s="3"/>
      <c r="IP755" s="3"/>
      <c r="IQ755" s="3"/>
      <c r="IR755" s="3"/>
      <c r="IS755" s="3"/>
      <c r="IT755" s="3"/>
      <c r="IU755" s="3"/>
      <c r="IV755" s="3"/>
      <c r="IW755" s="3"/>
      <c r="IX755" s="3"/>
      <c r="IY755" s="3"/>
    </row>
    <row r="756" spans="1:259" ht="13.2" x14ac:dyDescent="0.25">
      <c r="A756" s="10"/>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row>
    <row r="757" spans="1:259" ht="13.2" x14ac:dyDescent="0.25">
      <c r="A757" s="10"/>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row>
    <row r="758" spans="1:259" ht="13.2" x14ac:dyDescent="0.25">
      <c r="A758" s="10"/>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row>
    <row r="759" spans="1:259" ht="13.2" x14ac:dyDescent="0.25">
      <c r="A759" s="10"/>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c r="HX759" s="3"/>
      <c r="HY759" s="3"/>
      <c r="HZ759" s="3"/>
      <c r="IA759" s="3"/>
      <c r="IB759" s="3"/>
      <c r="IC759" s="3"/>
      <c r="ID759" s="3"/>
      <c r="IE759" s="3"/>
      <c r="IF759" s="3"/>
      <c r="IG759" s="3"/>
      <c r="IH759" s="3"/>
      <c r="II759" s="3"/>
      <c r="IJ759" s="3"/>
      <c r="IK759" s="3"/>
      <c r="IL759" s="3"/>
      <c r="IM759" s="3"/>
      <c r="IN759" s="3"/>
      <c r="IO759" s="3"/>
      <c r="IP759" s="3"/>
      <c r="IQ759" s="3"/>
      <c r="IR759" s="3"/>
      <c r="IS759" s="3"/>
      <c r="IT759" s="3"/>
      <c r="IU759" s="3"/>
      <c r="IV759" s="3"/>
      <c r="IW759" s="3"/>
      <c r="IX759" s="3"/>
      <c r="IY759" s="3"/>
    </row>
    <row r="760" spans="1:259" ht="13.2" x14ac:dyDescent="0.25">
      <c r="A760" s="10"/>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c r="HX760" s="3"/>
      <c r="HY760" s="3"/>
      <c r="HZ760" s="3"/>
      <c r="IA760" s="3"/>
      <c r="IB760" s="3"/>
      <c r="IC760" s="3"/>
      <c r="ID760" s="3"/>
      <c r="IE760" s="3"/>
      <c r="IF760" s="3"/>
      <c r="IG760" s="3"/>
      <c r="IH760" s="3"/>
      <c r="II760" s="3"/>
      <c r="IJ760" s="3"/>
      <c r="IK760" s="3"/>
      <c r="IL760" s="3"/>
      <c r="IM760" s="3"/>
      <c r="IN760" s="3"/>
      <c r="IO760" s="3"/>
      <c r="IP760" s="3"/>
      <c r="IQ760" s="3"/>
      <c r="IR760" s="3"/>
      <c r="IS760" s="3"/>
      <c r="IT760" s="3"/>
      <c r="IU760" s="3"/>
      <c r="IV760" s="3"/>
      <c r="IW760" s="3"/>
      <c r="IX760" s="3"/>
      <c r="IY760" s="3"/>
    </row>
    <row r="761" spans="1:259" ht="13.2" x14ac:dyDescent="0.25">
      <c r="A761" s="10"/>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c r="HX761" s="3"/>
      <c r="HY761" s="3"/>
      <c r="HZ761" s="3"/>
      <c r="IA761" s="3"/>
      <c r="IB761" s="3"/>
      <c r="IC761" s="3"/>
      <c r="ID761" s="3"/>
      <c r="IE761" s="3"/>
      <c r="IF761" s="3"/>
      <c r="IG761" s="3"/>
      <c r="IH761" s="3"/>
      <c r="II761" s="3"/>
      <c r="IJ761" s="3"/>
      <c r="IK761" s="3"/>
      <c r="IL761" s="3"/>
      <c r="IM761" s="3"/>
      <c r="IN761" s="3"/>
      <c r="IO761" s="3"/>
      <c r="IP761" s="3"/>
      <c r="IQ761" s="3"/>
      <c r="IR761" s="3"/>
      <c r="IS761" s="3"/>
      <c r="IT761" s="3"/>
      <c r="IU761" s="3"/>
      <c r="IV761" s="3"/>
      <c r="IW761" s="3"/>
      <c r="IX761" s="3"/>
      <c r="IY761" s="3"/>
    </row>
    <row r="762" spans="1:259" ht="13.2" x14ac:dyDescent="0.25">
      <c r="A762" s="10"/>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c r="HX762" s="3"/>
      <c r="HY762" s="3"/>
      <c r="HZ762" s="3"/>
      <c r="IA762" s="3"/>
      <c r="IB762" s="3"/>
      <c r="IC762" s="3"/>
      <c r="ID762" s="3"/>
      <c r="IE762" s="3"/>
      <c r="IF762" s="3"/>
      <c r="IG762" s="3"/>
      <c r="IH762" s="3"/>
      <c r="II762" s="3"/>
      <c r="IJ762" s="3"/>
      <c r="IK762" s="3"/>
      <c r="IL762" s="3"/>
      <c r="IM762" s="3"/>
      <c r="IN762" s="3"/>
      <c r="IO762" s="3"/>
      <c r="IP762" s="3"/>
      <c r="IQ762" s="3"/>
      <c r="IR762" s="3"/>
      <c r="IS762" s="3"/>
      <c r="IT762" s="3"/>
      <c r="IU762" s="3"/>
      <c r="IV762" s="3"/>
      <c r="IW762" s="3"/>
      <c r="IX762" s="3"/>
      <c r="IY762" s="3"/>
    </row>
    <row r="763" spans="1:259" ht="13.2" x14ac:dyDescent="0.25">
      <c r="A763" s="10"/>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c r="HX763" s="3"/>
      <c r="HY763" s="3"/>
      <c r="HZ763" s="3"/>
      <c r="IA763" s="3"/>
      <c r="IB763" s="3"/>
      <c r="IC763" s="3"/>
      <c r="ID763" s="3"/>
      <c r="IE763" s="3"/>
      <c r="IF763" s="3"/>
      <c r="IG763" s="3"/>
      <c r="IH763" s="3"/>
      <c r="II763" s="3"/>
      <c r="IJ763" s="3"/>
      <c r="IK763" s="3"/>
      <c r="IL763" s="3"/>
      <c r="IM763" s="3"/>
      <c r="IN763" s="3"/>
      <c r="IO763" s="3"/>
      <c r="IP763" s="3"/>
      <c r="IQ763" s="3"/>
      <c r="IR763" s="3"/>
      <c r="IS763" s="3"/>
      <c r="IT763" s="3"/>
      <c r="IU763" s="3"/>
      <c r="IV763" s="3"/>
      <c r="IW763" s="3"/>
      <c r="IX763" s="3"/>
      <c r="IY763" s="3"/>
    </row>
    <row r="764" spans="1:259" ht="13.2" x14ac:dyDescent="0.25">
      <c r="A764" s="10"/>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c r="HX764" s="3"/>
      <c r="HY764" s="3"/>
      <c r="HZ764" s="3"/>
      <c r="IA764" s="3"/>
      <c r="IB764" s="3"/>
      <c r="IC764" s="3"/>
      <c r="ID764" s="3"/>
      <c r="IE764" s="3"/>
      <c r="IF764" s="3"/>
      <c r="IG764" s="3"/>
      <c r="IH764" s="3"/>
      <c r="II764" s="3"/>
      <c r="IJ764" s="3"/>
      <c r="IK764" s="3"/>
      <c r="IL764" s="3"/>
      <c r="IM764" s="3"/>
      <c r="IN764" s="3"/>
      <c r="IO764" s="3"/>
      <c r="IP764" s="3"/>
      <c r="IQ764" s="3"/>
      <c r="IR764" s="3"/>
      <c r="IS764" s="3"/>
      <c r="IT764" s="3"/>
      <c r="IU764" s="3"/>
      <c r="IV764" s="3"/>
      <c r="IW764" s="3"/>
      <c r="IX764" s="3"/>
      <c r="IY764" s="3"/>
    </row>
    <row r="765" spans="1:259" ht="13.2" x14ac:dyDescent="0.25">
      <c r="A765" s="10"/>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c r="HX765" s="3"/>
      <c r="HY765" s="3"/>
      <c r="HZ765" s="3"/>
      <c r="IA765" s="3"/>
      <c r="IB765" s="3"/>
      <c r="IC765" s="3"/>
      <c r="ID765" s="3"/>
      <c r="IE765" s="3"/>
      <c r="IF765" s="3"/>
      <c r="IG765" s="3"/>
      <c r="IH765" s="3"/>
      <c r="II765" s="3"/>
      <c r="IJ765" s="3"/>
      <c r="IK765" s="3"/>
      <c r="IL765" s="3"/>
      <c r="IM765" s="3"/>
      <c r="IN765" s="3"/>
      <c r="IO765" s="3"/>
      <c r="IP765" s="3"/>
      <c r="IQ765" s="3"/>
      <c r="IR765" s="3"/>
      <c r="IS765" s="3"/>
      <c r="IT765" s="3"/>
      <c r="IU765" s="3"/>
      <c r="IV765" s="3"/>
      <c r="IW765" s="3"/>
      <c r="IX765" s="3"/>
      <c r="IY765" s="3"/>
    </row>
    <row r="766" spans="1:259" ht="13.2" x14ac:dyDescent="0.25">
      <c r="A766" s="10"/>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c r="HX766" s="3"/>
      <c r="HY766" s="3"/>
      <c r="HZ766" s="3"/>
      <c r="IA766" s="3"/>
      <c r="IB766" s="3"/>
      <c r="IC766" s="3"/>
      <c r="ID766" s="3"/>
      <c r="IE766" s="3"/>
      <c r="IF766" s="3"/>
      <c r="IG766" s="3"/>
      <c r="IH766" s="3"/>
      <c r="II766" s="3"/>
      <c r="IJ766" s="3"/>
      <c r="IK766" s="3"/>
      <c r="IL766" s="3"/>
      <c r="IM766" s="3"/>
      <c r="IN766" s="3"/>
      <c r="IO766" s="3"/>
      <c r="IP766" s="3"/>
      <c r="IQ766" s="3"/>
      <c r="IR766" s="3"/>
      <c r="IS766" s="3"/>
      <c r="IT766" s="3"/>
      <c r="IU766" s="3"/>
      <c r="IV766" s="3"/>
      <c r="IW766" s="3"/>
      <c r="IX766" s="3"/>
      <c r="IY766" s="3"/>
    </row>
    <row r="767" spans="1:259" ht="13.2" x14ac:dyDescent="0.25">
      <c r="A767" s="10"/>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c r="HX767" s="3"/>
      <c r="HY767" s="3"/>
      <c r="HZ767" s="3"/>
      <c r="IA767" s="3"/>
      <c r="IB767" s="3"/>
      <c r="IC767" s="3"/>
      <c r="ID767" s="3"/>
      <c r="IE767" s="3"/>
      <c r="IF767" s="3"/>
      <c r="IG767" s="3"/>
      <c r="IH767" s="3"/>
      <c r="II767" s="3"/>
      <c r="IJ767" s="3"/>
      <c r="IK767" s="3"/>
      <c r="IL767" s="3"/>
      <c r="IM767" s="3"/>
      <c r="IN767" s="3"/>
      <c r="IO767" s="3"/>
      <c r="IP767" s="3"/>
      <c r="IQ767" s="3"/>
      <c r="IR767" s="3"/>
      <c r="IS767" s="3"/>
      <c r="IT767" s="3"/>
      <c r="IU767" s="3"/>
      <c r="IV767" s="3"/>
      <c r="IW767" s="3"/>
      <c r="IX767" s="3"/>
      <c r="IY767" s="3"/>
    </row>
    <row r="768" spans="1:259" ht="13.2" x14ac:dyDescent="0.25">
      <c r="A768" s="10"/>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c r="HX768" s="3"/>
      <c r="HY768" s="3"/>
      <c r="HZ768" s="3"/>
      <c r="IA768" s="3"/>
      <c r="IB768" s="3"/>
      <c r="IC768" s="3"/>
      <c r="ID768" s="3"/>
      <c r="IE768" s="3"/>
      <c r="IF768" s="3"/>
      <c r="IG768" s="3"/>
      <c r="IH768" s="3"/>
      <c r="II768" s="3"/>
      <c r="IJ768" s="3"/>
      <c r="IK768" s="3"/>
      <c r="IL768" s="3"/>
      <c r="IM768" s="3"/>
      <c r="IN768" s="3"/>
      <c r="IO768" s="3"/>
      <c r="IP768" s="3"/>
      <c r="IQ768" s="3"/>
      <c r="IR768" s="3"/>
      <c r="IS768" s="3"/>
      <c r="IT768" s="3"/>
      <c r="IU768" s="3"/>
      <c r="IV768" s="3"/>
      <c r="IW768" s="3"/>
      <c r="IX768" s="3"/>
      <c r="IY768" s="3"/>
    </row>
    <row r="769" spans="1:259" ht="13.2" x14ac:dyDescent="0.25">
      <c r="A769" s="10"/>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c r="HX769" s="3"/>
      <c r="HY769" s="3"/>
      <c r="HZ769" s="3"/>
      <c r="IA769" s="3"/>
      <c r="IB769" s="3"/>
      <c r="IC769" s="3"/>
      <c r="ID769" s="3"/>
      <c r="IE769" s="3"/>
      <c r="IF769" s="3"/>
      <c r="IG769" s="3"/>
      <c r="IH769" s="3"/>
      <c r="II769" s="3"/>
      <c r="IJ769" s="3"/>
      <c r="IK769" s="3"/>
      <c r="IL769" s="3"/>
      <c r="IM769" s="3"/>
      <c r="IN769" s="3"/>
      <c r="IO769" s="3"/>
      <c r="IP769" s="3"/>
      <c r="IQ769" s="3"/>
      <c r="IR769" s="3"/>
      <c r="IS769" s="3"/>
      <c r="IT769" s="3"/>
      <c r="IU769" s="3"/>
      <c r="IV769" s="3"/>
      <c r="IW769" s="3"/>
      <c r="IX769" s="3"/>
      <c r="IY769" s="3"/>
    </row>
    <row r="770" spans="1:259" ht="13.2" x14ac:dyDescent="0.25">
      <c r="A770" s="10"/>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c r="HX770" s="3"/>
      <c r="HY770" s="3"/>
      <c r="HZ770" s="3"/>
      <c r="IA770" s="3"/>
      <c r="IB770" s="3"/>
      <c r="IC770" s="3"/>
      <c r="ID770" s="3"/>
      <c r="IE770" s="3"/>
      <c r="IF770" s="3"/>
      <c r="IG770" s="3"/>
      <c r="IH770" s="3"/>
      <c r="II770" s="3"/>
      <c r="IJ770" s="3"/>
      <c r="IK770" s="3"/>
      <c r="IL770" s="3"/>
      <c r="IM770" s="3"/>
      <c r="IN770" s="3"/>
      <c r="IO770" s="3"/>
      <c r="IP770" s="3"/>
      <c r="IQ770" s="3"/>
      <c r="IR770" s="3"/>
      <c r="IS770" s="3"/>
      <c r="IT770" s="3"/>
      <c r="IU770" s="3"/>
      <c r="IV770" s="3"/>
      <c r="IW770" s="3"/>
      <c r="IX770" s="3"/>
      <c r="IY770" s="3"/>
    </row>
    <row r="771" spans="1:259" ht="13.2" x14ac:dyDescent="0.25">
      <c r="A771" s="10"/>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c r="HX771" s="3"/>
      <c r="HY771" s="3"/>
      <c r="HZ771" s="3"/>
      <c r="IA771" s="3"/>
      <c r="IB771" s="3"/>
      <c r="IC771" s="3"/>
      <c r="ID771" s="3"/>
      <c r="IE771" s="3"/>
      <c r="IF771" s="3"/>
      <c r="IG771" s="3"/>
      <c r="IH771" s="3"/>
      <c r="II771" s="3"/>
      <c r="IJ771" s="3"/>
      <c r="IK771" s="3"/>
      <c r="IL771" s="3"/>
      <c r="IM771" s="3"/>
      <c r="IN771" s="3"/>
      <c r="IO771" s="3"/>
      <c r="IP771" s="3"/>
      <c r="IQ771" s="3"/>
      <c r="IR771" s="3"/>
      <c r="IS771" s="3"/>
      <c r="IT771" s="3"/>
      <c r="IU771" s="3"/>
      <c r="IV771" s="3"/>
      <c r="IW771" s="3"/>
      <c r="IX771" s="3"/>
      <c r="IY771" s="3"/>
    </row>
    <row r="772" spans="1:259" ht="13.2" x14ac:dyDescent="0.25">
      <c r="A772" s="10"/>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c r="HX772" s="3"/>
      <c r="HY772" s="3"/>
      <c r="HZ772" s="3"/>
      <c r="IA772" s="3"/>
      <c r="IB772" s="3"/>
      <c r="IC772" s="3"/>
      <c r="ID772" s="3"/>
      <c r="IE772" s="3"/>
      <c r="IF772" s="3"/>
      <c r="IG772" s="3"/>
      <c r="IH772" s="3"/>
      <c r="II772" s="3"/>
      <c r="IJ772" s="3"/>
      <c r="IK772" s="3"/>
      <c r="IL772" s="3"/>
      <c r="IM772" s="3"/>
      <c r="IN772" s="3"/>
      <c r="IO772" s="3"/>
      <c r="IP772" s="3"/>
      <c r="IQ772" s="3"/>
      <c r="IR772" s="3"/>
      <c r="IS772" s="3"/>
      <c r="IT772" s="3"/>
      <c r="IU772" s="3"/>
      <c r="IV772" s="3"/>
      <c r="IW772" s="3"/>
      <c r="IX772" s="3"/>
      <c r="IY772" s="3"/>
    </row>
    <row r="773" spans="1:259" ht="13.2" x14ac:dyDescent="0.25">
      <c r="A773" s="10"/>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c r="HX773" s="3"/>
      <c r="HY773" s="3"/>
      <c r="HZ773" s="3"/>
      <c r="IA773" s="3"/>
      <c r="IB773" s="3"/>
      <c r="IC773" s="3"/>
      <c r="ID773" s="3"/>
      <c r="IE773" s="3"/>
      <c r="IF773" s="3"/>
      <c r="IG773" s="3"/>
      <c r="IH773" s="3"/>
      <c r="II773" s="3"/>
      <c r="IJ773" s="3"/>
      <c r="IK773" s="3"/>
      <c r="IL773" s="3"/>
      <c r="IM773" s="3"/>
      <c r="IN773" s="3"/>
      <c r="IO773" s="3"/>
      <c r="IP773" s="3"/>
      <c r="IQ773" s="3"/>
      <c r="IR773" s="3"/>
      <c r="IS773" s="3"/>
      <c r="IT773" s="3"/>
      <c r="IU773" s="3"/>
      <c r="IV773" s="3"/>
      <c r="IW773" s="3"/>
      <c r="IX773" s="3"/>
      <c r="IY773" s="3"/>
    </row>
    <row r="774" spans="1:259" ht="13.2" x14ac:dyDescent="0.25">
      <c r="A774" s="10"/>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c r="HX774" s="3"/>
      <c r="HY774" s="3"/>
      <c r="HZ774" s="3"/>
      <c r="IA774" s="3"/>
      <c r="IB774" s="3"/>
      <c r="IC774" s="3"/>
      <c r="ID774" s="3"/>
      <c r="IE774" s="3"/>
      <c r="IF774" s="3"/>
      <c r="IG774" s="3"/>
      <c r="IH774" s="3"/>
      <c r="II774" s="3"/>
      <c r="IJ774" s="3"/>
      <c r="IK774" s="3"/>
      <c r="IL774" s="3"/>
      <c r="IM774" s="3"/>
      <c r="IN774" s="3"/>
      <c r="IO774" s="3"/>
      <c r="IP774" s="3"/>
      <c r="IQ774" s="3"/>
      <c r="IR774" s="3"/>
      <c r="IS774" s="3"/>
      <c r="IT774" s="3"/>
      <c r="IU774" s="3"/>
      <c r="IV774" s="3"/>
      <c r="IW774" s="3"/>
      <c r="IX774" s="3"/>
      <c r="IY774" s="3"/>
    </row>
    <row r="775" spans="1:259" ht="13.2" x14ac:dyDescent="0.25">
      <c r="A775" s="10"/>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c r="HX775" s="3"/>
      <c r="HY775" s="3"/>
      <c r="HZ775" s="3"/>
      <c r="IA775" s="3"/>
      <c r="IB775" s="3"/>
      <c r="IC775" s="3"/>
      <c r="ID775" s="3"/>
      <c r="IE775" s="3"/>
      <c r="IF775" s="3"/>
      <c r="IG775" s="3"/>
      <c r="IH775" s="3"/>
      <c r="II775" s="3"/>
      <c r="IJ775" s="3"/>
      <c r="IK775" s="3"/>
      <c r="IL775" s="3"/>
      <c r="IM775" s="3"/>
      <c r="IN775" s="3"/>
      <c r="IO775" s="3"/>
      <c r="IP775" s="3"/>
      <c r="IQ775" s="3"/>
      <c r="IR775" s="3"/>
      <c r="IS775" s="3"/>
      <c r="IT775" s="3"/>
      <c r="IU775" s="3"/>
      <c r="IV775" s="3"/>
      <c r="IW775" s="3"/>
      <c r="IX775" s="3"/>
      <c r="IY775" s="3"/>
    </row>
    <row r="776" spans="1:259" ht="13.2" x14ac:dyDescent="0.25">
      <c r="A776" s="10"/>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c r="HX776" s="3"/>
      <c r="HY776" s="3"/>
      <c r="HZ776" s="3"/>
      <c r="IA776" s="3"/>
      <c r="IB776" s="3"/>
      <c r="IC776" s="3"/>
      <c r="ID776" s="3"/>
      <c r="IE776" s="3"/>
      <c r="IF776" s="3"/>
      <c r="IG776" s="3"/>
      <c r="IH776" s="3"/>
      <c r="II776" s="3"/>
      <c r="IJ776" s="3"/>
      <c r="IK776" s="3"/>
      <c r="IL776" s="3"/>
      <c r="IM776" s="3"/>
      <c r="IN776" s="3"/>
      <c r="IO776" s="3"/>
      <c r="IP776" s="3"/>
      <c r="IQ776" s="3"/>
      <c r="IR776" s="3"/>
      <c r="IS776" s="3"/>
      <c r="IT776" s="3"/>
      <c r="IU776" s="3"/>
      <c r="IV776" s="3"/>
      <c r="IW776" s="3"/>
      <c r="IX776" s="3"/>
      <c r="IY776" s="3"/>
    </row>
    <row r="777" spans="1:259" ht="13.2" x14ac:dyDescent="0.25">
      <c r="A777" s="10"/>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c r="HX777" s="3"/>
      <c r="HY777" s="3"/>
      <c r="HZ777" s="3"/>
      <c r="IA777" s="3"/>
      <c r="IB777" s="3"/>
      <c r="IC777" s="3"/>
      <c r="ID777" s="3"/>
      <c r="IE777" s="3"/>
      <c r="IF777" s="3"/>
      <c r="IG777" s="3"/>
      <c r="IH777" s="3"/>
      <c r="II777" s="3"/>
      <c r="IJ777" s="3"/>
      <c r="IK777" s="3"/>
      <c r="IL777" s="3"/>
      <c r="IM777" s="3"/>
      <c r="IN777" s="3"/>
      <c r="IO777" s="3"/>
      <c r="IP777" s="3"/>
      <c r="IQ777" s="3"/>
      <c r="IR777" s="3"/>
      <c r="IS777" s="3"/>
      <c r="IT777" s="3"/>
      <c r="IU777" s="3"/>
      <c r="IV777" s="3"/>
      <c r="IW777" s="3"/>
      <c r="IX777" s="3"/>
      <c r="IY777" s="3"/>
    </row>
    <row r="778" spans="1:259" ht="13.2" x14ac:dyDescent="0.25">
      <c r="A778" s="10"/>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c r="HX778" s="3"/>
      <c r="HY778" s="3"/>
      <c r="HZ778" s="3"/>
      <c r="IA778" s="3"/>
      <c r="IB778" s="3"/>
      <c r="IC778" s="3"/>
      <c r="ID778" s="3"/>
      <c r="IE778" s="3"/>
      <c r="IF778" s="3"/>
      <c r="IG778" s="3"/>
      <c r="IH778" s="3"/>
      <c r="II778" s="3"/>
      <c r="IJ778" s="3"/>
      <c r="IK778" s="3"/>
      <c r="IL778" s="3"/>
      <c r="IM778" s="3"/>
      <c r="IN778" s="3"/>
      <c r="IO778" s="3"/>
      <c r="IP778" s="3"/>
      <c r="IQ778" s="3"/>
      <c r="IR778" s="3"/>
      <c r="IS778" s="3"/>
      <c r="IT778" s="3"/>
      <c r="IU778" s="3"/>
      <c r="IV778" s="3"/>
      <c r="IW778" s="3"/>
      <c r="IX778" s="3"/>
      <c r="IY778" s="3"/>
    </row>
    <row r="779" spans="1:259" ht="13.2" x14ac:dyDescent="0.25">
      <c r="A779" s="10"/>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c r="HX779" s="3"/>
      <c r="HY779" s="3"/>
      <c r="HZ779" s="3"/>
      <c r="IA779" s="3"/>
      <c r="IB779" s="3"/>
      <c r="IC779" s="3"/>
      <c r="ID779" s="3"/>
      <c r="IE779" s="3"/>
      <c r="IF779" s="3"/>
      <c r="IG779" s="3"/>
      <c r="IH779" s="3"/>
      <c r="II779" s="3"/>
      <c r="IJ779" s="3"/>
      <c r="IK779" s="3"/>
      <c r="IL779" s="3"/>
      <c r="IM779" s="3"/>
      <c r="IN779" s="3"/>
      <c r="IO779" s="3"/>
      <c r="IP779" s="3"/>
      <c r="IQ779" s="3"/>
      <c r="IR779" s="3"/>
      <c r="IS779" s="3"/>
      <c r="IT779" s="3"/>
      <c r="IU779" s="3"/>
      <c r="IV779" s="3"/>
      <c r="IW779" s="3"/>
      <c r="IX779" s="3"/>
      <c r="IY779" s="3"/>
    </row>
    <row r="780" spans="1:259" ht="13.2" x14ac:dyDescent="0.25">
      <c r="A780" s="10"/>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c r="HX780" s="3"/>
      <c r="HY780" s="3"/>
      <c r="HZ780" s="3"/>
      <c r="IA780" s="3"/>
      <c r="IB780" s="3"/>
      <c r="IC780" s="3"/>
      <c r="ID780" s="3"/>
      <c r="IE780" s="3"/>
      <c r="IF780" s="3"/>
      <c r="IG780" s="3"/>
      <c r="IH780" s="3"/>
      <c r="II780" s="3"/>
      <c r="IJ780" s="3"/>
      <c r="IK780" s="3"/>
      <c r="IL780" s="3"/>
      <c r="IM780" s="3"/>
      <c r="IN780" s="3"/>
      <c r="IO780" s="3"/>
      <c r="IP780" s="3"/>
      <c r="IQ780" s="3"/>
      <c r="IR780" s="3"/>
      <c r="IS780" s="3"/>
      <c r="IT780" s="3"/>
      <c r="IU780" s="3"/>
      <c r="IV780" s="3"/>
      <c r="IW780" s="3"/>
      <c r="IX780" s="3"/>
      <c r="IY780" s="3"/>
    </row>
    <row r="781" spans="1:259" ht="13.2" x14ac:dyDescent="0.25">
      <c r="A781" s="10"/>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c r="HX781" s="3"/>
      <c r="HY781" s="3"/>
      <c r="HZ781" s="3"/>
      <c r="IA781" s="3"/>
      <c r="IB781" s="3"/>
      <c r="IC781" s="3"/>
      <c r="ID781" s="3"/>
      <c r="IE781" s="3"/>
      <c r="IF781" s="3"/>
      <c r="IG781" s="3"/>
      <c r="IH781" s="3"/>
      <c r="II781" s="3"/>
      <c r="IJ781" s="3"/>
      <c r="IK781" s="3"/>
      <c r="IL781" s="3"/>
      <c r="IM781" s="3"/>
      <c r="IN781" s="3"/>
      <c r="IO781" s="3"/>
      <c r="IP781" s="3"/>
      <c r="IQ781" s="3"/>
      <c r="IR781" s="3"/>
      <c r="IS781" s="3"/>
      <c r="IT781" s="3"/>
      <c r="IU781" s="3"/>
      <c r="IV781" s="3"/>
      <c r="IW781" s="3"/>
      <c r="IX781" s="3"/>
      <c r="IY781" s="3"/>
    </row>
    <row r="782" spans="1:259" ht="13.2" x14ac:dyDescent="0.25">
      <c r="A782" s="10"/>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c r="HX782" s="3"/>
      <c r="HY782" s="3"/>
      <c r="HZ782" s="3"/>
      <c r="IA782" s="3"/>
      <c r="IB782" s="3"/>
      <c r="IC782" s="3"/>
      <c r="ID782" s="3"/>
      <c r="IE782" s="3"/>
      <c r="IF782" s="3"/>
      <c r="IG782" s="3"/>
      <c r="IH782" s="3"/>
      <c r="II782" s="3"/>
      <c r="IJ782" s="3"/>
      <c r="IK782" s="3"/>
      <c r="IL782" s="3"/>
      <c r="IM782" s="3"/>
      <c r="IN782" s="3"/>
      <c r="IO782" s="3"/>
      <c r="IP782" s="3"/>
      <c r="IQ782" s="3"/>
      <c r="IR782" s="3"/>
      <c r="IS782" s="3"/>
      <c r="IT782" s="3"/>
      <c r="IU782" s="3"/>
      <c r="IV782" s="3"/>
      <c r="IW782" s="3"/>
      <c r="IX782" s="3"/>
      <c r="IY782" s="3"/>
    </row>
    <row r="783" spans="1:259" ht="13.2" x14ac:dyDescent="0.25">
      <c r="A783" s="10"/>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c r="HX783" s="3"/>
      <c r="HY783" s="3"/>
      <c r="HZ783" s="3"/>
      <c r="IA783" s="3"/>
      <c r="IB783" s="3"/>
      <c r="IC783" s="3"/>
      <c r="ID783" s="3"/>
      <c r="IE783" s="3"/>
      <c r="IF783" s="3"/>
      <c r="IG783" s="3"/>
      <c r="IH783" s="3"/>
      <c r="II783" s="3"/>
      <c r="IJ783" s="3"/>
      <c r="IK783" s="3"/>
      <c r="IL783" s="3"/>
      <c r="IM783" s="3"/>
      <c r="IN783" s="3"/>
      <c r="IO783" s="3"/>
      <c r="IP783" s="3"/>
      <c r="IQ783" s="3"/>
      <c r="IR783" s="3"/>
      <c r="IS783" s="3"/>
      <c r="IT783" s="3"/>
      <c r="IU783" s="3"/>
      <c r="IV783" s="3"/>
      <c r="IW783" s="3"/>
      <c r="IX783" s="3"/>
      <c r="IY783" s="3"/>
    </row>
    <row r="784" spans="1:259" ht="13.2" x14ac:dyDescent="0.25">
      <c r="A784" s="10"/>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c r="HX784" s="3"/>
      <c r="HY784" s="3"/>
      <c r="HZ784" s="3"/>
      <c r="IA784" s="3"/>
      <c r="IB784" s="3"/>
      <c r="IC784" s="3"/>
      <c r="ID784" s="3"/>
      <c r="IE784" s="3"/>
      <c r="IF784" s="3"/>
      <c r="IG784" s="3"/>
      <c r="IH784" s="3"/>
      <c r="II784" s="3"/>
      <c r="IJ784" s="3"/>
      <c r="IK784" s="3"/>
      <c r="IL784" s="3"/>
      <c r="IM784" s="3"/>
      <c r="IN784" s="3"/>
      <c r="IO784" s="3"/>
      <c r="IP784" s="3"/>
      <c r="IQ784" s="3"/>
      <c r="IR784" s="3"/>
      <c r="IS784" s="3"/>
      <c r="IT784" s="3"/>
      <c r="IU784" s="3"/>
      <c r="IV784" s="3"/>
      <c r="IW784" s="3"/>
      <c r="IX784" s="3"/>
      <c r="IY784" s="3"/>
    </row>
    <row r="785" spans="1:259" ht="13.2" x14ac:dyDescent="0.25">
      <c r="A785" s="10"/>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c r="HX785" s="3"/>
      <c r="HY785" s="3"/>
      <c r="HZ785" s="3"/>
      <c r="IA785" s="3"/>
      <c r="IB785" s="3"/>
      <c r="IC785" s="3"/>
      <c r="ID785" s="3"/>
      <c r="IE785" s="3"/>
      <c r="IF785" s="3"/>
      <c r="IG785" s="3"/>
      <c r="IH785" s="3"/>
      <c r="II785" s="3"/>
      <c r="IJ785" s="3"/>
      <c r="IK785" s="3"/>
      <c r="IL785" s="3"/>
      <c r="IM785" s="3"/>
      <c r="IN785" s="3"/>
      <c r="IO785" s="3"/>
      <c r="IP785" s="3"/>
      <c r="IQ785" s="3"/>
      <c r="IR785" s="3"/>
      <c r="IS785" s="3"/>
      <c r="IT785" s="3"/>
      <c r="IU785" s="3"/>
      <c r="IV785" s="3"/>
      <c r="IW785" s="3"/>
      <c r="IX785" s="3"/>
      <c r="IY785" s="3"/>
    </row>
    <row r="786" spans="1:259" ht="13.2" x14ac:dyDescent="0.25">
      <c r="A786" s="10"/>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c r="HX786" s="3"/>
      <c r="HY786" s="3"/>
      <c r="HZ786" s="3"/>
      <c r="IA786" s="3"/>
      <c r="IB786" s="3"/>
      <c r="IC786" s="3"/>
      <c r="ID786" s="3"/>
      <c r="IE786" s="3"/>
      <c r="IF786" s="3"/>
      <c r="IG786" s="3"/>
      <c r="IH786" s="3"/>
      <c r="II786" s="3"/>
      <c r="IJ786" s="3"/>
      <c r="IK786" s="3"/>
      <c r="IL786" s="3"/>
      <c r="IM786" s="3"/>
      <c r="IN786" s="3"/>
      <c r="IO786" s="3"/>
      <c r="IP786" s="3"/>
      <c r="IQ786" s="3"/>
      <c r="IR786" s="3"/>
      <c r="IS786" s="3"/>
      <c r="IT786" s="3"/>
      <c r="IU786" s="3"/>
      <c r="IV786" s="3"/>
      <c r="IW786" s="3"/>
      <c r="IX786" s="3"/>
      <c r="IY786" s="3"/>
    </row>
    <row r="787" spans="1:259" ht="13.2" x14ac:dyDescent="0.25">
      <c r="A787" s="10"/>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c r="HX787" s="3"/>
      <c r="HY787" s="3"/>
      <c r="HZ787" s="3"/>
      <c r="IA787" s="3"/>
      <c r="IB787" s="3"/>
      <c r="IC787" s="3"/>
      <c r="ID787" s="3"/>
      <c r="IE787" s="3"/>
      <c r="IF787" s="3"/>
      <c r="IG787" s="3"/>
      <c r="IH787" s="3"/>
      <c r="II787" s="3"/>
      <c r="IJ787" s="3"/>
      <c r="IK787" s="3"/>
      <c r="IL787" s="3"/>
      <c r="IM787" s="3"/>
      <c r="IN787" s="3"/>
      <c r="IO787" s="3"/>
      <c r="IP787" s="3"/>
      <c r="IQ787" s="3"/>
      <c r="IR787" s="3"/>
      <c r="IS787" s="3"/>
      <c r="IT787" s="3"/>
      <c r="IU787" s="3"/>
      <c r="IV787" s="3"/>
      <c r="IW787" s="3"/>
      <c r="IX787" s="3"/>
      <c r="IY787" s="3"/>
    </row>
    <row r="788" spans="1:259" ht="13.2" x14ac:dyDescent="0.25">
      <c r="A788" s="10"/>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c r="HX788" s="3"/>
      <c r="HY788" s="3"/>
      <c r="HZ788" s="3"/>
      <c r="IA788" s="3"/>
      <c r="IB788" s="3"/>
      <c r="IC788" s="3"/>
      <c r="ID788" s="3"/>
      <c r="IE788" s="3"/>
      <c r="IF788" s="3"/>
      <c r="IG788" s="3"/>
      <c r="IH788" s="3"/>
      <c r="II788" s="3"/>
      <c r="IJ788" s="3"/>
      <c r="IK788" s="3"/>
      <c r="IL788" s="3"/>
      <c r="IM788" s="3"/>
      <c r="IN788" s="3"/>
      <c r="IO788" s="3"/>
      <c r="IP788" s="3"/>
      <c r="IQ788" s="3"/>
      <c r="IR788" s="3"/>
      <c r="IS788" s="3"/>
      <c r="IT788" s="3"/>
      <c r="IU788" s="3"/>
      <c r="IV788" s="3"/>
      <c r="IW788" s="3"/>
      <c r="IX788" s="3"/>
      <c r="IY788" s="3"/>
    </row>
    <row r="789" spans="1:259" ht="13.2" x14ac:dyDescent="0.25">
      <c r="A789" s="10"/>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c r="HX789" s="3"/>
      <c r="HY789" s="3"/>
      <c r="HZ789" s="3"/>
      <c r="IA789" s="3"/>
      <c r="IB789" s="3"/>
      <c r="IC789" s="3"/>
      <c r="ID789" s="3"/>
      <c r="IE789" s="3"/>
      <c r="IF789" s="3"/>
      <c r="IG789" s="3"/>
      <c r="IH789" s="3"/>
      <c r="II789" s="3"/>
      <c r="IJ789" s="3"/>
      <c r="IK789" s="3"/>
      <c r="IL789" s="3"/>
      <c r="IM789" s="3"/>
      <c r="IN789" s="3"/>
      <c r="IO789" s="3"/>
      <c r="IP789" s="3"/>
      <c r="IQ789" s="3"/>
      <c r="IR789" s="3"/>
      <c r="IS789" s="3"/>
      <c r="IT789" s="3"/>
      <c r="IU789" s="3"/>
      <c r="IV789" s="3"/>
      <c r="IW789" s="3"/>
      <c r="IX789" s="3"/>
      <c r="IY789" s="3"/>
    </row>
    <row r="790" spans="1:259" ht="13.2" x14ac:dyDescent="0.25">
      <c r="A790" s="10"/>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c r="HX790" s="3"/>
      <c r="HY790" s="3"/>
      <c r="HZ790" s="3"/>
      <c r="IA790" s="3"/>
      <c r="IB790" s="3"/>
      <c r="IC790" s="3"/>
      <c r="ID790" s="3"/>
      <c r="IE790" s="3"/>
      <c r="IF790" s="3"/>
      <c r="IG790" s="3"/>
      <c r="IH790" s="3"/>
      <c r="II790" s="3"/>
      <c r="IJ790" s="3"/>
      <c r="IK790" s="3"/>
      <c r="IL790" s="3"/>
      <c r="IM790" s="3"/>
      <c r="IN790" s="3"/>
      <c r="IO790" s="3"/>
      <c r="IP790" s="3"/>
      <c r="IQ790" s="3"/>
      <c r="IR790" s="3"/>
      <c r="IS790" s="3"/>
      <c r="IT790" s="3"/>
      <c r="IU790" s="3"/>
      <c r="IV790" s="3"/>
      <c r="IW790" s="3"/>
      <c r="IX790" s="3"/>
      <c r="IY790" s="3"/>
    </row>
    <row r="791" spans="1:259" ht="13.2" x14ac:dyDescent="0.25">
      <c r="A791" s="10"/>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c r="HX791" s="3"/>
      <c r="HY791" s="3"/>
      <c r="HZ791" s="3"/>
      <c r="IA791" s="3"/>
      <c r="IB791" s="3"/>
      <c r="IC791" s="3"/>
      <c r="ID791" s="3"/>
      <c r="IE791" s="3"/>
      <c r="IF791" s="3"/>
      <c r="IG791" s="3"/>
      <c r="IH791" s="3"/>
      <c r="II791" s="3"/>
      <c r="IJ791" s="3"/>
      <c r="IK791" s="3"/>
      <c r="IL791" s="3"/>
      <c r="IM791" s="3"/>
      <c r="IN791" s="3"/>
      <c r="IO791" s="3"/>
      <c r="IP791" s="3"/>
      <c r="IQ791" s="3"/>
      <c r="IR791" s="3"/>
      <c r="IS791" s="3"/>
      <c r="IT791" s="3"/>
      <c r="IU791" s="3"/>
      <c r="IV791" s="3"/>
      <c r="IW791" s="3"/>
      <c r="IX791" s="3"/>
      <c r="IY791" s="3"/>
    </row>
    <row r="792" spans="1:259" ht="13.2" x14ac:dyDescent="0.25">
      <c r="A792" s="10"/>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c r="HX792" s="3"/>
      <c r="HY792" s="3"/>
      <c r="HZ792" s="3"/>
      <c r="IA792" s="3"/>
      <c r="IB792" s="3"/>
      <c r="IC792" s="3"/>
      <c r="ID792" s="3"/>
      <c r="IE792" s="3"/>
      <c r="IF792" s="3"/>
      <c r="IG792" s="3"/>
      <c r="IH792" s="3"/>
      <c r="II792" s="3"/>
      <c r="IJ792" s="3"/>
      <c r="IK792" s="3"/>
      <c r="IL792" s="3"/>
      <c r="IM792" s="3"/>
      <c r="IN792" s="3"/>
      <c r="IO792" s="3"/>
      <c r="IP792" s="3"/>
      <c r="IQ792" s="3"/>
      <c r="IR792" s="3"/>
      <c r="IS792" s="3"/>
      <c r="IT792" s="3"/>
      <c r="IU792" s="3"/>
      <c r="IV792" s="3"/>
      <c r="IW792" s="3"/>
      <c r="IX792" s="3"/>
      <c r="IY792" s="3"/>
    </row>
    <row r="793" spans="1:259" ht="13.2" x14ac:dyDescent="0.25">
      <c r="A793" s="10"/>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c r="HX793" s="3"/>
      <c r="HY793" s="3"/>
      <c r="HZ793" s="3"/>
      <c r="IA793" s="3"/>
      <c r="IB793" s="3"/>
      <c r="IC793" s="3"/>
      <c r="ID793" s="3"/>
      <c r="IE793" s="3"/>
      <c r="IF793" s="3"/>
      <c r="IG793" s="3"/>
      <c r="IH793" s="3"/>
      <c r="II793" s="3"/>
      <c r="IJ793" s="3"/>
      <c r="IK793" s="3"/>
      <c r="IL793" s="3"/>
      <c r="IM793" s="3"/>
      <c r="IN793" s="3"/>
      <c r="IO793" s="3"/>
      <c r="IP793" s="3"/>
      <c r="IQ793" s="3"/>
      <c r="IR793" s="3"/>
      <c r="IS793" s="3"/>
      <c r="IT793" s="3"/>
      <c r="IU793" s="3"/>
      <c r="IV793" s="3"/>
      <c r="IW793" s="3"/>
      <c r="IX793" s="3"/>
      <c r="IY793" s="3"/>
    </row>
    <row r="794" spans="1:259" ht="13.2" x14ac:dyDescent="0.25">
      <c r="A794" s="10"/>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c r="HX794" s="3"/>
      <c r="HY794" s="3"/>
      <c r="HZ794" s="3"/>
      <c r="IA794" s="3"/>
      <c r="IB794" s="3"/>
      <c r="IC794" s="3"/>
      <c r="ID794" s="3"/>
      <c r="IE794" s="3"/>
      <c r="IF794" s="3"/>
      <c r="IG794" s="3"/>
      <c r="IH794" s="3"/>
      <c r="II794" s="3"/>
      <c r="IJ794" s="3"/>
      <c r="IK794" s="3"/>
      <c r="IL794" s="3"/>
      <c r="IM794" s="3"/>
      <c r="IN794" s="3"/>
      <c r="IO794" s="3"/>
      <c r="IP794" s="3"/>
      <c r="IQ794" s="3"/>
      <c r="IR794" s="3"/>
      <c r="IS794" s="3"/>
      <c r="IT794" s="3"/>
      <c r="IU794" s="3"/>
      <c r="IV794" s="3"/>
      <c r="IW794" s="3"/>
      <c r="IX794" s="3"/>
      <c r="IY794" s="3"/>
    </row>
    <row r="795" spans="1:259" ht="13.2" x14ac:dyDescent="0.25">
      <c r="A795" s="10"/>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c r="HX795" s="3"/>
      <c r="HY795" s="3"/>
      <c r="HZ795" s="3"/>
      <c r="IA795" s="3"/>
      <c r="IB795" s="3"/>
      <c r="IC795" s="3"/>
      <c r="ID795" s="3"/>
      <c r="IE795" s="3"/>
      <c r="IF795" s="3"/>
      <c r="IG795" s="3"/>
      <c r="IH795" s="3"/>
      <c r="II795" s="3"/>
      <c r="IJ795" s="3"/>
      <c r="IK795" s="3"/>
      <c r="IL795" s="3"/>
      <c r="IM795" s="3"/>
      <c r="IN795" s="3"/>
      <c r="IO795" s="3"/>
      <c r="IP795" s="3"/>
      <c r="IQ795" s="3"/>
      <c r="IR795" s="3"/>
      <c r="IS795" s="3"/>
      <c r="IT795" s="3"/>
      <c r="IU795" s="3"/>
      <c r="IV795" s="3"/>
      <c r="IW795" s="3"/>
      <c r="IX795" s="3"/>
      <c r="IY795" s="3"/>
    </row>
    <row r="796" spans="1:259" ht="13.2" x14ac:dyDescent="0.25">
      <c r="A796" s="10"/>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c r="HX796" s="3"/>
      <c r="HY796" s="3"/>
      <c r="HZ796" s="3"/>
      <c r="IA796" s="3"/>
      <c r="IB796" s="3"/>
      <c r="IC796" s="3"/>
      <c r="ID796" s="3"/>
      <c r="IE796" s="3"/>
      <c r="IF796" s="3"/>
      <c r="IG796" s="3"/>
      <c r="IH796" s="3"/>
      <c r="II796" s="3"/>
      <c r="IJ796" s="3"/>
      <c r="IK796" s="3"/>
      <c r="IL796" s="3"/>
      <c r="IM796" s="3"/>
      <c r="IN796" s="3"/>
      <c r="IO796" s="3"/>
      <c r="IP796" s="3"/>
      <c r="IQ796" s="3"/>
      <c r="IR796" s="3"/>
      <c r="IS796" s="3"/>
      <c r="IT796" s="3"/>
      <c r="IU796" s="3"/>
      <c r="IV796" s="3"/>
      <c r="IW796" s="3"/>
      <c r="IX796" s="3"/>
      <c r="IY796" s="3"/>
    </row>
    <row r="797" spans="1:259" ht="13.2" x14ac:dyDescent="0.25">
      <c r="A797" s="10"/>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c r="HX797" s="3"/>
      <c r="HY797" s="3"/>
      <c r="HZ797" s="3"/>
      <c r="IA797" s="3"/>
      <c r="IB797" s="3"/>
      <c r="IC797" s="3"/>
      <c r="ID797" s="3"/>
      <c r="IE797" s="3"/>
      <c r="IF797" s="3"/>
      <c r="IG797" s="3"/>
      <c r="IH797" s="3"/>
      <c r="II797" s="3"/>
      <c r="IJ797" s="3"/>
      <c r="IK797" s="3"/>
      <c r="IL797" s="3"/>
      <c r="IM797" s="3"/>
      <c r="IN797" s="3"/>
      <c r="IO797" s="3"/>
      <c r="IP797" s="3"/>
      <c r="IQ797" s="3"/>
      <c r="IR797" s="3"/>
      <c r="IS797" s="3"/>
      <c r="IT797" s="3"/>
      <c r="IU797" s="3"/>
      <c r="IV797" s="3"/>
      <c r="IW797" s="3"/>
      <c r="IX797" s="3"/>
      <c r="IY797" s="3"/>
    </row>
    <row r="798" spans="1:259" ht="13.2" x14ac:dyDescent="0.25">
      <c r="A798" s="10"/>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c r="HX798" s="3"/>
      <c r="HY798" s="3"/>
      <c r="HZ798" s="3"/>
      <c r="IA798" s="3"/>
      <c r="IB798" s="3"/>
      <c r="IC798" s="3"/>
      <c r="ID798" s="3"/>
      <c r="IE798" s="3"/>
      <c r="IF798" s="3"/>
      <c r="IG798" s="3"/>
      <c r="IH798" s="3"/>
      <c r="II798" s="3"/>
      <c r="IJ798" s="3"/>
      <c r="IK798" s="3"/>
      <c r="IL798" s="3"/>
      <c r="IM798" s="3"/>
      <c r="IN798" s="3"/>
      <c r="IO798" s="3"/>
      <c r="IP798" s="3"/>
      <c r="IQ798" s="3"/>
      <c r="IR798" s="3"/>
      <c r="IS798" s="3"/>
      <c r="IT798" s="3"/>
      <c r="IU798" s="3"/>
      <c r="IV798" s="3"/>
      <c r="IW798" s="3"/>
      <c r="IX798" s="3"/>
      <c r="IY798" s="3"/>
    </row>
    <row r="799" spans="1:259" ht="13.2" x14ac:dyDescent="0.25">
      <c r="A799" s="10"/>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c r="HX799" s="3"/>
      <c r="HY799" s="3"/>
      <c r="HZ799" s="3"/>
      <c r="IA799" s="3"/>
      <c r="IB799" s="3"/>
      <c r="IC799" s="3"/>
      <c r="ID799" s="3"/>
      <c r="IE799" s="3"/>
      <c r="IF799" s="3"/>
      <c r="IG799" s="3"/>
      <c r="IH799" s="3"/>
      <c r="II799" s="3"/>
      <c r="IJ799" s="3"/>
      <c r="IK799" s="3"/>
      <c r="IL799" s="3"/>
      <c r="IM799" s="3"/>
      <c r="IN799" s="3"/>
      <c r="IO799" s="3"/>
      <c r="IP799" s="3"/>
      <c r="IQ799" s="3"/>
      <c r="IR799" s="3"/>
      <c r="IS799" s="3"/>
      <c r="IT799" s="3"/>
      <c r="IU799" s="3"/>
      <c r="IV799" s="3"/>
      <c r="IW799" s="3"/>
      <c r="IX799" s="3"/>
      <c r="IY799" s="3"/>
    </row>
    <row r="800" spans="1:259" ht="13.2" x14ac:dyDescent="0.25">
      <c r="A800" s="10"/>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c r="HX800" s="3"/>
      <c r="HY800" s="3"/>
      <c r="HZ800" s="3"/>
      <c r="IA800" s="3"/>
      <c r="IB800" s="3"/>
      <c r="IC800" s="3"/>
      <c r="ID800" s="3"/>
      <c r="IE800" s="3"/>
      <c r="IF800" s="3"/>
      <c r="IG800" s="3"/>
      <c r="IH800" s="3"/>
      <c r="II800" s="3"/>
      <c r="IJ800" s="3"/>
      <c r="IK800" s="3"/>
      <c r="IL800" s="3"/>
      <c r="IM800" s="3"/>
      <c r="IN800" s="3"/>
      <c r="IO800" s="3"/>
      <c r="IP800" s="3"/>
      <c r="IQ800" s="3"/>
      <c r="IR800" s="3"/>
      <c r="IS800" s="3"/>
      <c r="IT800" s="3"/>
      <c r="IU800" s="3"/>
      <c r="IV800" s="3"/>
      <c r="IW800" s="3"/>
      <c r="IX800" s="3"/>
      <c r="IY800" s="3"/>
    </row>
    <row r="801" spans="1:259" ht="13.2" x14ac:dyDescent="0.25">
      <c r="A801" s="10"/>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c r="HX801" s="3"/>
      <c r="HY801" s="3"/>
      <c r="HZ801" s="3"/>
      <c r="IA801" s="3"/>
      <c r="IB801" s="3"/>
      <c r="IC801" s="3"/>
      <c r="ID801" s="3"/>
      <c r="IE801" s="3"/>
      <c r="IF801" s="3"/>
      <c r="IG801" s="3"/>
      <c r="IH801" s="3"/>
      <c r="II801" s="3"/>
      <c r="IJ801" s="3"/>
      <c r="IK801" s="3"/>
      <c r="IL801" s="3"/>
      <c r="IM801" s="3"/>
      <c r="IN801" s="3"/>
      <c r="IO801" s="3"/>
      <c r="IP801" s="3"/>
      <c r="IQ801" s="3"/>
      <c r="IR801" s="3"/>
      <c r="IS801" s="3"/>
      <c r="IT801" s="3"/>
      <c r="IU801" s="3"/>
      <c r="IV801" s="3"/>
      <c r="IW801" s="3"/>
      <c r="IX801" s="3"/>
      <c r="IY801" s="3"/>
    </row>
    <row r="802" spans="1:259" ht="13.2" x14ac:dyDescent="0.25">
      <c r="A802" s="10"/>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c r="HX802" s="3"/>
      <c r="HY802" s="3"/>
      <c r="HZ802" s="3"/>
      <c r="IA802" s="3"/>
      <c r="IB802" s="3"/>
      <c r="IC802" s="3"/>
      <c r="ID802" s="3"/>
      <c r="IE802" s="3"/>
      <c r="IF802" s="3"/>
      <c r="IG802" s="3"/>
      <c r="IH802" s="3"/>
      <c r="II802" s="3"/>
      <c r="IJ802" s="3"/>
      <c r="IK802" s="3"/>
      <c r="IL802" s="3"/>
      <c r="IM802" s="3"/>
      <c r="IN802" s="3"/>
      <c r="IO802" s="3"/>
      <c r="IP802" s="3"/>
      <c r="IQ802" s="3"/>
      <c r="IR802" s="3"/>
      <c r="IS802" s="3"/>
      <c r="IT802" s="3"/>
      <c r="IU802" s="3"/>
      <c r="IV802" s="3"/>
      <c r="IW802" s="3"/>
      <c r="IX802" s="3"/>
      <c r="IY802" s="3"/>
    </row>
    <row r="803" spans="1:259" ht="13.2" x14ac:dyDescent="0.25">
      <c r="A803" s="10"/>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c r="HX803" s="3"/>
      <c r="HY803" s="3"/>
      <c r="HZ803" s="3"/>
      <c r="IA803" s="3"/>
      <c r="IB803" s="3"/>
      <c r="IC803" s="3"/>
      <c r="ID803" s="3"/>
      <c r="IE803" s="3"/>
      <c r="IF803" s="3"/>
      <c r="IG803" s="3"/>
      <c r="IH803" s="3"/>
      <c r="II803" s="3"/>
      <c r="IJ803" s="3"/>
      <c r="IK803" s="3"/>
      <c r="IL803" s="3"/>
      <c r="IM803" s="3"/>
      <c r="IN803" s="3"/>
      <c r="IO803" s="3"/>
      <c r="IP803" s="3"/>
      <c r="IQ803" s="3"/>
      <c r="IR803" s="3"/>
      <c r="IS803" s="3"/>
      <c r="IT803" s="3"/>
      <c r="IU803" s="3"/>
      <c r="IV803" s="3"/>
      <c r="IW803" s="3"/>
      <c r="IX803" s="3"/>
      <c r="IY803" s="3"/>
    </row>
    <row r="804" spans="1:259" ht="13.2" x14ac:dyDescent="0.25">
      <c r="A804" s="10"/>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c r="HX804" s="3"/>
      <c r="HY804" s="3"/>
      <c r="HZ804" s="3"/>
      <c r="IA804" s="3"/>
      <c r="IB804" s="3"/>
      <c r="IC804" s="3"/>
      <c r="ID804" s="3"/>
      <c r="IE804" s="3"/>
      <c r="IF804" s="3"/>
      <c r="IG804" s="3"/>
      <c r="IH804" s="3"/>
      <c r="II804" s="3"/>
      <c r="IJ804" s="3"/>
      <c r="IK804" s="3"/>
      <c r="IL804" s="3"/>
      <c r="IM804" s="3"/>
      <c r="IN804" s="3"/>
      <c r="IO804" s="3"/>
      <c r="IP804" s="3"/>
      <c r="IQ804" s="3"/>
      <c r="IR804" s="3"/>
      <c r="IS804" s="3"/>
      <c r="IT804" s="3"/>
      <c r="IU804" s="3"/>
      <c r="IV804" s="3"/>
      <c r="IW804" s="3"/>
      <c r="IX804" s="3"/>
      <c r="IY804" s="3"/>
    </row>
    <row r="805" spans="1:259" ht="13.2" x14ac:dyDescent="0.25">
      <c r="A805" s="10"/>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c r="HX805" s="3"/>
      <c r="HY805" s="3"/>
      <c r="HZ805" s="3"/>
      <c r="IA805" s="3"/>
      <c r="IB805" s="3"/>
      <c r="IC805" s="3"/>
      <c r="ID805" s="3"/>
      <c r="IE805" s="3"/>
      <c r="IF805" s="3"/>
      <c r="IG805" s="3"/>
      <c r="IH805" s="3"/>
      <c r="II805" s="3"/>
      <c r="IJ805" s="3"/>
      <c r="IK805" s="3"/>
      <c r="IL805" s="3"/>
      <c r="IM805" s="3"/>
      <c r="IN805" s="3"/>
      <c r="IO805" s="3"/>
      <c r="IP805" s="3"/>
      <c r="IQ805" s="3"/>
      <c r="IR805" s="3"/>
      <c r="IS805" s="3"/>
      <c r="IT805" s="3"/>
      <c r="IU805" s="3"/>
      <c r="IV805" s="3"/>
      <c r="IW805" s="3"/>
      <c r="IX805" s="3"/>
      <c r="IY805" s="3"/>
    </row>
    <row r="806" spans="1:259" ht="13.2" x14ac:dyDescent="0.25">
      <c r="A806" s="10"/>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c r="HX806" s="3"/>
      <c r="HY806" s="3"/>
      <c r="HZ806" s="3"/>
      <c r="IA806" s="3"/>
      <c r="IB806" s="3"/>
      <c r="IC806" s="3"/>
      <c r="ID806" s="3"/>
      <c r="IE806" s="3"/>
      <c r="IF806" s="3"/>
      <c r="IG806" s="3"/>
      <c r="IH806" s="3"/>
      <c r="II806" s="3"/>
      <c r="IJ806" s="3"/>
      <c r="IK806" s="3"/>
      <c r="IL806" s="3"/>
      <c r="IM806" s="3"/>
      <c r="IN806" s="3"/>
      <c r="IO806" s="3"/>
      <c r="IP806" s="3"/>
      <c r="IQ806" s="3"/>
      <c r="IR806" s="3"/>
      <c r="IS806" s="3"/>
      <c r="IT806" s="3"/>
      <c r="IU806" s="3"/>
      <c r="IV806" s="3"/>
      <c r="IW806" s="3"/>
      <c r="IX806" s="3"/>
      <c r="IY806" s="3"/>
    </row>
    <row r="807" spans="1:259" ht="13.2" x14ac:dyDescent="0.25">
      <c r="A807" s="10"/>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c r="HX807" s="3"/>
      <c r="HY807" s="3"/>
      <c r="HZ807" s="3"/>
      <c r="IA807" s="3"/>
      <c r="IB807" s="3"/>
      <c r="IC807" s="3"/>
      <c r="ID807" s="3"/>
      <c r="IE807" s="3"/>
      <c r="IF807" s="3"/>
      <c r="IG807" s="3"/>
      <c r="IH807" s="3"/>
      <c r="II807" s="3"/>
      <c r="IJ807" s="3"/>
      <c r="IK807" s="3"/>
      <c r="IL807" s="3"/>
      <c r="IM807" s="3"/>
      <c r="IN807" s="3"/>
      <c r="IO807" s="3"/>
      <c r="IP807" s="3"/>
      <c r="IQ807" s="3"/>
      <c r="IR807" s="3"/>
      <c r="IS807" s="3"/>
      <c r="IT807" s="3"/>
      <c r="IU807" s="3"/>
      <c r="IV807" s="3"/>
      <c r="IW807" s="3"/>
      <c r="IX807" s="3"/>
      <c r="IY807" s="3"/>
    </row>
    <row r="808" spans="1:259" ht="13.2" x14ac:dyDescent="0.25">
      <c r="A808" s="10"/>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c r="HX808" s="3"/>
      <c r="HY808" s="3"/>
      <c r="HZ808" s="3"/>
      <c r="IA808" s="3"/>
      <c r="IB808" s="3"/>
      <c r="IC808" s="3"/>
      <c r="ID808" s="3"/>
      <c r="IE808" s="3"/>
      <c r="IF808" s="3"/>
      <c r="IG808" s="3"/>
      <c r="IH808" s="3"/>
      <c r="II808" s="3"/>
      <c r="IJ808" s="3"/>
      <c r="IK808" s="3"/>
      <c r="IL808" s="3"/>
      <c r="IM808" s="3"/>
      <c r="IN808" s="3"/>
      <c r="IO808" s="3"/>
      <c r="IP808" s="3"/>
      <c r="IQ808" s="3"/>
      <c r="IR808" s="3"/>
      <c r="IS808" s="3"/>
      <c r="IT808" s="3"/>
      <c r="IU808" s="3"/>
      <c r="IV808" s="3"/>
      <c r="IW808" s="3"/>
      <c r="IX808" s="3"/>
      <c r="IY808" s="3"/>
    </row>
    <row r="809" spans="1:259" ht="13.2" x14ac:dyDescent="0.25">
      <c r="A809" s="10"/>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c r="HX809" s="3"/>
      <c r="HY809" s="3"/>
      <c r="HZ809" s="3"/>
      <c r="IA809" s="3"/>
      <c r="IB809" s="3"/>
      <c r="IC809" s="3"/>
      <c r="ID809" s="3"/>
      <c r="IE809" s="3"/>
      <c r="IF809" s="3"/>
      <c r="IG809" s="3"/>
      <c r="IH809" s="3"/>
      <c r="II809" s="3"/>
      <c r="IJ809" s="3"/>
      <c r="IK809" s="3"/>
      <c r="IL809" s="3"/>
      <c r="IM809" s="3"/>
      <c r="IN809" s="3"/>
      <c r="IO809" s="3"/>
      <c r="IP809" s="3"/>
      <c r="IQ809" s="3"/>
      <c r="IR809" s="3"/>
      <c r="IS809" s="3"/>
      <c r="IT809" s="3"/>
      <c r="IU809" s="3"/>
      <c r="IV809" s="3"/>
      <c r="IW809" s="3"/>
      <c r="IX809" s="3"/>
      <c r="IY809" s="3"/>
    </row>
    <row r="810" spans="1:259" ht="13.2" x14ac:dyDescent="0.25">
      <c r="A810" s="10"/>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row>
    <row r="811" spans="1:259" ht="13.2" x14ac:dyDescent="0.25">
      <c r="A811" s="10"/>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c r="HX811" s="3"/>
      <c r="HY811" s="3"/>
      <c r="HZ811" s="3"/>
      <c r="IA811" s="3"/>
      <c r="IB811" s="3"/>
      <c r="IC811" s="3"/>
      <c r="ID811" s="3"/>
      <c r="IE811" s="3"/>
      <c r="IF811" s="3"/>
      <c r="IG811" s="3"/>
      <c r="IH811" s="3"/>
      <c r="II811" s="3"/>
      <c r="IJ811" s="3"/>
      <c r="IK811" s="3"/>
      <c r="IL811" s="3"/>
      <c r="IM811" s="3"/>
      <c r="IN811" s="3"/>
      <c r="IO811" s="3"/>
      <c r="IP811" s="3"/>
      <c r="IQ811" s="3"/>
      <c r="IR811" s="3"/>
      <c r="IS811" s="3"/>
      <c r="IT811" s="3"/>
      <c r="IU811" s="3"/>
      <c r="IV811" s="3"/>
      <c r="IW811" s="3"/>
      <c r="IX811" s="3"/>
      <c r="IY811" s="3"/>
    </row>
    <row r="812" spans="1:259" ht="13.2" x14ac:dyDescent="0.25">
      <c r="A812" s="10"/>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c r="HX812" s="3"/>
      <c r="HY812" s="3"/>
      <c r="HZ812" s="3"/>
      <c r="IA812" s="3"/>
      <c r="IB812" s="3"/>
      <c r="IC812" s="3"/>
      <c r="ID812" s="3"/>
      <c r="IE812" s="3"/>
      <c r="IF812" s="3"/>
      <c r="IG812" s="3"/>
      <c r="IH812" s="3"/>
      <c r="II812" s="3"/>
      <c r="IJ812" s="3"/>
      <c r="IK812" s="3"/>
      <c r="IL812" s="3"/>
      <c r="IM812" s="3"/>
      <c r="IN812" s="3"/>
      <c r="IO812" s="3"/>
      <c r="IP812" s="3"/>
      <c r="IQ812" s="3"/>
      <c r="IR812" s="3"/>
      <c r="IS812" s="3"/>
      <c r="IT812" s="3"/>
      <c r="IU812" s="3"/>
      <c r="IV812" s="3"/>
      <c r="IW812" s="3"/>
      <c r="IX812" s="3"/>
      <c r="IY812" s="3"/>
    </row>
    <row r="813" spans="1:259" ht="13.2" x14ac:dyDescent="0.25">
      <c r="A813" s="10"/>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c r="HX813" s="3"/>
      <c r="HY813" s="3"/>
      <c r="HZ813" s="3"/>
      <c r="IA813" s="3"/>
      <c r="IB813" s="3"/>
      <c r="IC813" s="3"/>
      <c r="ID813" s="3"/>
      <c r="IE813" s="3"/>
      <c r="IF813" s="3"/>
      <c r="IG813" s="3"/>
      <c r="IH813" s="3"/>
      <c r="II813" s="3"/>
      <c r="IJ813" s="3"/>
      <c r="IK813" s="3"/>
      <c r="IL813" s="3"/>
      <c r="IM813" s="3"/>
      <c r="IN813" s="3"/>
      <c r="IO813" s="3"/>
      <c r="IP813" s="3"/>
      <c r="IQ813" s="3"/>
      <c r="IR813" s="3"/>
      <c r="IS813" s="3"/>
      <c r="IT813" s="3"/>
      <c r="IU813" s="3"/>
      <c r="IV813" s="3"/>
      <c r="IW813" s="3"/>
      <c r="IX813" s="3"/>
      <c r="IY813" s="3"/>
    </row>
    <row r="814" spans="1:259" ht="13.2" x14ac:dyDescent="0.25">
      <c r="A814" s="10"/>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c r="HX814" s="3"/>
      <c r="HY814" s="3"/>
      <c r="HZ814" s="3"/>
      <c r="IA814" s="3"/>
      <c r="IB814" s="3"/>
      <c r="IC814" s="3"/>
      <c r="ID814" s="3"/>
      <c r="IE814" s="3"/>
      <c r="IF814" s="3"/>
      <c r="IG814" s="3"/>
      <c r="IH814" s="3"/>
      <c r="II814" s="3"/>
      <c r="IJ814" s="3"/>
      <c r="IK814" s="3"/>
      <c r="IL814" s="3"/>
      <c r="IM814" s="3"/>
      <c r="IN814" s="3"/>
      <c r="IO814" s="3"/>
      <c r="IP814" s="3"/>
      <c r="IQ814" s="3"/>
      <c r="IR814" s="3"/>
      <c r="IS814" s="3"/>
      <c r="IT814" s="3"/>
      <c r="IU814" s="3"/>
      <c r="IV814" s="3"/>
      <c r="IW814" s="3"/>
      <c r="IX814" s="3"/>
      <c r="IY814" s="3"/>
    </row>
    <row r="815" spans="1:259" ht="13.2" x14ac:dyDescent="0.25">
      <c r="A815" s="10"/>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c r="HX815" s="3"/>
      <c r="HY815" s="3"/>
      <c r="HZ815" s="3"/>
      <c r="IA815" s="3"/>
      <c r="IB815" s="3"/>
      <c r="IC815" s="3"/>
      <c r="ID815" s="3"/>
      <c r="IE815" s="3"/>
      <c r="IF815" s="3"/>
      <c r="IG815" s="3"/>
      <c r="IH815" s="3"/>
      <c r="II815" s="3"/>
      <c r="IJ815" s="3"/>
      <c r="IK815" s="3"/>
      <c r="IL815" s="3"/>
      <c r="IM815" s="3"/>
      <c r="IN815" s="3"/>
      <c r="IO815" s="3"/>
      <c r="IP815" s="3"/>
      <c r="IQ815" s="3"/>
      <c r="IR815" s="3"/>
      <c r="IS815" s="3"/>
      <c r="IT815" s="3"/>
      <c r="IU815" s="3"/>
      <c r="IV815" s="3"/>
      <c r="IW815" s="3"/>
      <c r="IX815" s="3"/>
      <c r="IY815" s="3"/>
    </row>
    <row r="816" spans="1:259" ht="13.2" x14ac:dyDescent="0.25">
      <c r="A816" s="10"/>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c r="HX816" s="3"/>
      <c r="HY816" s="3"/>
      <c r="HZ816" s="3"/>
      <c r="IA816" s="3"/>
      <c r="IB816" s="3"/>
      <c r="IC816" s="3"/>
      <c r="ID816" s="3"/>
      <c r="IE816" s="3"/>
      <c r="IF816" s="3"/>
      <c r="IG816" s="3"/>
      <c r="IH816" s="3"/>
      <c r="II816" s="3"/>
      <c r="IJ816" s="3"/>
      <c r="IK816" s="3"/>
      <c r="IL816" s="3"/>
      <c r="IM816" s="3"/>
      <c r="IN816" s="3"/>
      <c r="IO816" s="3"/>
      <c r="IP816" s="3"/>
      <c r="IQ816" s="3"/>
      <c r="IR816" s="3"/>
      <c r="IS816" s="3"/>
      <c r="IT816" s="3"/>
      <c r="IU816" s="3"/>
      <c r="IV816" s="3"/>
      <c r="IW816" s="3"/>
      <c r="IX816" s="3"/>
      <c r="IY816" s="3"/>
    </row>
    <row r="817" spans="1:259" ht="13.2" x14ac:dyDescent="0.25">
      <c r="A817" s="10"/>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c r="HX817" s="3"/>
      <c r="HY817" s="3"/>
      <c r="HZ817" s="3"/>
      <c r="IA817" s="3"/>
      <c r="IB817" s="3"/>
      <c r="IC817" s="3"/>
      <c r="ID817" s="3"/>
      <c r="IE817" s="3"/>
      <c r="IF817" s="3"/>
      <c r="IG817" s="3"/>
      <c r="IH817" s="3"/>
      <c r="II817" s="3"/>
      <c r="IJ817" s="3"/>
      <c r="IK817" s="3"/>
      <c r="IL817" s="3"/>
      <c r="IM817" s="3"/>
      <c r="IN817" s="3"/>
      <c r="IO817" s="3"/>
      <c r="IP817" s="3"/>
      <c r="IQ817" s="3"/>
      <c r="IR817" s="3"/>
      <c r="IS817" s="3"/>
      <c r="IT817" s="3"/>
      <c r="IU817" s="3"/>
      <c r="IV817" s="3"/>
      <c r="IW817" s="3"/>
      <c r="IX817" s="3"/>
      <c r="IY817" s="3"/>
    </row>
    <row r="818" spans="1:259" ht="13.2" x14ac:dyDescent="0.25">
      <c r="A818" s="10"/>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c r="HX818" s="3"/>
      <c r="HY818" s="3"/>
      <c r="HZ818" s="3"/>
      <c r="IA818" s="3"/>
      <c r="IB818" s="3"/>
      <c r="IC818" s="3"/>
      <c r="ID818" s="3"/>
      <c r="IE818" s="3"/>
      <c r="IF818" s="3"/>
      <c r="IG818" s="3"/>
      <c r="IH818" s="3"/>
      <c r="II818" s="3"/>
      <c r="IJ818" s="3"/>
      <c r="IK818" s="3"/>
      <c r="IL818" s="3"/>
      <c r="IM818" s="3"/>
      <c r="IN818" s="3"/>
      <c r="IO818" s="3"/>
      <c r="IP818" s="3"/>
      <c r="IQ818" s="3"/>
      <c r="IR818" s="3"/>
      <c r="IS818" s="3"/>
      <c r="IT818" s="3"/>
      <c r="IU818" s="3"/>
      <c r="IV818" s="3"/>
      <c r="IW818" s="3"/>
      <c r="IX818" s="3"/>
      <c r="IY818" s="3"/>
    </row>
    <row r="819" spans="1:259" ht="13.2" x14ac:dyDescent="0.25">
      <c r="A819" s="10"/>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c r="HX819" s="3"/>
      <c r="HY819" s="3"/>
      <c r="HZ819" s="3"/>
      <c r="IA819" s="3"/>
      <c r="IB819" s="3"/>
      <c r="IC819" s="3"/>
      <c r="ID819" s="3"/>
      <c r="IE819" s="3"/>
      <c r="IF819" s="3"/>
      <c r="IG819" s="3"/>
      <c r="IH819" s="3"/>
      <c r="II819" s="3"/>
      <c r="IJ819" s="3"/>
      <c r="IK819" s="3"/>
      <c r="IL819" s="3"/>
      <c r="IM819" s="3"/>
      <c r="IN819" s="3"/>
      <c r="IO819" s="3"/>
      <c r="IP819" s="3"/>
      <c r="IQ819" s="3"/>
      <c r="IR819" s="3"/>
      <c r="IS819" s="3"/>
      <c r="IT819" s="3"/>
      <c r="IU819" s="3"/>
      <c r="IV819" s="3"/>
      <c r="IW819" s="3"/>
      <c r="IX819" s="3"/>
      <c r="IY819" s="3"/>
    </row>
    <row r="820" spans="1:259" ht="13.2" x14ac:dyDescent="0.25">
      <c r="A820" s="10"/>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c r="HX820" s="3"/>
      <c r="HY820" s="3"/>
      <c r="HZ820" s="3"/>
      <c r="IA820" s="3"/>
      <c r="IB820" s="3"/>
      <c r="IC820" s="3"/>
      <c r="ID820" s="3"/>
      <c r="IE820" s="3"/>
      <c r="IF820" s="3"/>
      <c r="IG820" s="3"/>
      <c r="IH820" s="3"/>
      <c r="II820" s="3"/>
      <c r="IJ820" s="3"/>
      <c r="IK820" s="3"/>
      <c r="IL820" s="3"/>
      <c r="IM820" s="3"/>
      <c r="IN820" s="3"/>
      <c r="IO820" s="3"/>
      <c r="IP820" s="3"/>
      <c r="IQ820" s="3"/>
      <c r="IR820" s="3"/>
      <c r="IS820" s="3"/>
      <c r="IT820" s="3"/>
      <c r="IU820" s="3"/>
      <c r="IV820" s="3"/>
      <c r="IW820" s="3"/>
      <c r="IX820" s="3"/>
      <c r="IY820" s="3"/>
    </row>
    <row r="821" spans="1:259" ht="13.2" x14ac:dyDescent="0.25">
      <c r="A821" s="10"/>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c r="HX821" s="3"/>
      <c r="HY821" s="3"/>
      <c r="HZ821" s="3"/>
      <c r="IA821" s="3"/>
      <c r="IB821" s="3"/>
      <c r="IC821" s="3"/>
      <c r="ID821" s="3"/>
      <c r="IE821" s="3"/>
      <c r="IF821" s="3"/>
      <c r="IG821" s="3"/>
      <c r="IH821" s="3"/>
      <c r="II821" s="3"/>
      <c r="IJ821" s="3"/>
      <c r="IK821" s="3"/>
      <c r="IL821" s="3"/>
      <c r="IM821" s="3"/>
      <c r="IN821" s="3"/>
      <c r="IO821" s="3"/>
      <c r="IP821" s="3"/>
      <c r="IQ821" s="3"/>
      <c r="IR821" s="3"/>
      <c r="IS821" s="3"/>
      <c r="IT821" s="3"/>
      <c r="IU821" s="3"/>
      <c r="IV821" s="3"/>
      <c r="IW821" s="3"/>
      <c r="IX821" s="3"/>
      <c r="IY821" s="3"/>
    </row>
    <row r="822" spans="1:259" ht="13.2" x14ac:dyDescent="0.25">
      <c r="A822" s="10"/>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c r="HX822" s="3"/>
      <c r="HY822" s="3"/>
      <c r="HZ822" s="3"/>
      <c r="IA822" s="3"/>
      <c r="IB822" s="3"/>
      <c r="IC822" s="3"/>
      <c r="ID822" s="3"/>
      <c r="IE822" s="3"/>
      <c r="IF822" s="3"/>
      <c r="IG822" s="3"/>
      <c r="IH822" s="3"/>
      <c r="II822" s="3"/>
      <c r="IJ822" s="3"/>
      <c r="IK822" s="3"/>
      <c r="IL822" s="3"/>
      <c r="IM822" s="3"/>
      <c r="IN822" s="3"/>
      <c r="IO822" s="3"/>
      <c r="IP822" s="3"/>
      <c r="IQ822" s="3"/>
      <c r="IR822" s="3"/>
      <c r="IS822" s="3"/>
      <c r="IT822" s="3"/>
      <c r="IU822" s="3"/>
      <c r="IV822" s="3"/>
      <c r="IW822" s="3"/>
      <c r="IX822" s="3"/>
      <c r="IY822" s="3"/>
    </row>
    <row r="823" spans="1:259" ht="13.2" x14ac:dyDescent="0.25">
      <c r="A823" s="10"/>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c r="HX823" s="3"/>
      <c r="HY823" s="3"/>
      <c r="HZ823" s="3"/>
      <c r="IA823" s="3"/>
      <c r="IB823" s="3"/>
      <c r="IC823" s="3"/>
      <c r="ID823" s="3"/>
      <c r="IE823" s="3"/>
      <c r="IF823" s="3"/>
      <c r="IG823" s="3"/>
      <c r="IH823" s="3"/>
      <c r="II823" s="3"/>
      <c r="IJ823" s="3"/>
      <c r="IK823" s="3"/>
      <c r="IL823" s="3"/>
      <c r="IM823" s="3"/>
      <c r="IN823" s="3"/>
      <c r="IO823" s="3"/>
      <c r="IP823" s="3"/>
      <c r="IQ823" s="3"/>
      <c r="IR823" s="3"/>
      <c r="IS823" s="3"/>
      <c r="IT823" s="3"/>
      <c r="IU823" s="3"/>
      <c r="IV823" s="3"/>
      <c r="IW823" s="3"/>
      <c r="IX823" s="3"/>
      <c r="IY823" s="3"/>
    </row>
    <row r="824" spans="1:259" ht="13.2" x14ac:dyDescent="0.25">
      <c r="A824" s="10"/>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c r="HX824" s="3"/>
      <c r="HY824" s="3"/>
      <c r="HZ824" s="3"/>
      <c r="IA824" s="3"/>
      <c r="IB824" s="3"/>
      <c r="IC824" s="3"/>
      <c r="ID824" s="3"/>
      <c r="IE824" s="3"/>
      <c r="IF824" s="3"/>
      <c r="IG824" s="3"/>
      <c r="IH824" s="3"/>
      <c r="II824" s="3"/>
      <c r="IJ824" s="3"/>
      <c r="IK824" s="3"/>
      <c r="IL824" s="3"/>
      <c r="IM824" s="3"/>
      <c r="IN824" s="3"/>
      <c r="IO824" s="3"/>
      <c r="IP824" s="3"/>
      <c r="IQ824" s="3"/>
      <c r="IR824" s="3"/>
      <c r="IS824" s="3"/>
      <c r="IT824" s="3"/>
      <c r="IU824" s="3"/>
      <c r="IV824" s="3"/>
      <c r="IW824" s="3"/>
      <c r="IX824" s="3"/>
      <c r="IY824" s="3"/>
    </row>
    <row r="825" spans="1:259" ht="13.2" x14ac:dyDescent="0.25">
      <c r="A825" s="10"/>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c r="HX825" s="3"/>
      <c r="HY825" s="3"/>
      <c r="HZ825" s="3"/>
      <c r="IA825" s="3"/>
      <c r="IB825" s="3"/>
      <c r="IC825" s="3"/>
      <c r="ID825" s="3"/>
      <c r="IE825" s="3"/>
      <c r="IF825" s="3"/>
      <c r="IG825" s="3"/>
      <c r="IH825" s="3"/>
      <c r="II825" s="3"/>
      <c r="IJ825" s="3"/>
      <c r="IK825" s="3"/>
      <c r="IL825" s="3"/>
      <c r="IM825" s="3"/>
      <c r="IN825" s="3"/>
      <c r="IO825" s="3"/>
      <c r="IP825" s="3"/>
      <c r="IQ825" s="3"/>
      <c r="IR825" s="3"/>
      <c r="IS825" s="3"/>
      <c r="IT825" s="3"/>
      <c r="IU825" s="3"/>
      <c r="IV825" s="3"/>
      <c r="IW825" s="3"/>
      <c r="IX825" s="3"/>
      <c r="IY825" s="3"/>
    </row>
    <row r="826" spans="1:259" ht="13.2" x14ac:dyDescent="0.25">
      <c r="A826" s="10"/>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c r="HX826" s="3"/>
      <c r="HY826" s="3"/>
      <c r="HZ826" s="3"/>
      <c r="IA826" s="3"/>
      <c r="IB826" s="3"/>
      <c r="IC826" s="3"/>
      <c r="ID826" s="3"/>
      <c r="IE826" s="3"/>
      <c r="IF826" s="3"/>
      <c r="IG826" s="3"/>
      <c r="IH826" s="3"/>
      <c r="II826" s="3"/>
      <c r="IJ826" s="3"/>
      <c r="IK826" s="3"/>
      <c r="IL826" s="3"/>
      <c r="IM826" s="3"/>
      <c r="IN826" s="3"/>
      <c r="IO826" s="3"/>
      <c r="IP826" s="3"/>
      <c r="IQ826" s="3"/>
      <c r="IR826" s="3"/>
      <c r="IS826" s="3"/>
      <c r="IT826" s="3"/>
      <c r="IU826" s="3"/>
      <c r="IV826" s="3"/>
      <c r="IW826" s="3"/>
      <c r="IX826" s="3"/>
      <c r="IY826" s="3"/>
    </row>
    <row r="827" spans="1:259" ht="13.2" x14ac:dyDescent="0.25">
      <c r="A827" s="10"/>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c r="HX827" s="3"/>
      <c r="HY827" s="3"/>
      <c r="HZ827" s="3"/>
      <c r="IA827" s="3"/>
      <c r="IB827" s="3"/>
      <c r="IC827" s="3"/>
      <c r="ID827" s="3"/>
      <c r="IE827" s="3"/>
      <c r="IF827" s="3"/>
      <c r="IG827" s="3"/>
      <c r="IH827" s="3"/>
      <c r="II827" s="3"/>
      <c r="IJ827" s="3"/>
      <c r="IK827" s="3"/>
      <c r="IL827" s="3"/>
      <c r="IM827" s="3"/>
      <c r="IN827" s="3"/>
      <c r="IO827" s="3"/>
      <c r="IP827" s="3"/>
      <c r="IQ827" s="3"/>
      <c r="IR827" s="3"/>
      <c r="IS827" s="3"/>
      <c r="IT827" s="3"/>
      <c r="IU827" s="3"/>
      <c r="IV827" s="3"/>
      <c r="IW827" s="3"/>
      <c r="IX827" s="3"/>
      <c r="IY827" s="3"/>
    </row>
    <row r="828" spans="1:259" ht="13.2" x14ac:dyDescent="0.25">
      <c r="A828" s="10"/>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c r="HX828" s="3"/>
      <c r="HY828" s="3"/>
      <c r="HZ828" s="3"/>
      <c r="IA828" s="3"/>
      <c r="IB828" s="3"/>
      <c r="IC828" s="3"/>
      <c r="ID828" s="3"/>
      <c r="IE828" s="3"/>
      <c r="IF828" s="3"/>
      <c r="IG828" s="3"/>
      <c r="IH828" s="3"/>
      <c r="II828" s="3"/>
      <c r="IJ828" s="3"/>
      <c r="IK828" s="3"/>
      <c r="IL828" s="3"/>
      <c r="IM828" s="3"/>
      <c r="IN828" s="3"/>
      <c r="IO828" s="3"/>
      <c r="IP828" s="3"/>
      <c r="IQ828" s="3"/>
      <c r="IR828" s="3"/>
      <c r="IS828" s="3"/>
      <c r="IT828" s="3"/>
      <c r="IU828" s="3"/>
      <c r="IV828" s="3"/>
      <c r="IW828" s="3"/>
      <c r="IX828" s="3"/>
      <c r="IY828" s="3"/>
    </row>
    <row r="829" spans="1:259" ht="13.2" x14ac:dyDescent="0.25">
      <c r="A829" s="10"/>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c r="HX829" s="3"/>
      <c r="HY829" s="3"/>
      <c r="HZ829" s="3"/>
      <c r="IA829" s="3"/>
      <c r="IB829" s="3"/>
      <c r="IC829" s="3"/>
      <c r="ID829" s="3"/>
      <c r="IE829" s="3"/>
      <c r="IF829" s="3"/>
      <c r="IG829" s="3"/>
      <c r="IH829" s="3"/>
      <c r="II829" s="3"/>
      <c r="IJ829" s="3"/>
      <c r="IK829" s="3"/>
      <c r="IL829" s="3"/>
      <c r="IM829" s="3"/>
      <c r="IN829" s="3"/>
      <c r="IO829" s="3"/>
      <c r="IP829" s="3"/>
      <c r="IQ829" s="3"/>
      <c r="IR829" s="3"/>
      <c r="IS829" s="3"/>
      <c r="IT829" s="3"/>
      <c r="IU829" s="3"/>
      <c r="IV829" s="3"/>
      <c r="IW829" s="3"/>
      <c r="IX829" s="3"/>
      <c r="IY829" s="3"/>
    </row>
    <row r="830" spans="1:259" ht="13.2" x14ac:dyDescent="0.25">
      <c r="A830" s="10"/>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c r="HX830" s="3"/>
      <c r="HY830" s="3"/>
      <c r="HZ830" s="3"/>
      <c r="IA830" s="3"/>
      <c r="IB830" s="3"/>
      <c r="IC830" s="3"/>
      <c r="ID830" s="3"/>
      <c r="IE830" s="3"/>
      <c r="IF830" s="3"/>
      <c r="IG830" s="3"/>
      <c r="IH830" s="3"/>
      <c r="II830" s="3"/>
      <c r="IJ830" s="3"/>
      <c r="IK830" s="3"/>
      <c r="IL830" s="3"/>
      <c r="IM830" s="3"/>
      <c r="IN830" s="3"/>
      <c r="IO830" s="3"/>
      <c r="IP830" s="3"/>
      <c r="IQ830" s="3"/>
      <c r="IR830" s="3"/>
      <c r="IS830" s="3"/>
      <c r="IT830" s="3"/>
      <c r="IU830" s="3"/>
      <c r="IV830" s="3"/>
      <c r="IW830" s="3"/>
      <c r="IX830" s="3"/>
      <c r="IY830" s="3"/>
    </row>
    <row r="831" spans="1:259" ht="13.2" x14ac:dyDescent="0.25">
      <c r="A831" s="10"/>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c r="HX831" s="3"/>
      <c r="HY831" s="3"/>
      <c r="HZ831" s="3"/>
      <c r="IA831" s="3"/>
      <c r="IB831" s="3"/>
      <c r="IC831" s="3"/>
      <c r="ID831" s="3"/>
      <c r="IE831" s="3"/>
      <c r="IF831" s="3"/>
      <c r="IG831" s="3"/>
      <c r="IH831" s="3"/>
      <c r="II831" s="3"/>
      <c r="IJ831" s="3"/>
      <c r="IK831" s="3"/>
      <c r="IL831" s="3"/>
      <c r="IM831" s="3"/>
      <c r="IN831" s="3"/>
      <c r="IO831" s="3"/>
      <c r="IP831" s="3"/>
      <c r="IQ831" s="3"/>
      <c r="IR831" s="3"/>
      <c r="IS831" s="3"/>
      <c r="IT831" s="3"/>
      <c r="IU831" s="3"/>
      <c r="IV831" s="3"/>
      <c r="IW831" s="3"/>
      <c r="IX831" s="3"/>
      <c r="IY831" s="3"/>
    </row>
    <row r="832" spans="1:259" ht="13.2" x14ac:dyDescent="0.25">
      <c r="A832" s="10"/>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c r="HX832" s="3"/>
      <c r="HY832" s="3"/>
      <c r="HZ832" s="3"/>
      <c r="IA832" s="3"/>
      <c r="IB832" s="3"/>
      <c r="IC832" s="3"/>
      <c r="ID832" s="3"/>
      <c r="IE832" s="3"/>
      <c r="IF832" s="3"/>
      <c r="IG832" s="3"/>
      <c r="IH832" s="3"/>
      <c r="II832" s="3"/>
      <c r="IJ832" s="3"/>
      <c r="IK832" s="3"/>
      <c r="IL832" s="3"/>
      <c r="IM832" s="3"/>
      <c r="IN832" s="3"/>
      <c r="IO832" s="3"/>
      <c r="IP832" s="3"/>
      <c r="IQ832" s="3"/>
      <c r="IR832" s="3"/>
      <c r="IS832" s="3"/>
      <c r="IT832" s="3"/>
      <c r="IU832" s="3"/>
      <c r="IV832" s="3"/>
      <c r="IW832" s="3"/>
      <c r="IX832" s="3"/>
      <c r="IY832" s="3"/>
    </row>
    <row r="833" spans="1:259" ht="13.2" x14ac:dyDescent="0.25">
      <c r="A833" s="10"/>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c r="HX833" s="3"/>
      <c r="HY833" s="3"/>
      <c r="HZ833" s="3"/>
      <c r="IA833" s="3"/>
      <c r="IB833" s="3"/>
      <c r="IC833" s="3"/>
      <c r="ID833" s="3"/>
      <c r="IE833" s="3"/>
      <c r="IF833" s="3"/>
      <c r="IG833" s="3"/>
      <c r="IH833" s="3"/>
      <c r="II833" s="3"/>
      <c r="IJ833" s="3"/>
      <c r="IK833" s="3"/>
      <c r="IL833" s="3"/>
      <c r="IM833" s="3"/>
      <c r="IN833" s="3"/>
      <c r="IO833" s="3"/>
      <c r="IP833" s="3"/>
      <c r="IQ833" s="3"/>
      <c r="IR833" s="3"/>
      <c r="IS833" s="3"/>
      <c r="IT833" s="3"/>
      <c r="IU833" s="3"/>
      <c r="IV833" s="3"/>
      <c r="IW833" s="3"/>
      <c r="IX833" s="3"/>
      <c r="IY833" s="3"/>
    </row>
    <row r="834" spans="1:259" ht="13.2" x14ac:dyDescent="0.25">
      <c r="A834" s="10"/>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c r="HX834" s="3"/>
      <c r="HY834" s="3"/>
      <c r="HZ834" s="3"/>
      <c r="IA834" s="3"/>
      <c r="IB834" s="3"/>
      <c r="IC834" s="3"/>
      <c r="ID834" s="3"/>
      <c r="IE834" s="3"/>
      <c r="IF834" s="3"/>
      <c r="IG834" s="3"/>
      <c r="IH834" s="3"/>
      <c r="II834" s="3"/>
      <c r="IJ834" s="3"/>
      <c r="IK834" s="3"/>
      <c r="IL834" s="3"/>
      <c r="IM834" s="3"/>
      <c r="IN834" s="3"/>
      <c r="IO834" s="3"/>
      <c r="IP834" s="3"/>
      <c r="IQ834" s="3"/>
      <c r="IR834" s="3"/>
      <c r="IS834" s="3"/>
      <c r="IT834" s="3"/>
      <c r="IU834" s="3"/>
      <c r="IV834" s="3"/>
      <c r="IW834" s="3"/>
      <c r="IX834" s="3"/>
      <c r="IY834" s="3"/>
    </row>
    <row r="835" spans="1:259" ht="13.2" x14ac:dyDescent="0.25">
      <c r="A835" s="10"/>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c r="HX835" s="3"/>
      <c r="HY835" s="3"/>
      <c r="HZ835" s="3"/>
      <c r="IA835" s="3"/>
      <c r="IB835" s="3"/>
      <c r="IC835" s="3"/>
      <c r="ID835" s="3"/>
      <c r="IE835" s="3"/>
      <c r="IF835" s="3"/>
      <c r="IG835" s="3"/>
      <c r="IH835" s="3"/>
      <c r="II835" s="3"/>
      <c r="IJ835" s="3"/>
      <c r="IK835" s="3"/>
      <c r="IL835" s="3"/>
      <c r="IM835" s="3"/>
      <c r="IN835" s="3"/>
      <c r="IO835" s="3"/>
      <c r="IP835" s="3"/>
      <c r="IQ835" s="3"/>
      <c r="IR835" s="3"/>
      <c r="IS835" s="3"/>
      <c r="IT835" s="3"/>
      <c r="IU835" s="3"/>
      <c r="IV835" s="3"/>
      <c r="IW835" s="3"/>
      <c r="IX835" s="3"/>
      <c r="IY835" s="3"/>
    </row>
    <row r="836" spans="1:259" ht="13.2" x14ac:dyDescent="0.25">
      <c r="A836" s="10"/>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c r="HX836" s="3"/>
      <c r="HY836" s="3"/>
      <c r="HZ836" s="3"/>
      <c r="IA836" s="3"/>
      <c r="IB836" s="3"/>
      <c r="IC836" s="3"/>
      <c r="ID836" s="3"/>
      <c r="IE836" s="3"/>
      <c r="IF836" s="3"/>
      <c r="IG836" s="3"/>
      <c r="IH836" s="3"/>
      <c r="II836" s="3"/>
      <c r="IJ836" s="3"/>
      <c r="IK836" s="3"/>
      <c r="IL836" s="3"/>
      <c r="IM836" s="3"/>
      <c r="IN836" s="3"/>
      <c r="IO836" s="3"/>
      <c r="IP836" s="3"/>
      <c r="IQ836" s="3"/>
      <c r="IR836" s="3"/>
      <c r="IS836" s="3"/>
      <c r="IT836" s="3"/>
      <c r="IU836" s="3"/>
      <c r="IV836" s="3"/>
      <c r="IW836" s="3"/>
      <c r="IX836" s="3"/>
      <c r="IY836" s="3"/>
    </row>
    <row r="837" spans="1:259" ht="13.2" x14ac:dyDescent="0.25">
      <c r="A837" s="10"/>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c r="HX837" s="3"/>
      <c r="HY837" s="3"/>
      <c r="HZ837" s="3"/>
      <c r="IA837" s="3"/>
      <c r="IB837" s="3"/>
      <c r="IC837" s="3"/>
      <c r="ID837" s="3"/>
      <c r="IE837" s="3"/>
      <c r="IF837" s="3"/>
      <c r="IG837" s="3"/>
      <c r="IH837" s="3"/>
      <c r="II837" s="3"/>
      <c r="IJ837" s="3"/>
      <c r="IK837" s="3"/>
      <c r="IL837" s="3"/>
      <c r="IM837" s="3"/>
      <c r="IN837" s="3"/>
      <c r="IO837" s="3"/>
      <c r="IP837" s="3"/>
      <c r="IQ837" s="3"/>
      <c r="IR837" s="3"/>
      <c r="IS837" s="3"/>
      <c r="IT837" s="3"/>
      <c r="IU837" s="3"/>
      <c r="IV837" s="3"/>
      <c r="IW837" s="3"/>
      <c r="IX837" s="3"/>
      <c r="IY837" s="3"/>
    </row>
    <row r="838" spans="1:259" ht="13.2" x14ac:dyDescent="0.25">
      <c r="A838" s="10"/>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c r="HX838" s="3"/>
      <c r="HY838" s="3"/>
      <c r="HZ838" s="3"/>
      <c r="IA838" s="3"/>
      <c r="IB838" s="3"/>
      <c r="IC838" s="3"/>
      <c r="ID838" s="3"/>
      <c r="IE838" s="3"/>
      <c r="IF838" s="3"/>
      <c r="IG838" s="3"/>
      <c r="IH838" s="3"/>
      <c r="II838" s="3"/>
      <c r="IJ838" s="3"/>
      <c r="IK838" s="3"/>
      <c r="IL838" s="3"/>
      <c r="IM838" s="3"/>
      <c r="IN838" s="3"/>
      <c r="IO838" s="3"/>
      <c r="IP838" s="3"/>
      <c r="IQ838" s="3"/>
      <c r="IR838" s="3"/>
      <c r="IS838" s="3"/>
      <c r="IT838" s="3"/>
      <c r="IU838" s="3"/>
      <c r="IV838" s="3"/>
      <c r="IW838" s="3"/>
      <c r="IX838" s="3"/>
      <c r="IY838" s="3"/>
    </row>
    <row r="839" spans="1:259" ht="13.2" x14ac:dyDescent="0.25">
      <c r="A839" s="10"/>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c r="HX839" s="3"/>
      <c r="HY839" s="3"/>
      <c r="HZ839" s="3"/>
      <c r="IA839" s="3"/>
      <c r="IB839" s="3"/>
      <c r="IC839" s="3"/>
      <c r="ID839" s="3"/>
      <c r="IE839" s="3"/>
      <c r="IF839" s="3"/>
      <c r="IG839" s="3"/>
      <c r="IH839" s="3"/>
      <c r="II839" s="3"/>
      <c r="IJ839" s="3"/>
      <c r="IK839" s="3"/>
      <c r="IL839" s="3"/>
      <c r="IM839" s="3"/>
      <c r="IN839" s="3"/>
      <c r="IO839" s="3"/>
      <c r="IP839" s="3"/>
      <c r="IQ839" s="3"/>
      <c r="IR839" s="3"/>
      <c r="IS839" s="3"/>
      <c r="IT839" s="3"/>
      <c r="IU839" s="3"/>
      <c r="IV839" s="3"/>
      <c r="IW839" s="3"/>
      <c r="IX839" s="3"/>
      <c r="IY839" s="3"/>
    </row>
    <row r="840" spans="1:259" ht="13.2" x14ac:dyDescent="0.25">
      <c r="A840" s="10"/>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c r="HX840" s="3"/>
      <c r="HY840" s="3"/>
      <c r="HZ840" s="3"/>
      <c r="IA840" s="3"/>
      <c r="IB840" s="3"/>
      <c r="IC840" s="3"/>
      <c r="ID840" s="3"/>
      <c r="IE840" s="3"/>
      <c r="IF840" s="3"/>
      <c r="IG840" s="3"/>
      <c r="IH840" s="3"/>
      <c r="II840" s="3"/>
      <c r="IJ840" s="3"/>
      <c r="IK840" s="3"/>
      <c r="IL840" s="3"/>
      <c r="IM840" s="3"/>
      <c r="IN840" s="3"/>
      <c r="IO840" s="3"/>
      <c r="IP840" s="3"/>
      <c r="IQ840" s="3"/>
      <c r="IR840" s="3"/>
      <c r="IS840" s="3"/>
      <c r="IT840" s="3"/>
      <c r="IU840" s="3"/>
      <c r="IV840" s="3"/>
      <c r="IW840" s="3"/>
      <c r="IX840" s="3"/>
      <c r="IY840" s="3"/>
    </row>
    <row r="841" spans="1:259" ht="13.2" x14ac:dyDescent="0.25">
      <c r="A841" s="10"/>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c r="HX841" s="3"/>
      <c r="HY841" s="3"/>
      <c r="HZ841" s="3"/>
      <c r="IA841" s="3"/>
      <c r="IB841" s="3"/>
      <c r="IC841" s="3"/>
      <c r="ID841" s="3"/>
      <c r="IE841" s="3"/>
      <c r="IF841" s="3"/>
      <c r="IG841" s="3"/>
      <c r="IH841" s="3"/>
      <c r="II841" s="3"/>
      <c r="IJ841" s="3"/>
      <c r="IK841" s="3"/>
      <c r="IL841" s="3"/>
      <c r="IM841" s="3"/>
      <c r="IN841" s="3"/>
      <c r="IO841" s="3"/>
      <c r="IP841" s="3"/>
      <c r="IQ841" s="3"/>
      <c r="IR841" s="3"/>
      <c r="IS841" s="3"/>
      <c r="IT841" s="3"/>
      <c r="IU841" s="3"/>
      <c r="IV841" s="3"/>
      <c r="IW841" s="3"/>
      <c r="IX841" s="3"/>
      <c r="IY841" s="3"/>
    </row>
    <row r="842" spans="1:259" ht="13.2" x14ac:dyDescent="0.25">
      <c r="A842" s="10"/>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c r="HX842" s="3"/>
      <c r="HY842" s="3"/>
      <c r="HZ842" s="3"/>
      <c r="IA842" s="3"/>
      <c r="IB842" s="3"/>
      <c r="IC842" s="3"/>
      <c r="ID842" s="3"/>
      <c r="IE842" s="3"/>
      <c r="IF842" s="3"/>
      <c r="IG842" s="3"/>
      <c r="IH842" s="3"/>
      <c r="II842" s="3"/>
      <c r="IJ842" s="3"/>
      <c r="IK842" s="3"/>
      <c r="IL842" s="3"/>
      <c r="IM842" s="3"/>
      <c r="IN842" s="3"/>
      <c r="IO842" s="3"/>
      <c r="IP842" s="3"/>
      <c r="IQ842" s="3"/>
      <c r="IR842" s="3"/>
      <c r="IS842" s="3"/>
      <c r="IT842" s="3"/>
      <c r="IU842" s="3"/>
      <c r="IV842" s="3"/>
      <c r="IW842" s="3"/>
      <c r="IX842" s="3"/>
      <c r="IY842" s="3"/>
    </row>
    <row r="843" spans="1:259" ht="13.2" x14ac:dyDescent="0.25">
      <c r="A843" s="10"/>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c r="HX843" s="3"/>
      <c r="HY843" s="3"/>
      <c r="HZ843" s="3"/>
      <c r="IA843" s="3"/>
      <c r="IB843" s="3"/>
      <c r="IC843" s="3"/>
      <c r="ID843" s="3"/>
      <c r="IE843" s="3"/>
      <c r="IF843" s="3"/>
      <c r="IG843" s="3"/>
      <c r="IH843" s="3"/>
      <c r="II843" s="3"/>
      <c r="IJ843" s="3"/>
      <c r="IK843" s="3"/>
      <c r="IL843" s="3"/>
      <c r="IM843" s="3"/>
      <c r="IN843" s="3"/>
      <c r="IO843" s="3"/>
      <c r="IP843" s="3"/>
      <c r="IQ843" s="3"/>
      <c r="IR843" s="3"/>
      <c r="IS843" s="3"/>
      <c r="IT843" s="3"/>
      <c r="IU843" s="3"/>
      <c r="IV843" s="3"/>
      <c r="IW843" s="3"/>
      <c r="IX843" s="3"/>
      <c r="IY843" s="3"/>
    </row>
    <row r="844" spans="1:259" ht="13.2" x14ac:dyDescent="0.25">
      <c r="A844" s="10"/>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c r="HX844" s="3"/>
      <c r="HY844" s="3"/>
      <c r="HZ844" s="3"/>
      <c r="IA844" s="3"/>
      <c r="IB844" s="3"/>
      <c r="IC844" s="3"/>
      <c r="ID844" s="3"/>
      <c r="IE844" s="3"/>
      <c r="IF844" s="3"/>
      <c r="IG844" s="3"/>
      <c r="IH844" s="3"/>
      <c r="II844" s="3"/>
      <c r="IJ844" s="3"/>
      <c r="IK844" s="3"/>
      <c r="IL844" s="3"/>
      <c r="IM844" s="3"/>
      <c r="IN844" s="3"/>
      <c r="IO844" s="3"/>
      <c r="IP844" s="3"/>
      <c r="IQ844" s="3"/>
      <c r="IR844" s="3"/>
      <c r="IS844" s="3"/>
      <c r="IT844" s="3"/>
      <c r="IU844" s="3"/>
      <c r="IV844" s="3"/>
      <c r="IW844" s="3"/>
      <c r="IX844" s="3"/>
      <c r="IY844" s="3"/>
    </row>
    <row r="845" spans="1:259" ht="13.2" x14ac:dyDescent="0.25">
      <c r="A845" s="10"/>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c r="IW845" s="3"/>
      <c r="IX845" s="3"/>
      <c r="IY845" s="3"/>
    </row>
    <row r="846" spans="1:259" ht="13.2" x14ac:dyDescent="0.25">
      <c r="A846" s="10"/>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c r="HX846" s="3"/>
      <c r="HY846" s="3"/>
      <c r="HZ846" s="3"/>
      <c r="IA846" s="3"/>
      <c r="IB846" s="3"/>
      <c r="IC846" s="3"/>
      <c r="ID846" s="3"/>
      <c r="IE846" s="3"/>
      <c r="IF846" s="3"/>
      <c r="IG846" s="3"/>
      <c r="IH846" s="3"/>
      <c r="II846" s="3"/>
      <c r="IJ846" s="3"/>
      <c r="IK846" s="3"/>
      <c r="IL846" s="3"/>
      <c r="IM846" s="3"/>
      <c r="IN846" s="3"/>
      <c r="IO846" s="3"/>
      <c r="IP846" s="3"/>
      <c r="IQ846" s="3"/>
      <c r="IR846" s="3"/>
      <c r="IS846" s="3"/>
      <c r="IT846" s="3"/>
      <c r="IU846" s="3"/>
      <c r="IV846" s="3"/>
      <c r="IW846" s="3"/>
      <c r="IX846" s="3"/>
      <c r="IY846" s="3"/>
    </row>
    <row r="847" spans="1:259" ht="13.2" x14ac:dyDescent="0.25">
      <c r="A847" s="10"/>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c r="HX847" s="3"/>
      <c r="HY847" s="3"/>
      <c r="HZ847" s="3"/>
      <c r="IA847" s="3"/>
      <c r="IB847" s="3"/>
      <c r="IC847" s="3"/>
      <c r="ID847" s="3"/>
      <c r="IE847" s="3"/>
      <c r="IF847" s="3"/>
      <c r="IG847" s="3"/>
      <c r="IH847" s="3"/>
      <c r="II847" s="3"/>
      <c r="IJ847" s="3"/>
      <c r="IK847" s="3"/>
      <c r="IL847" s="3"/>
      <c r="IM847" s="3"/>
      <c r="IN847" s="3"/>
      <c r="IO847" s="3"/>
      <c r="IP847" s="3"/>
      <c r="IQ847" s="3"/>
      <c r="IR847" s="3"/>
      <c r="IS847" s="3"/>
      <c r="IT847" s="3"/>
      <c r="IU847" s="3"/>
      <c r="IV847" s="3"/>
      <c r="IW847" s="3"/>
      <c r="IX847" s="3"/>
      <c r="IY847" s="3"/>
    </row>
    <row r="848" spans="1:259" ht="13.2" x14ac:dyDescent="0.25">
      <c r="A848" s="10"/>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c r="HX848" s="3"/>
      <c r="HY848" s="3"/>
      <c r="HZ848" s="3"/>
      <c r="IA848" s="3"/>
      <c r="IB848" s="3"/>
      <c r="IC848" s="3"/>
      <c r="ID848" s="3"/>
      <c r="IE848" s="3"/>
      <c r="IF848" s="3"/>
      <c r="IG848" s="3"/>
      <c r="IH848" s="3"/>
      <c r="II848" s="3"/>
      <c r="IJ848" s="3"/>
      <c r="IK848" s="3"/>
      <c r="IL848" s="3"/>
      <c r="IM848" s="3"/>
      <c r="IN848" s="3"/>
      <c r="IO848" s="3"/>
      <c r="IP848" s="3"/>
      <c r="IQ848" s="3"/>
      <c r="IR848" s="3"/>
      <c r="IS848" s="3"/>
      <c r="IT848" s="3"/>
      <c r="IU848" s="3"/>
      <c r="IV848" s="3"/>
      <c r="IW848" s="3"/>
      <c r="IX848" s="3"/>
      <c r="IY848" s="3"/>
    </row>
    <row r="849" spans="1:259" ht="13.2" x14ac:dyDescent="0.25">
      <c r="A849" s="10"/>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c r="IW849" s="3"/>
      <c r="IX849" s="3"/>
      <c r="IY849" s="3"/>
    </row>
    <row r="850" spans="1:259" ht="13.2" x14ac:dyDescent="0.25">
      <c r="A850" s="10"/>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c r="HX850" s="3"/>
      <c r="HY850" s="3"/>
      <c r="HZ850" s="3"/>
      <c r="IA850" s="3"/>
      <c r="IB850" s="3"/>
      <c r="IC850" s="3"/>
      <c r="ID850" s="3"/>
      <c r="IE850" s="3"/>
      <c r="IF850" s="3"/>
      <c r="IG850" s="3"/>
      <c r="IH850" s="3"/>
      <c r="II850" s="3"/>
      <c r="IJ850" s="3"/>
      <c r="IK850" s="3"/>
      <c r="IL850" s="3"/>
      <c r="IM850" s="3"/>
      <c r="IN850" s="3"/>
      <c r="IO850" s="3"/>
      <c r="IP850" s="3"/>
      <c r="IQ850" s="3"/>
      <c r="IR850" s="3"/>
      <c r="IS850" s="3"/>
      <c r="IT850" s="3"/>
      <c r="IU850" s="3"/>
      <c r="IV850" s="3"/>
      <c r="IW850" s="3"/>
      <c r="IX850" s="3"/>
      <c r="IY850" s="3"/>
    </row>
    <row r="851" spans="1:259" ht="13.2" x14ac:dyDescent="0.25">
      <c r="A851" s="10"/>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c r="HX851" s="3"/>
      <c r="HY851" s="3"/>
      <c r="HZ851" s="3"/>
      <c r="IA851" s="3"/>
      <c r="IB851" s="3"/>
      <c r="IC851" s="3"/>
      <c r="ID851" s="3"/>
      <c r="IE851" s="3"/>
      <c r="IF851" s="3"/>
      <c r="IG851" s="3"/>
      <c r="IH851" s="3"/>
      <c r="II851" s="3"/>
      <c r="IJ851" s="3"/>
      <c r="IK851" s="3"/>
      <c r="IL851" s="3"/>
      <c r="IM851" s="3"/>
      <c r="IN851" s="3"/>
      <c r="IO851" s="3"/>
      <c r="IP851" s="3"/>
      <c r="IQ851" s="3"/>
      <c r="IR851" s="3"/>
      <c r="IS851" s="3"/>
      <c r="IT851" s="3"/>
      <c r="IU851" s="3"/>
      <c r="IV851" s="3"/>
      <c r="IW851" s="3"/>
      <c r="IX851" s="3"/>
      <c r="IY851" s="3"/>
    </row>
    <row r="852" spans="1:259" ht="13.2" x14ac:dyDescent="0.25">
      <c r="A852" s="10"/>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c r="HX852" s="3"/>
      <c r="HY852" s="3"/>
      <c r="HZ852" s="3"/>
      <c r="IA852" s="3"/>
      <c r="IB852" s="3"/>
      <c r="IC852" s="3"/>
      <c r="ID852" s="3"/>
      <c r="IE852" s="3"/>
      <c r="IF852" s="3"/>
      <c r="IG852" s="3"/>
      <c r="IH852" s="3"/>
      <c r="II852" s="3"/>
      <c r="IJ852" s="3"/>
      <c r="IK852" s="3"/>
      <c r="IL852" s="3"/>
      <c r="IM852" s="3"/>
      <c r="IN852" s="3"/>
      <c r="IO852" s="3"/>
      <c r="IP852" s="3"/>
      <c r="IQ852" s="3"/>
      <c r="IR852" s="3"/>
      <c r="IS852" s="3"/>
      <c r="IT852" s="3"/>
      <c r="IU852" s="3"/>
      <c r="IV852" s="3"/>
      <c r="IW852" s="3"/>
      <c r="IX852" s="3"/>
      <c r="IY852" s="3"/>
    </row>
    <row r="853" spans="1:259" ht="13.2" x14ac:dyDescent="0.25">
      <c r="A853" s="10"/>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c r="IW853" s="3"/>
      <c r="IX853" s="3"/>
      <c r="IY853" s="3"/>
    </row>
    <row r="854" spans="1:259" ht="13.2" x14ac:dyDescent="0.25">
      <c r="A854" s="10"/>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c r="HX854" s="3"/>
      <c r="HY854" s="3"/>
      <c r="HZ854" s="3"/>
      <c r="IA854" s="3"/>
      <c r="IB854" s="3"/>
      <c r="IC854" s="3"/>
      <c r="ID854" s="3"/>
      <c r="IE854" s="3"/>
      <c r="IF854" s="3"/>
      <c r="IG854" s="3"/>
      <c r="IH854" s="3"/>
      <c r="II854" s="3"/>
      <c r="IJ854" s="3"/>
      <c r="IK854" s="3"/>
      <c r="IL854" s="3"/>
      <c r="IM854" s="3"/>
      <c r="IN854" s="3"/>
      <c r="IO854" s="3"/>
      <c r="IP854" s="3"/>
      <c r="IQ854" s="3"/>
      <c r="IR854" s="3"/>
      <c r="IS854" s="3"/>
      <c r="IT854" s="3"/>
      <c r="IU854" s="3"/>
      <c r="IV854" s="3"/>
      <c r="IW854" s="3"/>
      <c r="IX854" s="3"/>
      <c r="IY854" s="3"/>
    </row>
    <row r="855" spans="1:259" ht="13.2" x14ac:dyDescent="0.25">
      <c r="A855" s="10"/>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c r="HX855" s="3"/>
      <c r="HY855" s="3"/>
      <c r="HZ855" s="3"/>
      <c r="IA855" s="3"/>
      <c r="IB855" s="3"/>
      <c r="IC855" s="3"/>
      <c r="ID855" s="3"/>
      <c r="IE855" s="3"/>
      <c r="IF855" s="3"/>
      <c r="IG855" s="3"/>
      <c r="IH855" s="3"/>
      <c r="II855" s="3"/>
      <c r="IJ855" s="3"/>
      <c r="IK855" s="3"/>
      <c r="IL855" s="3"/>
      <c r="IM855" s="3"/>
      <c r="IN855" s="3"/>
      <c r="IO855" s="3"/>
      <c r="IP855" s="3"/>
      <c r="IQ855" s="3"/>
      <c r="IR855" s="3"/>
      <c r="IS855" s="3"/>
      <c r="IT855" s="3"/>
      <c r="IU855" s="3"/>
      <c r="IV855" s="3"/>
      <c r="IW855" s="3"/>
      <c r="IX855" s="3"/>
      <c r="IY855" s="3"/>
    </row>
    <row r="856" spans="1:259" ht="13.2" x14ac:dyDescent="0.25">
      <c r="A856" s="10"/>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c r="HX856" s="3"/>
      <c r="HY856" s="3"/>
      <c r="HZ856" s="3"/>
      <c r="IA856" s="3"/>
      <c r="IB856" s="3"/>
      <c r="IC856" s="3"/>
      <c r="ID856" s="3"/>
      <c r="IE856" s="3"/>
      <c r="IF856" s="3"/>
      <c r="IG856" s="3"/>
      <c r="IH856" s="3"/>
      <c r="II856" s="3"/>
      <c r="IJ856" s="3"/>
      <c r="IK856" s="3"/>
      <c r="IL856" s="3"/>
      <c r="IM856" s="3"/>
      <c r="IN856" s="3"/>
      <c r="IO856" s="3"/>
      <c r="IP856" s="3"/>
      <c r="IQ856" s="3"/>
      <c r="IR856" s="3"/>
      <c r="IS856" s="3"/>
      <c r="IT856" s="3"/>
      <c r="IU856" s="3"/>
      <c r="IV856" s="3"/>
      <c r="IW856" s="3"/>
      <c r="IX856" s="3"/>
      <c r="IY856" s="3"/>
    </row>
    <row r="857" spans="1:259" ht="13.2" x14ac:dyDescent="0.25">
      <c r="A857" s="10"/>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c r="HX857" s="3"/>
      <c r="HY857" s="3"/>
      <c r="HZ857" s="3"/>
      <c r="IA857" s="3"/>
      <c r="IB857" s="3"/>
      <c r="IC857" s="3"/>
      <c r="ID857" s="3"/>
      <c r="IE857" s="3"/>
      <c r="IF857" s="3"/>
      <c r="IG857" s="3"/>
      <c r="IH857" s="3"/>
      <c r="II857" s="3"/>
      <c r="IJ857" s="3"/>
      <c r="IK857" s="3"/>
      <c r="IL857" s="3"/>
      <c r="IM857" s="3"/>
      <c r="IN857" s="3"/>
      <c r="IO857" s="3"/>
      <c r="IP857" s="3"/>
      <c r="IQ857" s="3"/>
      <c r="IR857" s="3"/>
      <c r="IS857" s="3"/>
      <c r="IT857" s="3"/>
      <c r="IU857" s="3"/>
      <c r="IV857" s="3"/>
      <c r="IW857" s="3"/>
      <c r="IX857" s="3"/>
      <c r="IY857" s="3"/>
    </row>
    <row r="858" spans="1:259" ht="13.2" x14ac:dyDescent="0.25">
      <c r="A858" s="10"/>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row>
    <row r="859" spans="1:259" ht="13.2" x14ac:dyDescent="0.25">
      <c r="A859" s="10"/>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row>
    <row r="860" spans="1:259" ht="13.2" x14ac:dyDescent="0.25">
      <c r="A860" s="10"/>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row>
    <row r="861" spans="1:259" ht="13.2" x14ac:dyDescent="0.25">
      <c r="A861" s="10"/>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row>
    <row r="862" spans="1:259" ht="13.2" x14ac:dyDescent="0.25">
      <c r="A862" s="10"/>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row>
    <row r="863" spans="1:259" ht="13.2" x14ac:dyDescent="0.25">
      <c r="A863" s="10"/>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row>
    <row r="864" spans="1:259" ht="13.2" x14ac:dyDescent="0.25">
      <c r="A864" s="10"/>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row>
    <row r="865" spans="1:259" ht="13.2" x14ac:dyDescent="0.25">
      <c r="A865" s="10"/>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row>
    <row r="866" spans="1:259" ht="13.2" x14ac:dyDescent="0.25">
      <c r="A866" s="10"/>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row>
    <row r="867" spans="1:259" ht="13.2" x14ac:dyDescent="0.25">
      <c r="A867" s="10"/>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row>
    <row r="868" spans="1:259" ht="13.2" x14ac:dyDescent="0.25">
      <c r="A868" s="10"/>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row>
    <row r="869" spans="1:259" ht="13.2" x14ac:dyDescent="0.25">
      <c r="A869" s="10"/>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row>
    <row r="870" spans="1:259" ht="13.2" x14ac:dyDescent="0.25">
      <c r="A870" s="10"/>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row>
    <row r="871" spans="1:259" ht="13.2" x14ac:dyDescent="0.25">
      <c r="A871" s="10"/>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c r="HX871" s="3"/>
      <c r="HY871" s="3"/>
      <c r="HZ871" s="3"/>
      <c r="IA871" s="3"/>
      <c r="IB871" s="3"/>
      <c r="IC871" s="3"/>
      <c r="ID871" s="3"/>
      <c r="IE871" s="3"/>
      <c r="IF871" s="3"/>
      <c r="IG871" s="3"/>
      <c r="IH871" s="3"/>
      <c r="II871" s="3"/>
      <c r="IJ871" s="3"/>
      <c r="IK871" s="3"/>
      <c r="IL871" s="3"/>
      <c r="IM871" s="3"/>
      <c r="IN871" s="3"/>
      <c r="IO871" s="3"/>
      <c r="IP871" s="3"/>
      <c r="IQ871" s="3"/>
      <c r="IR871" s="3"/>
      <c r="IS871" s="3"/>
      <c r="IT871" s="3"/>
      <c r="IU871" s="3"/>
      <c r="IV871" s="3"/>
      <c r="IW871" s="3"/>
      <c r="IX871" s="3"/>
      <c r="IY871" s="3"/>
    </row>
    <row r="872" spans="1:259" ht="13.2" x14ac:dyDescent="0.25">
      <c r="A872" s="10"/>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c r="IW872" s="3"/>
      <c r="IX872" s="3"/>
      <c r="IY872" s="3"/>
    </row>
    <row r="873" spans="1:259" ht="13.2" x14ac:dyDescent="0.25">
      <c r="A873" s="10"/>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c r="HX873" s="3"/>
      <c r="HY873" s="3"/>
      <c r="HZ873" s="3"/>
      <c r="IA873" s="3"/>
      <c r="IB873" s="3"/>
      <c r="IC873" s="3"/>
      <c r="ID873" s="3"/>
      <c r="IE873" s="3"/>
      <c r="IF873" s="3"/>
      <c r="IG873" s="3"/>
      <c r="IH873" s="3"/>
      <c r="II873" s="3"/>
      <c r="IJ873" s="3"/>
      <c r="IK873" s="3"/>
      <c r="IL873" s="3"/>
      <c r="IM873" s="3"/>
      <c r="IN873" s="3"/>
      <c r="IO873" s="3"/>
      <c r="IP873" s="3"/>
      <c r="IQ873" s="3"/>
      <c r="IR873" s="3"/>
      <c r="IS873" s="3"/>
      <c r="IT873" s="3"/>
      <c r="IU873" s="3"/>
      <c r="IV873" s="3"/>
      <c r="IW873" s="3"/>
      <c r="IX873" s="3"/>
      <c r="IY873" s="3"/>
    </row>
    <row r="874" spans="1:259" ht="13.2" x14ac:dyDescent="0.25">
      <c r="A874" s="10"/>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c r="HX874" s="3"/>
      <c r="HY874" s="3"/>
      <c r="HZ874" s="3"/>
      <c r="IA874" s="3"/>
      <c r="IB874" s="3"/>
      <c r="IC874" s="3"/>
      <c r="ID874" s="3"/>
      <c r="IE874" s="3"/>
      <c r="IF874" s="3"/>
      <c r="IG874" s="3"/>
      <c r="IH874" s="3"/>
      <c r="II874" s="3"/>
      <c r="IJ874" s="3"/>
      <c r="IK874" s="3"/>
      <c r="IL874" s="3"/>
      <c r="IM874" s="3"/>
      <c r="IN874" s="3"/>
      <c r="IO874" s="3"/>
      <c r="IP874" s="3"/>
      <c r="IQ874" s="3"/>
      <c r="IR874" s="3"/>
      <c r="IS874" s="3"/>
      <c r="IT874" s="3"/>
      <c r="IU874" s="3"/>
      <c r="IV874" s="3"/>
      <c r="IW874" s="3"/>
      <c r="IX874" s="3"/>
      <c r="IY874" s="3"/>
    </row>
    <row r="875" spans="1:259" ht="13.2" x14ac:dyDescent="0.25">
      <c r="A875" s="10"/>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c r="HX875" s="3"/>
      <c r="HY875" s="3"/>
      <c r="HZ875" s="3"/>
      <c r="IA875" s="3"/>
      <c r="IB875" s="3"/>
      <c r="IC875" s="3"/>
      <c r="ID875" s="3"/>
      <c r="IE875" s="3"/>
      <c r="IF875" s="3"/>
      <c r="IG875" s="3"/>
      <c r="IH875" s="3"/>
      <c r="II875" s="3"/>
      <c r="IJ875" s="3"/>
      <c r="IK875" s="3"/>
      <c r="IL875" s="3"/>
      <c r="IM875" s="3"/>
      <c r="IN875" s="3"/>
      <c r="IO875" s="3"/>
      <c r="IP875" s="3"/>
      <c r="IQ875" s="3"/>
      <c r="IR875" s="3"/>
      <c r="IS875" s="3"/>
      <c r="IT875" s="3"/>
      <c r="IU875" s="3"/>
      <c r="IV875" s="3"/>
      <c r="IW875" s="3"/>
      <c r="IX875" s="3"/>
      <c r="IY875" s="3"/>
    </row>
    <row r="876" spans="1:259" ht="13.2" x14ac:dyDescent="0.25">
      <c r="A876" s="10"/>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c r="HX876" s="3"/>
      <c r="HY876" s="3"/>
      <c r="HZ876" s="3"/>
      <c r="IA876" s="3"/>
      <c r="IB876" s="3"/>
      <c r="IC876" s="3"/>
      <c r="ID876" s="3"/>
      <c r="IE876" s="3"/>
      <c r="IF876" s="3"/>
      <c r="IG876" s="3"/>
      <c r="IH876" s="3"/>
      <c r="II876" s="3"/>
      <c r="IJ876" s="3"/>
      <c r="IK876" s="3"/>
      <c r="IL876" s="3"/>
      <c r="IM876" s="3"/>
      <c r="IN876" s="3"/>
      <c r="IO876" s="3"/>
      <c r="IP876" s="3"/>
      <c r="IQ876" s="3"/>
      <c r="IR876" s="3"/>
      <c r="IS876" s="3"/>
      <c r="IT876" s="3"/>
      <c r="IU876" s="3"/>
      <c r="IV876" s="3"/>
      <c r="IW876" s="3"/>
      <c r="IX876" s="3"/>
      <c r="IY876" s="3"/>
    </row>
    <row r="877" spans="1:259" ht="13.2" x14ac:dyDescent="0.25">
      <c r="A877" s="10"/>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c r="HX877" s="3"/>
      <c r="HY877" s="3"/>
      <c r="HZ877" s="3"/>
      <c r="IA877" s="3"/>
      <c r="IB877" s="3"/>
      <c r="IC877" s="3"/>
      <c r="ID877" s="3"/>
      <c r="IE877" s="3"/>
      <c r="IF877" s="3"/>
      <c r="IG877" s="3"/>
      <c r="IH877" s="3"/>
      <c r="II877" s="3"/>
      <c r="IJ877" s="3"/>
      <c r="IK877" s="3"/>
      <c r="IL877" s="3"/>
      <c r="IM877" s="3"/>
      <c r="IN877" s="3"/>
      <c r="IO877" s="3"/>
      <c r="IP877" s="3"/>
      <c r="IQ877" s="3"/>
      <c r="IR877" s="3"/>
      <c r="IS877" s="3"/>
      <c r="IT877" s="3"/>
      <c r="IU877" s="3"/>
      <c r="IV877" s="3"/>
      <c r="IW877" s="3"/>
      <c r="IX877" s="3"/>
      <c r="IY877" s="3"/>
    </row>
    <row r="878" spans="1:259" ht="13.2" x14ac:dyDescent="0.25">
      <c r="A878" s="10"/>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c r="HX878" s="3"/>
      <c r="HY878" s="3"/>
      <c r="HZ878" s="3"/>
      <c r="IA878" s="3"/>
      <c r="IB878" s="3"/>
      <c r="IC878" s="3"/>
      <c r="ID878" s="3"/>
      <c r="IE878" s="3"/>
      <c r="IF878" s="3"/>
      <c r="IG878" s="3"/>
      <c r="IH878" s="3"/>
      <c r="II878" s="3"/>
      <c r="IJ878" s="3"/>
      <c r="IK878" s="3"/>
      <c r="IL878" s="3"/>
      <c r="IM878" s="3"/>
      <c r="IN878" s="3"/>
      <c r="IO878" s="3"/>
      <c r="IP878" s="3"/>
      <c r="IQ878" s="3"/>
      <c r="IR878" s="3"/>
      <c r="IS878" s="3"/>
      <c r="IT878" s="3"/>
      <c r="IU878" s="3"/>
      <c r="IV878" s="3"/>
      <c r="IW878" s="3"/>
      <c r="IX878" s="3"/>
      <c r="IY878" s="3"/>
    </row>
    <row r="879" spans="1:259" ht="13.2" x14ac:dyDescent="0.25">
      <c r="A879" s="10"/>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c r="HX879" s="3"/>
      <c r="HY879" s="3"/>
      <c r="HZ879" s="3"/>
      <c r="IA879" s="3"/>
      <c r="IB879" s="3"/>
      <c r="IC879" s="3"/>
      <c r="ID879" s="3"/>
      <c r="IE879" s="3"/>
      <c r="IF879" s="3"/>
      <c r="IG879" s="3"/>
      <c r="IH879" s="3"/>
      <c r="II879" s="3"/>
      <c r="IJ879" s="3"/>
      <c r="IK879" s="3"/>
      <c r="IL879" s="3"/>
      <c r="IM879" s="3"/>
      <c r="IN879" s="3"/>
      <c r="IO879" s="3"/>
      <c r="IP879" s="3"/>
      <c r="IQ879" s="3"/>
      <c r="IR879" s="3"/>
      <c r="IS879" s="3"/>
      <c r="IT879" s="3"/>
      <c r="IU879" s="3"/>
      <c r="IV879" s="3"/>
      <c r="IW879" s="3"/>
      <c r="IX879" s="3"/>
      <c r="IY879" s="3"/>
    </row>
    <row r="880" spans="1:259" ht="13.2" x14ac:dyDescent="0.25">
      <c r="A880" s="10"/>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c r="HX880" s="3"/>
      <c r="HY880" s="3"/>
      <c r="HZ880" s="3"/>
      <c r="IA880" s="3"/>
      <c r="IB880" s="3"/>
      <c r="IC880" s="3"/>
      <c r="ID880" s="3"/>
      <c r="IE880" s="3"/>
      <c r="IF880" s="3"/>
      <c r="IG880" s="3"/>
      <c r="IH880" s="3"/>
      <c r="II880" s="3"/>
      <c r="IJ880" s="3"/>
      <c r="IK880" s="3"/>
      <c r="IL880" s="3"/>
      <c r="IM880" s="3"/>
      <c r="IN880" s="3"/>
      <c r="IO880" s="3"/>
      <c r="IP880" s="3"/>
      <c r="IQ880" s="3"/>
      <c r="IR880" s="3"/>
      <c r="IS880" s="3"/>
      <c r="IT880" s="3"/>
      <c r="IU880" s="3"/>
      <c r="IV880" s="3"/>
      <c r="IW880" s="3"/>
      <c r="IX880" s="3"/>
      <c r="IY880" s="3"/>
    </row>
    <row r="881" spans="1:259" ht="13.2" x14ac:dyDescent="0.25">
      <c r="A881" s="10"/>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c r="HX881" s="3"/>
      <c r="HY881" s="3"/>
      <c r="HZ881" s="3"/>
      <c r="IA881" s="3"/>
      <c r="IB881" s="3"/>
      <c r="IC881" s="3"/>
      <c r="ID881" s="3"/>
      <c r="IE881" s="3"/>
      <c r="IF881" s="3"/>
      <c r="IG881" s="3"/>
      <c r="IH881" s="3"/>
      <c r="II881" s="3"/>
      <c r="IJ881" s="3"/>
      <c r="IK881" s="3"/>
      <c r="IL881" s="3"/>
      <c r="IM881" s="3"/>
      <c r="IN881" s="3"/>
      <c r="IO881" s="3"/>
      <c r="IP881" s="3"/>
      <c r="IQ881" s="3"/>
      <c r="IR881" s="3"/>
      <c r="IS881" s="3"/>
      <c r="IT881" s="3"/>
      <c r="IU881" s="3"/>
      <c r="IV881" s="3"/>
      <c r="IW881" s="3"/>
      <c r="IX881" s="3"/>
      <c r="IY881" s="3"/>
    </row>
    <row r="882" spans="1:259" ht="13.2" x14ac:dyDescent="0.25">
      <c r="A882" s="10"/>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c r="HX882" s="3"/>
      <c r="HY882" s="3"/>
      <c r="HZ882" s="3"/>
      <c r="IA882" s="3"/>
      <c r="IB882" s="3"/>
      <c r="IC882" s="3"/>
      <c r="ID882" s="3"/>
      <c r="IE882" s="3"/>
      <c r="IF882" s="3"/>
      <c r="IG882" s="3"/>
      <c r="IH882" s="3"/>
      <c r="II882" s="3"/>
      <c r="IJ882" s="3"/>
      <c r="IK882" s="3"/>
      <c r="IL882" s="3"/>
      <c r="IM882" s="3"/>
      <c r="IN882" s="3"/>
      <c r="IO882" s="3"/>
      <c r="IP882" s="3"/>
      <c r="IQ882" s="3"/>
      <c r="IR882" s="3"/>
      <c r="IS882" s="3"/>
      <c r="IT882" s="3"/>
      <c r="IU882" s="3"/>
      <c r="IV882" s="3"/>
      <c r="IW882" s="3"/>
      <c r="IX882" s="3"/>
      <c r="IY882" s="3"/>
    </row>
    <row r="883" spans="1:259" ht="13.2" x14ac:dyDescent="0.25">
      <c r="A883" s="10"/>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c r="HX883" s="3"/>
      <c r="HY883" s="3"/>
      <c r="HZ883" s="3"/>
      <c r="IA883" s="3"/>
      <c r="IB883" s="3"/>
      <c r="IC883" s="3"/>
      <c r="ID883" s="3"/>
      <c r="IE883" s="3"/>
      <c r="IF883" s="3"/>
      <c r="IG883" s="3"/>
      <c r="IH883" s="3"/>
      <c r="II883" s="3"/>
      <c r="IJ883" s="3"/>
      <c r="IK883" s="3"/>
      <c r="IL883" s="3"/>
      <c r="IM883" s="3"/>
      <c r="IN883" s="3"/>
      <c r="IO883" s="3"/>
      <c r="IP883" s="3"/>
      <c r="IQ883" s="3"/>
      <c r="IR883" s="3"/>
      <c r="IS883" s="3"/>
      <c r="IT883" s="3"/>
      <c r="IU883" s="3"/>
      <c r="IV883" s="3"/>
      <c r="IW883" s="3"/>
      <c r="IX883" s="3"/>
      <c r="IY883" s="3"/>
    </row>
    <row r="884" spans="1:259" ht="13.2" x14ac:dyDescent="0.25">
      <c r="A884" s="10"/>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c r="HX884" s="3"/>
      <c r="HY884" s="3"/>
      <c r="HZ884" s="3"/>
      <c r="IA884" s="3"/>
      <c r="IB884" s="3"/>
      <c r="IC884" s="3"/>
      <c r="ID884" s="3"/>
      <c r="IE884" s="3"/>
      <c r="IF884" s="3"/>
      <c r="IG884" s="3"/>
      <c r="IH884" s="3"/>
      <c r="II884" s="3"/>
      <c r="IJ884" s="3"/>
      <c r="IK884" s="3"/>
      <c r="IL884" s="3"/>
      <c r="IM884" s="3"/>
      <c r="IN884" s="3"/>
      <c r="IO884" s="3"/>
      <c r="IP884" s="3"/>
      <c r="IQ884" s="3"/>
      <c r="IR884" s="3"/>
      <c r="IS884" s="3"/>
      <c r="IT884" s="3"/>
      <c r="IU884" s="3"/>
      <c r="IV884" s="3"/>
      <c r="IW884" s="3"/>
      <c r="IX884" s="3"/>
      <c r="IY884" s="3"/>
    </row>
    <row r="885" spans="1:259" ht="13.2" x14ac:dyDescent="0.25">
      <c r="A885" s="10"/>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c r="HX885" s="3"/>
      <c r="HY885" s="3"/>
      <c r="HZ885" s="3"/>
      <c r="IA885" s="3"/>
      <c r="IB885" s="3"/>
      <c r="IC885" s="3"/>
      <c r="ID885" s="3"/>
      <c r="IE885" s="3"/>
      <c r="IF885" s="3"/>
      <c r="IG885" s="3"/>
      <c r="IH885" s="3"/>
      <c r="II885" s="3"/>
      <c r="IJ885" s="3"/>
      <c r="IK885" s="3"/>
      <c r="IL885" s="3"/>
      <c r="IM885" s="3"/>
      <c r="IN885" s="3"/>
      <c r="IO885" s="3"/>
      <c r="IP885" s="3"/>
      <c r="IQ885" s="3"/>
      <c r="IR885" s="3"/>
      <c r="IS885" s="3"/>
      <c r="IT885" s="3"/>
      <c r="IU885" s="3"/>
      <c r="IV885" s="3"/>
      <c r="IW885" s="3"/>
      <c r="IX885" s="3"/>
      <c r="IY885" s="3"/>
    </row>
    <row r="886" spans="1:259" ht="13.2" x14ac:dyDescent="0.25">
      <c r="A886" s="10"/>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c r="HX886" s="3"/>
      <c r="HY886" s="3"/>
      <c r="HZ886" s="3"/>
      <c r="IA886" s="3"/>
      <c r="IB886" s="3"/>
      <c r="IC886" s="3"/>
      <c r="ID886" s="3"/>
      <c r="IE886" s="3"/>
      <c r="IF886" s="3"/>
      <c r="IG886" s="3"/>
      <c r="IH886" s="3"/>
      <c r="II886" s="3"/>
      <c r="IJ886" s="3"/>
      <c r="IK886" s="3"/>
      <c r="IL886" s="3"/>
      <c r="IM886" s="3"/>
      <c r="IN886" s="3"/>
      <c r="IO886" s="3"/>
      <c r="IP886" s="3"/>
      <c r="IQ886" s="3"/>
      <c r="IR886" s="3"/>
      <c r="IS886" s="3"/>
      <c r="IT886" s="3"/>
      <c r="IU886" s="3"/>
      <c r="IV886" s="3"/>
      <c r="IW886" s="3"/>
      <c r="IX886" s="3"/>
      <c r="IY886" s="3"/>
    </row>
    <row r="887" spans="1:259" ht="13.2" x14ac:dyDescent="0.25">
      <c r="A887" s="10"/>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c r="HX887" s="3"/>
      <c r="HY887" s="3"/>
      <c r="HZ887" s="3"/>
      <c r="IA887" s="3"/>
      <c r="IB887" s="3"/>
      <c r="IC887" s="3"/>
      <c r="ID887" s="3"/>
      <c r="IE887" s="3"/>
      <c r="IF887" s="3"/>
      <c r="IG887" s="3"/>
      <c r="IH887" s="3"/>
      <c r="II887" s="3"/>
      <c r="IJ887" s="3"/>
      <c r="IK887" s="3"/>
      <c r="IL887" s="3"/>
      <c r="IM887" s="3"/>
      <c r="IN887" s="3"/>
      <c r="IO887" s="3"/>
      <c r="IP887" s="3"/>
      <c r="IQ887" s="3"/>
      <c r="IR887" s="3"/>
      <c r="IS887" s="3"/>
      <c r="IT887" s="3"/>
      <c r="IU887" s="3"/>
      <c r="IV887" s="3"/>
      <c r="IW887" s="3"/>
      <c r="IX887" s="3"/>
      <c r="IY887" s="3"/>
    </row>
    <row r="888" spans="1:259" ht="13.2" x14ac:dyDescent="0.25">
      <c r="A888" s="10"/>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c r="IW888" s="3"/>
      <c r="IX888" s="3"/>
      <c r="IY888" s="3"/>
    </row>
    <row r="889" spans="1:259" ht="13.2" x14ac:dyDescent="0.25">
      <c r="A889" s="10"/>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c r="HX889" s="3"/>
      <c r="HY889" s="3"/>
      <c r="HZ889" s="3"/>
      <c r="IA889" s="3"/>
      <c r="IB889" s="3"/>
      <c r="IC889" s="3"/>
      <c r="ID889" s="3"/>
      <c r="IE889" s="3"/>
      <c r="IF889" s="3"/>
      <c r="IG889" s="3"/>
      <c r="IH889" s="3"/>
      <c r="II889" s="3"/>
      <c r="IJ889" s="3"/>
      <c r="IK889" s="3"/>
      <c r="IL889" s="3"/>
      <c r="IM889" s="3"/>
      <c r="IN889" s="3"/>
      <c r="IO889" s="3"/>
      <c r="IP889" s="3"/>
      <c r="IQ889" s="3"/>
      <c r="IR889" s="3"/>
      <c r="IS889" s="3"/>
      <c r="IT889" s="3"/>
      <c r="IU889" s="3"/>
      <c r="IV889" s="3"/>
      <c r="IW889" s="3"/>
      <c r="IX889" s="3"/>
      <c r="IY889" s="3"/>
    </row>
    <row r="890" spans="1:259" ht="13.2" x14ac:dyDescent="0.25">
      <c r="A890" s="10"/>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c r="HX890" s="3"/>
      <c r="HY890" s="3"/>
      <c r="HZ890" s="3"/>
      <c r="IA890" s="3"/>
      <c r="IB890" s="3"/>
      <c r="IC890" s="3"/>
      <c r="ID890" s="3"/>
      <c r="IE890" s="3"/>
      <c r="IF890" s="3"/>
      <c r="IG890" s="3"/>
      <c r="IH890" s="3"/>
      <c r="II890" s="3"/>
      <c r="IJ890" s="3"/>
      <c r="IK890" s="3"/>
      <c r="IL890" s="3"/>
      <c r="IM890" s="3"/>
      <c r="IN890" s="3"/>
      <c r="IO890" s="3"/>
      <c r="IP890" s="3"/>
      <c r="IQ890" s="3"/>
      <c r="IR890" s="3"/>
      <c r="IS890" s="3"/>
      <c r="IT890" s="3"/>
      <c r="IU890" s="3"/>
      <c r="IV890" s="3"/>
      <c r="IW890" s="3"/>
      <c r="IX890" s="3"/>
      <c r="IY890" s="3"/>
    </row>
    <row r="891" spans="1:259" ht="13.2" x14ac:dyDescent="0.25">
      <c r="A891" s="10"/>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c r="HX891" s="3"/>
      <c r="HY891" s="3"/>
      <c r="HZ891" s="3"/>
      <c r="IA891" s="3"/>
      <c r="IB891" s="3"/>
      <c r="IC891" s="3"/>
      <c r="ID891" s="3"/>
      <c r="IE891" s="3"/>
      <c r="IF891" s="3"/>
      <c r="IG891" s="3"/>
      <c r="IH891" s="3"/>
      <c r="II891" s="3"/>
      <c r="IJ891" s="3"/>
      <c r="IK891" s="3"/>
      <c r="IL891" s="3"/>
      <c r="IM891" s="3"/>
      <c r="IN891" s="3"/>
      <c r="IO891" s="3"/>
      <c r="IP891" s="3"/>
      <c r="IQ891" s="3"/>
      <c r="IR891" s="3"/>
      <c r="IS891" s="3"/>
      <c r="IT891" s="3"/>
      <c r="IU891" s="3"/>
      <c r="IV891" s="3"/>
      <c r="IW891" s="3"/>
      <c r="IX891" s="3"/>
      <c r="IY891" s="3"/>
    </row>
    <row r="892" spans="1:259" ht="13.2" x14ac:dyDescent="0.25">
      <c r="A892" s="10"/>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c r="HX892" s="3"/>
      <c r="HY892" s="3"/>
      <c r="HZ892" s="3"/>
      <c r="IA892" s="3"/>
      <c r="IB892" s="3"/>
      <c r="IC892" s="3"/>
      <c r="ID892" s="3"/>
      <c r="IE892" s="3"/>
      <c r="IF892" s="3"/>
      <c r="IG892" s="3"/>
      <c r="IH892" s="3"/>
      <c r="II892" s="3"/>
      <c r="IJ892" s="3"/>
      <c r="IK892" s="3"/>
      <c r="IL892" s="3"/>
      <c r="IM892" s="3"/>
      <c r="IN892" s="3"/>
      <c r="IO892" s="3"/>
      <c r="IP892" s="3"/>
      <c r="IQ892" s="3"/>
      <c r="IR892" s="3"/>
      <c r="IS892" s="3"/>
      <c r="IT892" s="3"/>
      <c r="IU892" s="3"/>
      <c r="IV892" s="3"/>
      <c r="IW892" s="3"/>
      <c r="IX892" s="3"/>
      <c r="IY892" s="3"/>
    </row>
    <row r="893" spans="1:259" ht="13.2" x14ac:dyDescent="0.25">
      <c r="A893" s="10"/>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c r="HX893" s="3"/>
      <c r="HY893" s="3"/>
      <c r="HZ893" s="3"/>
      <c r="IA893" s="3"/>
      <c r="IB893" s="3"/>
      <c r="IC893" s="3"/>
      <c r="ID893" s="3"/>
      <c r="IE893" s="3"/>
      <c r="IF893" s="3"/>
      <c r="IG893" s="3"/>
      <c r="IH893" s="3"/>
      <c r="II893" s="3"/>
      <c r="IJ893" s="3"/>
      <c r="IK893" s="3"/>
      <c r="IL893" s="3"/>
      <c r="IM893" s="3"/>
      <c r="IN893" s="3"/>
      <c r="IO893" s="3"/>
      <c r="IP893" s="3"/>
      <c r="IQ893" s="3"/>
      <c r="IR893" s="3"/>
      <c r="IS893" s="3"/>
      <c r="IT893" s="3"/>
      <c r="IU893" s="3"/>
      <c r="IV893" s="3"/>
      <c r="IW893" s="3"/>
      <c r="IX893" s="3"/>
      <c r="IY893" s="3"/>
    </row>
    <row r="894" spans="1:259" ht="13.2" x14ac:dyDescent="0.25">
      <c r="A894" s="10"/>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c r="HX894" s="3"/>
      <c r="HY894" s="3"/>
      <c r="HZ894" s="3"/>
      <c r="IA894" s="3"/>
      <c r="IB894" s="3"/>
      <c r="IC894" s="3"/>
      <c r="ID894" s="3"/>
      <c r="IE894" s="3"/>
      <c r="IF894" s="3"/>
      <c r="IG894" s="3"/>
      <c r="IH894" s="3"/>
      <c r="II894" s="3"/>
      <c r="IJ894" s="3"/>
      <c r="IK894" s="3"/>
      <c r="IL894" s="3"/>
      <c r="IM894" s="3"/>
      <c r="IN894" s="3"/>
      <c r="IO894" s="3"/>
      <c r="IP894" s="3"/>
      <c r="IQ894" s="3"/>
      <c r="IR894" s="3"/>
      <c r="IS894" s="3"/>
      <c r="IT894" s="3"/>
      <c r="IU894" s="3"/>
      <c r="IV894" s="3"/>
      <c r="IW894" s="3"/>
      <c r="IX894" s="3"/>
      <c r="IY894" s="3"/>
    </row>
    <row r="895" spans="1:259" ht="13.2" x14ac:dyDescent="0.25">
      <c r="A895" s="10"/>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c r="HX895" s="3"/>
      <c r="HY895" s="3"/>
      <c r="HZ895" s="3"/>
      <c r="IA895" s="3"/>
      <c r="IB895" s="3"/>
      <c r="IC895" s="3"/>
      <c r="ID895" s="3"/>
      <c r="IE895" s="3"/>
      <c r="IF895" s="3"/>
      <c r="IG895" s="3"/>
      <c r="IH895" s="3"/>
      <c r="II895" s="3"/>
      <c r="IJ895" s="3"/>
      <c r="IK895" s="3"/>
      <c r="IL895" s="3"/>
      <c r="IM895" s="3"/>
      <c r="IN895" s="3"/>
      <c r="IO895" s="3"/>
      <c r="IP895" s="3"/>
      <c r="IQ895" s="3"/>
      <c r="IR895" s="3"/>
      <c r="IS895" s="3"/>
      <c r="IT895" s="3"/>
      <c r="IU895" s="3"/>
      <c r="IV895" s="3"/>
      <c r="IW895" s="3"/>
      <c r="IX895" s="3"/>
      <c r="IY895" s="3"/>
    </row>
    <row r="896" spans="1:259" ht="13.2" x14ac:dyDescent="0.25">
      <c r="A896" s="10"/>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c r="HX896" s="3"/>
      <c r="HY896" s="3"/>
      <c r="HZ896" s="3"/>
      <c r="IA896" s="3"/>
      <c r="IB896" s="3"/>
      <c r="IC896" s="3"/>
      <c r="ID896" s="3"/>
      <c r="IE896" s="3"/>
      <c r="IF896" s="3"/>
      <c r="IG896" s="3"/>
      <c r="IH896" s="3"/>
      <c r="II896" s="3"/>
      <c r="IJ896" s="3"/>
      <c r="IK896" s="3"/>
      <c r="IL896" s="3"/>
      <c r="IM896" s="3"/>
      <c r="IN896" s="3"/>
      <c r="IO896" s="3"/>
      <c r="IP896" s="3"/>
      <c r="IQ896" s="3"/>
      <c r="IR896" s="3"/>
      <c r="IS896" s="3"/>
      <c r="IT896" s="3"/>
      <c r="IU896" s="3"/>
      <c r="IV896" s="3"/>
      <c r="IW896" s="3"/>
      <c r="IX896" s="3"/>
      <c r="IY896" s="3"/>
    </row>
    <row r="897" spans="1:259" ht="13.2" x14ac:dyDescent="0.25">
      <c r="A897" s="10"/>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c r="HX897" s="3"/>
      <c r="HY897" s="3"/>
      <c r="HZ897" s="3"/>
      <c r="IA897" s="3"/>
      <c r="IB897" s="3"/>
      <c r="IC897" s="3"/>
      <c r="ID897" s="3"/>
      <c r="IE897" s="3"/>
      <c r="IF897" s="3"/>
      <c r="IG897" s="3"/>
      <c r="IH897" s="3"/>
      <c r="II897" s="3"/>
      <c r="IJ897" s="3"/>
      <c r="IK897" s="3"/>
      <c r="IL897" s="3"/>
      <c r="IM897" s="3"/>
      <c r="IN897" s="3"/>
      <c r="IO897" s="3"/>
      <c r="IP897" s="3"/>
      <c r="IQ897" s="3"/>
      <c r="IR897" s="3"/>
      <c r="IS897" s="3"/>
      <c r="IT897" s="3"/>
      <c r="IU897" s="3"/>
      <c r="IV897" s="3"/>
      <c r="IW897" s="3"/>
      <c r="IX897" s="3"/>
      <c r="IY897" s="3"/>
    </row>
    <row r="898" spans="1:259" ht="13.2" x14ac:dyDescent="0.25">
      <c r="A898" s="10"/>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c r="HX898" s="3"/>
      <c r="HY898" s="3"/>
      <c r="HZ898" s="3"/>
      <c r="IA898" s="3"/>
      <c r="IB898" s="3"/>
      <c r="IC898" s="3"/>
      <c r="ID898" s="3"/>
      <c r="IE898" s="3"/>
      <c r="IF898" s="3"/>
      <c r="IG898" s="3"/>
      <c r="IH898" s="3"/>
      <c r="II898" s="3"/>
      <c r="IJ898" s="3"/>
      <c r="IK898" s="3"/>
      <c r="IL898" s="3"/>
      <c r="IM898" s="3"/>
      <c r="IN898" s="3"/>
      <c r="IO898" s="3"/>
      <c r="IP898" s="3"/>
      <c r="IQ898" s="3"/>
      <c r="IR898" s="3"/>
      <c r="IS898" s="3"/>
      <c r="IT898" s="3"/>
      <c r="IU898" s="3"/>
      <c r="IV898" s="3"/>
      <c r="IW898" s="3"/>
      <c r="IX898" s="3"/>
      <c r="IY898" s="3"/>
    </row>
    <row r="899" spans="1:259" ht="13.2" x14ac:dyDescent="0.25">
      <c r="A899" s="10"/>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c r="HX899" s="3"/>
      <c r="HY899" s="3"/>
      <c r="HZ899" s="3"/>
      <c r="IA899" s="3"/>
      <c r="IB899" s="3"/>
      <c r="IC899" s="3"/>
      <c r="ID899" s="3"/>
      <c r="IE899" s="3"/>
      <c r="IF899" s="3"/>
      <c r="IG899" s="3"/>
      <c r="IH899" s="3"/>
      <c r="II899" s="3"/>
      <c r="IJ899" s="3"/>
      <c r="IK899" s="3"/>
      <c r="IL899" s="3"/>
      <c r="IM899" s="3"/>
      <c r="IN899" s="3"/>
      <c r="IO899" s="3"/>
      <c r="IP899" s="3"/>
      <c r="IQ899" s="3"/>
      <c r="IR899" s="3"/>
      <c r="IS899" s="3"/>
      <c r="IT899" s="3"/>
      <c r="IU899" s="3"/>
      <c r="IV899" s="3"/>
      <c r="IW899" s="3"/>
      <c r="IX899" s="3"/>
      <c r="IY899" s="3"/>
    </row>
    <row r="900" spans="1:259" ht="13.2" x14ac:dyDescent="0.25">
      <c r="A900" s="10"/>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c r="HX900" s="3"/>
      <c r="HY900" s="3"/>
      <c r="HZ900" s="3"/>
      <c r="IA900" s="3"/>
      <c r="IB900" s="3"/>
      <c r="IC900" s="3"/>
      <c r="ID900" s="3"/>
      <c r="IE900" s="3"/>
      <c r="IF900" s="3"/>
      <c r="IG900" s="3"/>
      <c r="IH900" s="3"/>
      <c r="II900" s="3"/>
      <c r="IJ900" s="3"/>
      <c r="IK900" s="3"/>
      <c r="IL900" s="3"/>
      <c r="IM900" s="3"/>
      <c r="IN900" s="3"/>
      <c r="IO900" s="3"/>
      <c r="IP900" s="3"/>
      <c r="IQ900" s="3"/>
      <c r="IR900" s="3"/>
      <c r="IS900" s="3"/>
      <c r="IT900" s="3"/>
      <c r="IU900" s="3"/>
      <c r="IV900" s="3"/>
      <c r="IW900" s="3"/>
      <c r="IX900" s="3"/>
      <c r="IY900" s="3"/>
    </row>
    <row r="901" spans="1:259" ht="13.2" x14ac:dyDescent="0.25">
      <c r="A901" s="10"/>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c r="HX901" s="3"/>
      <c r="HY901" s="3"/>
      <c r="HZ901" s="3"/>
      <c r="IA901" s="3"/>
      <c r="IB901" s="3"/>
      <c r="IC901" s="3"/>
      <c r="ID901" s="3"/>
      <c r="IE901" s="3"/>
      <c r="IF901" s="3"/>
      <c r="IG901" s="3"/>
      <c r="IH901" s="3"/>
      <c r="II901" s="3"/>
      <c r="IJ901" s="3"/>
      <c r="IK901" s="3"/>
      <c r="IL901" s="3"/>
      <c r="IM901" s="3"/>
      <c r="IN901" s="3"/>
      <c r="IO901" s="3"/>
      <c r="IP901" s="3"/>
      <c r="IQ901" s="3"/>
      <c r="IR901" s="3"/>
      <c r="IS901" s="3"/>
      <c r="IT901" s="3"/>
      <c r="IU901" s="3"/>
      <c r="IV901" s="3"/>
      <c r="IW901" s="3"/>
      <c r="IX901" s="3"/>
      <c r="IY901" s="3"/>
    </row>
    <row r="902" spans="1:259" ht="13.2" x14ac:dyDescent="0.25">
      <c r="A902" s="10"/>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c r="HX902" s="3"/>
      <c r="HY902" s="3"/>
      <c r="HZ902" s="3"/>
      <c r="IA902" s="3"/>
      <c r="IB902" s="3"/>
      <c r="IC902" s="3"/>
      <c r="ID902" s="3"/>
      <c r="IE902" s="3"/>
      <c r="IF902" s="3"/>
      <c r="IG902" s="3"/>
      <c r="IH902" s="3"/>
      <c r="II902" s="3"/>
      <c r="IJ902" s="3"/>
      <c r="IK902" s="3"/>
      <c r="IL902" s="3"/>
      <c r="IM902" s="3"/>
      <c r="IN902" s="3"/>
      <c r="IO902" s="3"/>
      <c r="IP902" s="3"/>
      <c r="IQ902" s="3"/>
      <c r="IR902" s="3"/>
      <c r="IS902" s="3"/>
      <c r="IT902" s="3"/>
      <c r="IU902" s="3"/>
      <c r="IV902" s="3"/>
      <c r="IW902" s="3"/>
      <c r="IX902" s="3"/>
      <c r="IY902" s="3"/>
    </row>
    <row r="903" spans="1:259" ht="13.2" x14ac:dyDescent="0.25">
      <c r="A903" s="10"/>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c r="HX903" s="3"/>
      <c r="HY903" s="3"/>
      <c r="HZ903" s="3"/>
      <c r="IA903" s="3"/>
      <c r="IB903" s="3"/>
      <c r="IC903" s="3"/>
      <c r="ID903" s="3"/>
      <c r="IE903" s="3"/>
      <c r="IF903" s="3"/>
      <c r="IG903" s="3"/>
      <c r="IH903" s="3"/>
      <c r="II903" s="3"/>
      <c r="IJ903" s="3"/>
      <c r="IK903" s="3"/>
      <c r="IL903" s="3"/>
      <c r="IM903" s="3"/>
      <c r="IN903" s="3"/>
      <c r="IO903" s="3"/>
      <c r="IP903" s="3"/>
      <c r="IQ903" s="3"/>
      <c r="IR903" s="3"/>
      <c r="IS903" s="3"/>
      <c r="IT903" s="3"/>
      <c r="IU903" s="3"/>
      <c r="IV903" s="3"/>
      <c r="IW903" s="3"/>
      <c r="IX903" s="3"/>
      <c r="IY903" s="3"/>
    </row>
    <row r="904" spans="1:259" ht="13.2" x14ac:dyDescent="0.25">
      <c r="A904" s="10"/>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c r="HX904" s="3"/>
      <c r="HY904" s="3"/>
      <c r="HZ904" s="3"/>
      <c r="IA904" s="3"/>
      <c r="IB904" s="3"/>
      <c r="IC904" s="3"/>
      <c r="ID904" s="3"/>
      <c r="IE904" s="3"/>
      <c r="IF904" s="3"/>
      <c r="IG904" s="3"/>
      <c r="IH904" s="3"/>
      <c r="II904" s="3"/>
      <c r="IJ904" s="3"/>
      <c r="IK904" s="3"/>
      <c r="IL904" s="3"/>
      <c r="IM904" s="3"/>
      <c r="IN904" s="3"/>
      <c r="IO904" s="3"/>
      <c r="IP904" s="3"/>
      <c r="IQ904" s="3"/>
      <c r="IR904" s="3"/>
      <c r="IS904" s="3"/>
      <c r="IT904" s="3"/>
      <c r="IU904" s="3"/>
      <c r="IV904" s="3"/>
      <c r="IW904" s="3"/>
      <c r="IX904" s="3"/>
      <c r="IY904" s="3"/>
    </row>
    <row r="905" spans="1:259" ht="13.2" x14ac:dyDescent="0.25">
      <c r="A905" s="10"/>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c r="HX905" s="3"/>
      <c r="HY905" s="3"/>
      <c r="HZ905" s="3"/>
      <c r="IA905" s="3"/>
      <c r="IB905" s="3"/>
      <c r="IC905" s="3"/>
      <c r="ID905" s="3"/>
      <c r="IE905" s="3"/>
      <c r="IF905" s="3"/>
      <c r="IG905" s="3"/>
      <c r="IH905" s="3"/>
      <c r="II905" s="3"/>
      <c r="IJ905" s="3"/>
      <c r="IK905" s="3"/>
      <c r="IL905" s="3"/>
      <c r="IM905" s="3"/>
      <c r="IN905" s="3"/>
      <c r="IO905" s="3"/>
      <c r="IP905" s="3"/>
      <c r="IQ905" s="3"/>
      <c r="IR905" s="3"/>
      <c r="IS905" s="3"/>
      <c r="IT905" s="3"/>
      <c r="IU905" s="3"/>
      <c r="IV905" s="3"/>
      <c r="IW905" s="3"/>
      <c r="IX905" s="3"/>
      <c r="IY905" s="3"/>
    </row>
    <row r="906" spans="1:259" ht="13.2" x14ac:dyDescent="0.25">
      <c r="A906" s="10"/>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c r="IW906" s="3"/>
      <c r="IX906" s="3"/>
      <c r="IY906" s="3"/>
    </row>
    <row r="907" spans="1:259" ht="13.2" x14ac:dyDescent="0.25">
      <c r="A907" s="10"/>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c r="HX907" s="3"/>
      <c r="HY907" s="3"/>
      <c r="HZ907" s="3"/>
      <c r="IA907" s="3"/>
      <c r="IB907" s="3"/>
      <c r="IC907" s="3"/>
      <c r="ID907" s="3"/>
      <c r="IE907" s="3"/>
      <c r="IF907" s="3"/>
      <c r="IG907" s="3"/>
      <c r="IH907" s="3"/>
      <c r="II907" s="3"/>
      <c r="IJ907" s="3"/>
      <c r="IK907" s="3"/>
      <c r="IL907" s="3"/>
      <c r="IM907" s="3"/>
      <c r="IN907" s="3"/>
      <c r="IO907" s="3"/>
      <c r="IP907" s="3"/>
      <c r="IQ907" s="3"/>
      <c r="IR907" s="3"/>
      <c r="IS907" s="3"/>
      <c r="IT907" s="3"/>
      <c r="IU907" s="3"/>
      <c r="IV907" s="3"/>
      <c r="IW907" s="3"/>
      <c r="IX907" s="3"/>
      <c r="IY907" s="3"/>
    </row>
    <row r="908" spans="1:259" ht="13.2" x14ac:dyDescent="0.25">
      <c r="A908" s="10"/>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c r="HX908" s="3"/>
      <c r="HY908" s="3"/>
      <c r="HZ908" s="3"/>
      <c r="IA908" s="3"/>
      <c r="IB908" s="3"/>
      <c r="IC908" s="3"/>
      <c r="ID908" s="3"/>
      <c r="IE908" s="3"/>
      <c r="IF908" s="3"/>
      <c r="IG908" s="3"/>
      <c r="IH908" s="3"/>
      <c r="II908" s="3"/>
      <c r="IJ908" s="3"/>
      <c r="IK908" s="3"/>
      <c r="IL908" s="3"/>
      <c r="IM908" s="3"/>
      <c r="IN908" s="3"/>
      <c r="IO908" s="3"/>
      <c r="IP908" s="3"/>
      <c r="IQ908" s="3"/>
      <c r="IR908" s="3"/>
      <c r="IS908" s="3"/>
      <c r="IT908" s="3"/>
      <c r="IU908" s="3"/>
      <c r="IV908" s="3"/>
      <c r="IW908" s="3"/>
      <c r="IX908" s="3"/>
      <c r="IY908" s="3"/>
    </row>
    <row r="909" spans="1:259" ht="13.2" x14ac:dyDescent="0.25">
      <c r="A909" s="10"/>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c r="HX909" s="3"/>
      <c r="HY909" s="3"/>
      <c r="HZ909" s="3"/>
      <c r="IA909" s="3"/>
      <c r="IB909" s="3"/>
      <c r="IC909" s="3"/>
      <c r="ID909" s="3"/>
      <c r="IE909" s="3"/>
      <c r="IF909" s="3"/>
      <c r="IG909" s="3"/>
      <c r="IH909" s="3"/>
      <c r="II909" s="3"/>
      <c r="IJ909" s="3"/>
      <c r="IK909" s="3"/>
      <c r="IL909" s="3"/>
      <c r="IM909" s="3"/>
      <c r="IN909" s="3"/>
      <c r="IO909" s="3"/>
      <c r="IP909" s="3"/>
      <c r="IQ909" s="3"/>
      <c r="IR909" s="3"/>
      <c r="IS909" s="3"/>
      <c r="IT909" s="3"/>
      <c r="IU909" s="3"/>
      <c r="IV909" s="3"/>
      <c r="IW909" s="3"/>
      <c r="IX909" s="3"/>
      <c r="IY909" s="3"/>
    </row>
    <row r="910" spans="1:259" ht="13.2" x14ac:dyDescent="0.25">
      <c r="A910" s="10"/>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c r="IW910" s="3"/>
      <c r="IX910" s="3"/>
      <c r="IY910" s="3"/>
    </row>
    <row r="911" spans="1:259" ht="13.2" x14ac:dyDescent="0.25">
      <c r="A911" s="10"/>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c r="HX911" s="3"/>
      <c r="HY911" s="3"/>
      <c r="HZ911" s="3"/>
      <c r="IA911" s="3"/>
      <c r="IB911" s="3"/>
      <c r="IC911" s="3"/>
      <c r="ID911" s="3"/>
      <c r="IE911" s="3"/>
      <c r="IF911" s="3"/>
      <c r="IG911" s="3"/>
      <c r="IH911" s="3"/>
      <c r="II911" s="3"/>
      <c r="IJ911" s="3"/>
      <c r="IK911" s="3"/>
      <c r="IL911" s="3"/>
      <c r="IM911" s="3"/>
      <c r="IN911" s="3"/>
      <c r="IO911" s="3"/>
      <c r="IP911" s="3"/>
      <c r="IQ911" s="3"/>
      <c r="IR911" s="3"/>
      <c r="IS911" s="3"/>
      <c r="IT911" s="3"/>
      <c r="IU911" s="3"/>
      <c r="IV911" s="3"/>
      <c r="IW911" s="3"/>
      <c r="IX911" s="3"/>
      <c r="IY911" s="3"/>
    </row>
    <row r="912" spans="1:259" ht="13.2" x14ac:dyDescent="0.25">
      <c r="A912" s="10"/>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c r="HX912" s="3"/>
      <c r="HY912" s="3"/>
      <c r="HZ912" s="3"/>
      <c r="IA912" s="3"/>
      <c r="IB912" s="3"/>
      <c r="IC912" s="3"/>
      <c r="ID912" s="3"/>
      <c r="IE912" s="3"/>
      <c r="IF912" s="3"/>
      <c r="IG912" s="3"/>
      <c r="IH912" s="3"/>
      <c r="II912" s="3"/>
      <c r="IJ912" s="3"/>
      <c r="IK912" s="3"/>
      <c r="IL912" s="3"/>
      <c r="IM912" s="3"/>
      <c r="IN912" s="3"/>
      <c r="IO912" s="3"/>
      <c r="IP912" s="3"/>
      <c r="IQ912" s="3"/>
      <c r="IR912" s="3"/>
      <c r="IS912" s="3"/>
      <c r="IT912" s="3"/>
      <c r="IU912" s="3"/>
      <c r="IV912" s="3"/>
      <c r="IW912" s="3"/>
      <c r="IX912" s="3"/>
      <c r="IY912" s="3"/>
    </row>
    <row r="913" spans="1:259" ht="13.2" x14ac:dyDescent="0.25">
      <c r="A913" s="10"/>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c r="HX913" s="3"/>
      <c r="HY913" s="3"/>
      <c r="HZ913" s="3"/>
      <c r="IA913" s="3"/>
      <c r="IB913" s="3"/>
      <c r="IC913" s="3"/>
      <c r="ID913" s="3"/>
      <c r="IE913" s="3"/>
      <c r="IF913" s="3"/>
      <c r="IG913" s="3"/>
      <c r="IH913" s="3"/>
      <c r="II913" s="3"/>
      <c r="IJ913" s="3"/>
      <c r="IK913" s="3"/>
      <c r="IL913" s="3"/>
      <c r="IM913" s="3"/>
      <c r="IN913" s="3"/>
      <c r="IO913" s="3"/>
      <c r="IP913" s="3"/>
      <c r="IQ913" s="3"/>
      <c r="IR913" s="3"/>
      <c r="IS913" s="3"/>
      <c r="IT913" s="3"/>
      <c r="IU913" s="3"/>
      <c r="IV913" s="3"/>
      <c r="IW913" s="3"/>
      <c r="IX913" s="3"/>
      <c r="IY913" s="3"/>
    </row>
    <row r="914" spans="1:259" ht="13.2" x14ac:dyDescent="0.25">
      <c r="A914" s="10"/>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c r="HX914" s="3"/>
      <c r="HY914" s="3"/>
      <c r="HZ914" s="3"/>
      <c r="IA914" s="3"/>
      <c r="IB914" s="3"/>
      <c r="IC914" s="3"/>
      <c r="ID914" s="3"/>
      <c r="IE914" s="3"/>
      <c r="IF914" s="3"/>
      <c r="IG914" s="3"/>
      <c r="IH914" s="3"/>
      <c r="II914" s="3"/>
      <c r="IJ914" s="3"/>
      <c r="IK914" s="3"/>
      <c r="IL914" s="3"/>
      <c r="IM914" s="3"/>
      <c r="IN914" s="3"/>
      <c r="IO914" s="3"/>
      <c r="IP914" s="3"/>
      <c r="IQ914" s="3"/>
      <c r="IR914" s="3"/>
      <c r="IS914" s="3"/>
      <c r="IT914" s="3"/>
      <c r="IU914" s="3"/>
      <c r="IV914" s="3"/>
      <c r="IW914" s="3"/>
      <c r="IX914" s="3"/>
      <c r="IY914" s="3"/>
    </row>
    <row r="915" spans="1:259" ht="13.2" x14ac:dyDescent="0.25">
      <c r="A915" s="10"/>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c r="HX915" s="3"/>
      <c r="HY915" s="3"/>
      <c r="HZ915" s="3"/>
      <c r="IA915" s="3"/>
      <c r="IB915" s="3"/>
      <c r="IC915" s="3"/>
      <c r="ID915" s="3"/>
      <c r="IE915" s="3"/>
      <c r="IF915" s="3"/>
      <c r="IG915" s="3"/>
      <c r="IH915" s="3"/>
      <c r="II915" s="3"/>
      <c r="IJ915" s="3"/>
      <c r="IK915" s="3"/>
      <c r="IL915" s="3"/>
      <c r="IM915" s="3"/>
      <c r="IN915" s="3"/>
      <c r="IO915" s="3"/>
      <c r="IP915" s="3"/>
      <c r="IQ915" s="3"/>
      <c r="IR915" s="3"/>
      <c r="IS915" s="3"/>
      <c r="IT915" s="3"/>
      <c r="IU915" s="3"/>
      <c r="IV915" s="3"/>
      <c r="IW915" s="3"/>
      <c r="IX915" s="3"/>
      <c r="IY915" s="3"/>
    </row>
    <row r="916" spans="1:259" ht="13.2" x14ac:dyDescent="0.25">
      <c r="A916" s="10"/>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c r="HX916" s="3"/>
      <c r="HY916" s="3"/>
      <c r="HZ916" s="3"/>
      <c r="IA916" s="3"/>
      <c r="IB916" s="3"/>
      <c r="IC916" s="3"/>
      <c r="ID916" s="3"/>
      <c r="IE916" s="3"/>
      <c r="IF916" s="3"/>
      <c r="IG916" s="3"/>
      <c r="IH916" s="3"/>
      <c r="II916" s="3"/>
      <c r="IJ916" s="3"/>
      <c r="IK916" s="3"/>
      <c r="IL916" s="3"/>
      <c r="IM916" s="3"/>
      <c r="IN916" s="3"/>
      <c r="IO916" s="3"/>
      <c r="IP916" s="3"/>
      <c r="IQ916" s="3"/>
      <c r="IR916" s="3"/>
      <c r="IS916" s="3"/>
      <c r="IT916" s="3"/>
      <c r="IU916" s="3"/>
      <c r="IV916" s="3"/>
      <c r="IW916" s="3"/>
      <c r="IX916" s="3"/>
      <c r="IY916" s="3"/>
    </row>
    <row r="917" spans="1:259" ht="13.2" x14ac:dyDescent="0.25">
      <c r="A917" s="10"/>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c r="HX917" s="3"/>
      <c r="HY917" s="3"/>
      <c r="HZ917" s="3"/>
      <c r="IA917" s="3"/>
      <c r="IB917" s="3"/>
      <c r="IC917" s="3"/>
      <c r="ID917" s="3"/>
      <c r="IE917" s="3"/>
      <c r="IF917" s="3"/>
      <c r="IG917" s="3"/>
      <c r="IH917" s="3"/>
      <c r="II917" s="3"/>
      <c r="IJ917" s="3"/>
      <c r="IK917" s="3"/>
      <c r="IL917" s="3"/>
      <c r="IM917" s="3"/>
      <c r="IN917" s="3"/>
      <c r="IO917" s="3"/>
      <c r="IP917" s="3"/>
      <c r="IQ917" s="3"/>
      <c r="IR917" s="3"/>
      <c r="IS917" s="3"/>
      <c r="IT917" s="3"/>
      <c r="IU917" s="3"/>
      <c r="IV917" s="3"/>
      <c r="IW917" s="3"/>
      <c r="IX917" s="3"/>
      <c r="IY917" s="3"/>
    </row>
    <row r="918" spans="1:259" ht="13.2" x14ac:dyDescent="0.25">
      <c r="A918" s="10"/>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c r="HX918" s="3"/>
      <c r="HY918" s="3"/>
      <c r="HZ918" s="3"/>
      <c r="IA918" s="3"/>
      <c r="IB918" s="3"/>
      <c r="IC918" s="3"/>
      <c r="ID918" s="3"/>
      <c r="IE918" s="3"/>
      <c r="IF918" s="3"/>
      <c r="IG918" s="3"/>
      <c r="IH918" s="3"/>
      <c r="II918" s="3"/>
      <c r="IJ918" s="3"/>
      <c r="IK918" s="3"/>
      <c r="IL918" s="3"/>
      <c r="IM918" s="3"/>
      <c r="IN918" s="3"/>
      <c r="IO918" s="3"/>
      <c r="IP918" s="3"/>
      <c r="IQ918" s="3"/>
      <c r="IR918" s="3"/>
      <c r="IS918" s="3"/>
      <c r="IT918" s="3"/>
      <c r="IU918" s="3"/>
      <c r="IV918" s="3"/>
      <c r="IW918" s="3"/>
      <c r="IX918" s="3"/>
      <c r="IY918" s="3"/>
    </row>
    <row r="919" spans="1:259" ht="13.2" x14ac:dyDescent="0.25">
      <c r="A919" s="10"/>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c r="HX919" s="3"/>
      <c r="HY919" s="3"/>
      <c r="HZ919" s="3"/>
      <c r="IA919" s="3"/>
      <c r="IB919" s="3"/>
      <c r="IC919" s="3"/>
      <c r="ID919" s="3"/>
      <c r="IE919" s="3"/>
      <c r="IF919" s="3"/>
      <c r="IG919" s="3"/>
      <c r="IH919" s="3"/>
      <c r="II919" s="3"/>
      <c r="IJ919" s="3"/>
      <c r="IK919" s="3"/>
      <c r="IL919" s="3"/>
      <c r="IM919" s="3"/>
      <c r="IN919" s="3"/>
      <c r="IO919" s="3"/>
      <c r="IP919" s="3"/>
      <c r="IQ919" s="3"/>
      <c r="IR919" s="3"/>
      <c r="IS919" s="3"/>
      <c r="IT919" s="3"/>
      <c r="IU919" s="3"/>
      <c r="IV919" s="3"/>
      <c r="IW919" s="3"/>
      <c r="IX919" s="3"/>
      <c r="IY919" s="3"/>
    </row>
    <row r="920" spans="1:259" ht="13.2" x14ac:dyDescent="0.25">
      <c r="A920" s="10"/>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c r="HX920" s="3"/>
      <c r="HY920" s="3"/>
      <c r="HZ920" s="3"/>
      <c r="IA920" s="3"/>
      <c r="IB920" s="3"/>
      <c r="IC920" s="3"/>
      <c r="ID920" s="3"/>
      <c r="IE920" s="3"/>
      <c r="IF920" s="3"/>
      <c r="IG920" s="3"/>
      <c r="IH920" s="3"/>
      <c r="II920" s="3"/>
      <c r="IJ920" s="3"/>
      <c r="IK920" s="3"/>
      <c r="IL920" s="3"/>
      <c r="IM920" s="3"/>
      <c r="IN920" s="3"/>
      <c r="IO920" s="3"/>
      <c r="IP920" s="3"/>
      <c r="IQ920" s="3"/>
      <c r="IR920" s="3"/>
      <c r="IS920" s="3"/>
      <c r="IT920" s="3"/>
      <c r="IU920" s="3"/>
      <c r="IV920" s="3"/>
      <c r="IW920" s="3"/>
      <c r="IX920" s="3"/>
      <c r="IY920" s="3"/>
    </row>
    <row r="921" spans="1:259" ht="13.2" x14ac:dyDescent="0.25">
      <c r="A921" s="10"/>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c r="HX921" s="3"/>
      <c r="HY921" s="3"/>
      <c r="HZ921" s="3"/>
      <c r="IA921" s="3"/>
      <c r="IB921" s="3"/>
      <c r="IC921" s="3"/>
      <c r="ID921" s="3"/>
      <c r="IE921" s="3"/>
      <c r="IF921" s="3"/>
      <c r="IG921" s="3"/>
      <c r="IH921" s="3"/>
      <c r="II921" s="3"/>
      <c r="IJ921" s="3"/>
      <c r="IK921" s="3"/>
      <c r="IL921" s="3"/>
      <c r="IM921" s="3"/>
      <c r="IN921" s="3"/>
      <c r="IO921" s="3"/>
      <c r="IP921" s="3"/>
      <c r="IQ921" s="3"/>
      <c r="IR921" s="3"/>
      <c r="IS921" s="3"/>
      <c r="IT921" s="3"/>
      <c r="IU921" s="3"/>
      <c r="IV921" s="3"/>
      <c r="IW921" s="3"/>
      <c r="IX921" s="3"/>
      <c r="IY921" s="3"/>
    </row>
    <row r="922" spans="1:259" ht="13.2" x14ac:dyDescent="0.25">
      <c r="A922" s="10"/>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c r="HX922" s="3"/>
      <c r="HY922" s="3"/>
      <c r="HZ922" s="3"/>
      <c r="IA922" s="3"/>
      <c r="IB922" s="3"/>
      <c r="IC922" s="3"/>
      <c r="ID922" s="3"/>
      <c r="IE922" s="3"/>
      <c r="IF922" s="3"/>
      <c r="IG922" s="3"/>
      <c r="IH922" s="3"/>
      <c r="II922" s="3"/>
      <c r="IJ922" s="3"/>
      <c r="IK922" s="3"/>
      <c r="IL922" s="3"/>
      <c r="IM922" s="3"/>
      <c r="IN922" s="3"/>
      <c r="IO922" s="3"/>
      <c r="IP922" s="3"/>
      <c r="IQ922" s="3"/>
      <c r="IR922" s="3"/>
      <c r="IS922" s="3"/>
      <c r="IT922" s="3"/>
      <c r="IU922" s="3"/>
      <c r="IV922" s="3"/>
      <c r="IW922" s="3"/>
      <c r="IX922" s="3"/>
      <c r="IY922" s="3"/>
    </row>
    <row r="923" spans="1:259" ht="13.2" x14ac:dyDescent="0.25">
      <c r="A923" s="10"/>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c r="HX923" s="3"/>
      <c r="HY923" s="3"/>
      <c r="HZ923" s="3"/>
      <c r="IA923" s="3"/>
      <c r="IB923" s="3"/>
      <c r="IC923" s="3"/>
      <c r="ID923" s="3"/>
      <c r="IE923" s="3"/>
      <c r="IF923" s="3"/>
      <c r="IG923" s="3"/>
      <c r="IH923" s="3"/>
      <c r="II923" s="3"/>
      <c r="IJ923" s="3"/>
      <c r="IK923" s="3"/>
      <c r="IL923" s="3"/>
      <c r="IM923" s="3"/>
      <c r="IN923" s="3"/>
      <c r="IO923" s="3"/>
      <c r="IP923" s="3"/>
      <c r="IQ923" s="3"/>
      <c r="IR923" s="3"/>
      <c r="IS923" s="3"/>
      <c r="IT923" s="3"/>
      <c r="IU923" s="3"/>
      <c r="IV923" s="3"/>
      <c r="IW923" s="3"/>
      <c r="IX923" s="3"/>
      <c r="IY923" s="3"/>
    </row>
    <row r="924" spans="1:259" ht="13.2" x14ac:dyDescent="0.25">
      <c r="A924" s="10"/>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c r="HX924" s="3"/>
      <c r="HY924" s="3"/>
      <c r="HZ924" s="3"/>
      <c r="IA924" s="3"/>
      <c r="IB924" s="3"/>
      <c r="IC924" s="3"/>
      <c r="ID924" s="3"/>
      <c r="IE924" s="3"/>
      <c r="IF924" s="3"/>
      <c r="IG924" s="3"/>
      <c r="IH924" s="3"/>
      <c r="II924" s="3"/>
      <c r="IJ924" s="3"/>
      <c r="IK924" s="3"/>
      <c r="IL924" s="3"/>
      <c r="IM924" s="3"/>
      <c r="IN924" s="3"/>
      <c r="IO924" s="3"/>
      <c r="IP924" s="3"/>
      <c r="IQ924" s="3"/>
      <c r="IR924" s="3"/>
      <c r="IS924" s="3"/>
      <c r="IT924" s="3"/>
      <c r="IU924" s="3"/>
      <c r="IV924" s="3"/>
      <c r="IW924" s="3"/>
      <c r="IX924" s="3"/>
      <c r="IY924" s="3"/>
    </row>
    <row r="925" spans="1:259" ht="13.2" x14ac:dyDescent="0.25">
      <c r="A925" s="10"/>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c r="HX925" s="3"/>
      <c r="HY925" s="3"/>
      <c r="HZ925" s="3"/>
      <c r="IA925" s="3"/>
      <c r="IB925" s="3"/>
      <c r="IC925" s="3"/>
      <c r="ID925" s="3"/>
      <c r="IE925" s="3"/>
      <c r="IF925" s="3"/>
      <c r="IG925" s="3"/>
      <c r="IH925" s="3"/>
      <c r="II925" s="3"/>
      <c r="IJ925" s="3"/>
      <c r="IK925" s="3"/>
      <c r="IL925" s="3"/>
      <c r="IM925" s="3"/>
      <c r="IN925" s="3"/>
      <c r="IO925" s="3"/>
      <c r="IP925" s="3"/>
      <c r="IQ925" s="3"/>
      <c r="IR925" s="3"/>
      <c r="IS925" s="3"/>
      <c r="IT925" s="3"/>
      <c r="IU925" s="3"/>
      <c r="IV925" s="3"/>
      <c r="IW925" s="3"/>
      <c r="IX925" s="3"/>
      <c r="IY925" s="3"/>
    </row>
    <row r="926" spans="1:259" ht="13.2" x14ac:dyDescent="0.25">
      <c r="A926" s="10"/>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c r="HX926" s="3"/>
      <c r="HY926" s="3"/>
      <c r="HZ926" s="3"/>
      <c r="IA926" s="3"/>
      <c r="IB926" s="3"/>
      <c r="IC926" s="3"/>
      <c r="ID926" s="3"/>
      <c r="IE926" s="3"/>
      <c r="IF926" s="3"/>
      <c r="IG926" s="3"/>
      <c r="IH926" s="3"/>
      <c r="II926" s="3"/>
      <c r="IJ926" s="3"/>
      <c r="IK926" s="3"/>
      <c r="IL926" s="3"/>
      <c r="IM926" s="3"/>
      <c r="IN926" s="3"/>
      <c r="IO926" s="3"/>
      <c r="IP926" s="3"/>
      <c r="IQ926" s="3"/>
      <c r="IR926" s="3"/>
      <c r="IS926" s="3"/>
      <c r="IT926" s="3"/>
      <c r="IU926" s="3"/>
      <c r="IV926" s="3"/>
      <c r="IW926" s="3"/>
      <c r="IX926" s="3"/>
      <c r="IY926" s="3"/>
    </row>
    <row r="927" spans="1:259" ht="13.2" x14ac:dyDescent="0.25">
      <c r="A927" s="10"/>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c r="HX927" s="3"/>
      <c r="HY927" s="3"/>
      <c r="HZ927" s="3"/>
      <c r="IA927" s="3"/>
      <c r="IB927" s="3"/>
      <c r="IC927" s="3"/>
      <c r="ID927" s="3"/>
      <c r="IE927" s="3"/>
      <c r="IF927" s="3"/>
      <c r="IG927" s="3"/>
      <c r="IH927" s="3"/>
      <c r="II927" s="3"/>
      <c r="IJ927" s="3"/>
      <c r="IK927" s="3"/>
      <c r="IL927" s="3"/>
      <c r="IM927" s="3"/>
      <c r="IN927" s="3"/>
      <c r="IO927" s="3"/>
      <c r="IP927" s="3"/>
      <c r="IQ927" s="3"/>
      <c r="IR927" s="3"/>
      <c r="IS927" s="3"/>
      <c r="IT927" s="3"/>
      <c r="IU927" s="3"/>
      <c r="IV927" s="3"/>
      <c r="IW927" s="3"/>
      <c r="IX927" s="3"/>
      <c r="IY927" s="3"/>
    </row>
    <row r="928" spans="1:259" ht="13.2" x14ac:dyDescent="0.25">
      <c r="A928" s="10"/>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c r="HX928" s="3"/>
      <c r="HY928" s="3"/>
      <c r="HZ928" s="3"/>
      <c r="IA928" s="3"/>
      <c r="IB928" s="3"/>
      <c r="IC928" s="3"/>
      <c r="ID928" s="3"/>
      <c r="IE928" s="3"/>
      <c r="IF928" s="3"/>
      <c r="IG928" s="3"/>
      <c r="IH928" s="3"/>
      <c r="II928" s="3"/>
      <c r="IJ928" s="3"/>
      <c r="IK928" s="3"/>
      <c r="IL928" s="3"/>
      <c r="IM928" s="3"/>
      <c r="IN928" s="3"/>
      <c r="IO928" s="3"/>
      <c r="IP928" s="3"/>
      <c r="IQ928" s="3"/>
      <c r="IR928" s="3"/>
      <c r="IS928" s="3"/>
      <c r="IT928" s="3"/>
      <c r="IU928" s="3"/>
      <c r="IV928" s="3"/>
      <c r="IW928" s="3"/>
      <c r="IX928" s="3"/>
      <c r="IY928" s="3"/>
    </row>
    <row r="929" spans="1:259" ht="13.2" x14ac:dyDescent="0.25">
      <c r="A929" s="10"/>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c r="HX929" s="3"/>
      <c r="HY929" s="3"/>
      <c r="HZ929" s="3"/>
      <c r="IA929" s="3"/>
      <c r="IB929" s="3"/>
      <c r="IC929" s="3"/>
      <c r="ID929" s="3"/>
      <c r="IE929" s="3"/>
      <c r="IF929" s="3"/>
      <c r="IG929" s="3"/>
      <c r="IH929" s="3"/>
      <c r="II929" s="3"/>
      <c r="IJ929" s="3"/>
      <c r="IK929" s="3"/>
      <c r="IL929" s="3"/>
      <c r="IM929" s="3"/>
      <c r="IN929" s="3"/>
      <c r="IO929" s="3"/>
      <c r="IP929" s="3"/>
      <c r="IQ929" s="3"/>
      <c r="IR929" s="3"/>
      <c r="IS929" s="3"/>
      <c r="IT929" s="3"/>
      <c r="IU929" s="3"/>
      <c r="IV929" s="3"/>
      <c r="IW929" s="3"/>
      <c r="IX929" s="3"/>
      <c r="IY929" s="3"/>
    </row>
    <row r="930" spans="1:259" ht="13.2" x14ac:dyDescent="0.25">
      <c r="A930" s="10"/>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c r="HX930" s="3"/>
      <c r="HY930" s="3"/>
      <c r="HZ930" s="3"/>
      <c r="IA930" s="3"/>
      <c r="IB930" s="3"/>
      <c r="IC930" s="3"/>
      <c r="ID930" s="3"/>
      <c r="IE930" s="3"/>
      <c r="IF930" s="3"/>
      <c r="IG930" s="3"/>
      <c r="IH930" s="3"/>
      <c r="II930" s="3"/>
      <c r="IJ930" s="3"/>
      <c r="IK930" s="3"/>
      <c r="IL930" s="3"/>
      <c r="IM930" s="3"/>
      <c r="IN930" s="3"/>
      <c r="IO930" s="3"/>
      <c r="IP930" s="3"/>
      <c r="IQ930" s="3"/>
      <c r="IR930" s="3"/>
      <c r="IS930" s="3"/>
      <c r="IT930" s="3"/>
      <c r="IU930" s="3"/>
      <c r="IV930" s="3"/>
      <c r="IW930" s="3"/>
      <c r="IX930" s="3"/>
      <c r="IY930" s="3"/>
    </row>
    <row r="931" spans="1:259" ht="13.2" x14ac:dyDescent="0.25">
      <c r="A931" s="10"/>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c r="HX931" s="3"/>
      <c r="HY931" s="3"/>
      <c r="HZ931" s="3"/>
      <c r="IA931" s="3"/>
      <c r="IB931" s="3"/>
      <c r="IC931" s="3"/>
      <c r="ID931" s="3"/>
      <c r="IE931" s="3"/>
      <c r="IF931" s="3"/>
      <c r="IG931" s="3"/>
      <c r="IH931" s="3"/>
      <c r="II931" s="3"/>
      <c r="IJ931" s="3"/>
      <c r="IK931" s="3"/>
      <c r="IL931" s="3"/>
      <c r="IM931" s="3"/>
      <c r="IN931" s="3"/>
      <c r="IO931" s="3"/>
      <c r="IP931" s="3"/>
      <c r="IQ931" s="3"/>
      <c r="IR931" s="3"/>
      <c r="IS931" s="3"/>
      <c r="IT931" s="3"/>
      <c r="IU931" s="3"/>
      <c r="IV931" s="3"/>
      <c r="IW931" s="3"/>
      <c r="IX931" s="3"/>
      <c r="IY931" s="3"/>
    </row>
    <row r="932" spans="1:259" ht="13.2" x14ac:dyDescent="0.25">
      <c r="A932" s="10"/>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c r="HX932" s="3"/>
      <c r="HY932" s="3"/>
      <c r="HZ932" s="3"/>
      <c r="IA932" s="3"/>
      <c r="IB932" s="3"/>
      <c r="IC932" s="3"/>
      <c r="ID932" s="3"/>
      <c r="IE932" s="3"/>
      <c r="IF932" s="3"/>
      <c r="IG932" s="3"/>
      <c r="IH932" s="3"/>
      <c r="II932" s="3"/>
      <c r="IJ932" s="3"/>
      <c r="IK932" s="3"/>
      <c r="IL932" s="3"/>
      <c r="IM932" s="3"/>
      <c r="IN932" s="3"/>
      <c r="IO932" s="3"/>
      <c r="IP932" s="3"/>
      <c r="IQ932" s="3"/>
      <c r="IR932" s="3"/>
      <c r="IS932" s="3"/>
      <c r="IT932" s="3"/>
      <c r="IU932" s="3"/>
      <c r="IV932" s="3"/>
      <c r="IW932" s="3"/>
      <c r="IX932" s="3"/>
      <c r="IY932" s="3"/>
    </row>
    <row r="933" spans="1:259" ht="13.2" x14ac:dyDescent="0.25">
      <c r="A933" s="10"/>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c r="HX933" s="3"/>
      <c r="HY933" s="3"/>
      <c r="HZ933" s="3"/>
      <c r="IA933" s="3"/>
      <c r="IB933" s="3"/>
      <c r="IC933" s="3"/>
      <c r="ID933" s="3"/>
      <c r="IE933" s="3"/>
      <c r="IF933" s="3"/>
      <c r="IG933" s="3"/>
      <c r="IH933" s="3"/>
      <c r="II933" s="3"/>
      <c r="IJ933" s="3"/>
      <c r="IK933" s="3"/>
      <c r="IL933" s="3"/>
      <c r="IM933" s="3"/>
      <c r="IN933" s="3"/>
      <c r="IO933" s="3"/>
      <c r="IP933" s="3"/>
      <c r="IQ933" s="3"/>
      <c r="IR933" s="3"/>
      <c r="IS933" s="3"/>
      <c r="IT933" s="3"/>
      <c r="IU933" s="3"/>
      <c r="IV933" s="3"/>
      <c r="IW933" s="3"/>
      <c r="IX933" s="3"/>
      <c r="IY933" s="3"/>
    </row>
    <row r="934" spans="1:259" ht="13.2" x14ac:dyDescent="0.25">
      <c r="A934" s="10"/>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c r="HX934" s="3"/>
      <c r="HY934" s="3"/>
      <c r="HZ934" s="3"/>
      <c r="IA934" s="3"/>
      <c r="IB934" s="3"/>
      <c r="IC934" s="3"/>
      <c r="ID934" s="3"/>
      <c r="IE934" s="3"/>
      <c r="IF934" s="3"/>
      <c r="IG934" s="3"/>
      <c r="IH934" s="3"/>
      <c r="II934" s="3"/>
      <c r="IJ934" s="3"/>
      <c r="IK934" s="3"/>
      <c r="IL934" s="3"/>
      <c r="IM934" s="3"/>
      <c r="IN934" s="3"/>
      <c r="IO934" s="3"/>
      <c r="IP934" s="3"/>
      <c r="IQ934" s="3"/>
      <c r="IR934" s="3"/>
      <c r="IS934" s="3"/>
      <c r="IT934" s="3"/>
      <c r="IU934" s="3"/>
      <c r="IV934" s="3"/>
      <c r="IW934" s="3"/>
      <c r="IX934" s="3"/>
      <c r="IY934" s="3"/>
    </row>
    <row r="935" spans="1:259" ht="13.2" x14ac:dyDescent="0.25">
      <c r="A935" s="10"/>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c r="HX935" s="3"/>
      <c r="HY935" s="3"/>
      <c r="HZ935" s="3"/>
      <c r="IA935" s="3"/>
      <c r="IB935" s="3"/>
      <c r="IC935" s="3"/>
      <c r="ID935" s="3"/>
      <c r="IE935" s="3"/>
      <c r="IF935" s="3"/>
      <c r="IG935" s="3"/>
      <c r="IH935" s="3"/>
      <c r="II935" s="3"/>
      <c r="IJ935" s="3"/>
      <c r="IK935" s="3"/>
      <c r="IL935" s="3"/>
      <c r="IM935" s="3"/>
      <c r="IN935" s="3"/>
      <c r="IO935" s="3"/>
      <c r="IP935" s="3"/>
      <c r="IQ935" s="3"/>
      <c r="IR935" s="3"/>
      <c r="IS935" s="3"/>
      <c r="IT935" s="3"/>
      <c r="IU935" s="3"/>
      <c r="IV935" s="3"/>
      <c r="IW935" s="3"/>
      <c r="IX935" s="3"/>
      <c r="IY935" s="3"/>
    </row>
    <row r="936" spans="1:259" ht="13.2" x14ac:dyDescent="0.25">
      <c r="A936" s="10"/>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c r="HX936" s="3"/>
      <c r="HY936" s="3"/>
      <c r="HZ936" s="3"/>
      <c r="IA936" s="3"/>
      <c r="IB936" s="3"/>
      <c r="IC936" s="3"/>
      <c r="ID936" s="3"/>
      <c r="IE936" s="3"/>
      <c r="IF936" s="3"/>
      <c r="IG936" s="3"/>
      <c r="IH936" s="3"/>
      <c r="II936" s="3"/>
      <c r="IJ936" s="3"/>
      <c r="IK936" s="3"/>
      <c r="IL936" s="3"/>
      <c r="IM936" s="3"/>
      <c r="IN936" s="3"/>
      <c r="IO936" s="3"/>
      <c r="IP936" s="3"/>
      <c r="IQ936" s="3"/>
      <c r="IR936" s="3"/>
      <c r="IS936" s="3"/>
      <c r="IT936" s="3"/>
      <c r="IU936" s="3"/>
      <c r="IV936" s="3"/>
      <c r="IW936" s="3"/>
      <c r="IX936" s="3"/>
      <c r="IY936" s="3"/>
    </row>
    <row r="937" spans="1:259" ht="13.2" x14ac:dyDescent="0.25">
      <c r="A937" s="10"/>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c r="HX937" s="3"/>
      <c r="HY937" s="3"/>
      <c r="HZ937" s="3"/>
      <c r="IA937" s="3"/>
      <c r="IB937" s="3"/>
      <c r="IC937" s="3"/>
      <c r="ID937" s="3"/>
      <c r="IE937" s="3"/>
      <c r="IF937" s="3"/>
      <c r="IG937" s="3"/>
      <c r="IH937" s="3"/>
      <c r="II937" s="3"/>
      <c r="IJ937" s="3"/>
      <c r="IK937" s="3"/>
      <c r="IL937" s="3"/>
      <c r="IM937" s="3"/>
      <c r="IN937" s="3"/>
      <c r="IO937" s="3"/>
      <c r="IP937" s="3"/>
      <c r="IQ937" s="3"/>
      <c r="IR937" s="3"/>
      <c r="IS937" s="3"/>
      <c r="IT937" s="3"/>
      <c r="IU937" s="3"/>
      <c r="IV937" s="3"/>
      <c r="IW937" s="3"/>
      <c r="IX937" s="3"/>
      <c r="IY937" s="3"/>
    </row>
    <row r="938" spans="1:259" ht="13.2" x14ac:dyDescent="0.25">
      <c r="A938" s="10"/>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c r="IW938" s="3"/>
      <c r="IX938" s="3"/>
      <c r="IY938" s="3"/>
    </row>
    <row r="939" spans="1:259" ht="13.2" x14ac:dyDescent="0.25">
      <c r="A939" s="10"/>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c r="HX939" s="3"/>
      <c r="HY939" s="3"/>
      <c r="HZ939" s="3"/>
      <c r="IA939" s="3"/>
      <c r="IB939" s="3"/>
      <c r="IC939" s="3"/>
      <c r="ID939" s="3"/>
      <c r="IE939" s="3"/>
      <c r="IF939" s="3"/>
      <c r="IG939" s="3"/>
      <c r="IH939" s="3"/>
      <c r="II939" s="3"/>
      <c r="IJ939" s="3"/>
      <c r="IK939" s="3"/>
      <c r="IL939" s="3"/>
      <c r="IM939" s="3"/>
      <c r="IN939" s="3"/>
      <c r="IO939" s="3"/>
      <c r="IP939" s="3"/>
      <c r="IQ939" s="3"/>
      <c r="IR939" s="3"/>
      <c r="IS939" s="3"/>
      <c r="IT939" s="3"/>
      <c r="IU939" s="3"/>
      <c r="IV939" s="3"/>
      <c r="IW939" s="3"/>
      <c r="IX939" s="3"/>
      <c r="IY939" s="3"/>
    </row>
    <row r="940" spans="1:259" ht="13.2" x14ac:dyDescent="0.25">
      <c r="A940" s="10"/>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c r="HX940" s="3"/>
      <c r="HY940" s="3"/>
      <c r="HZ940" s="3"/>
      <c r="IA940" s="3"/>
      <c r="IB940" s="3"/>
      <c r="IC940" s="3"/>
      <c r="ID940" s="3"/>
      <c r="IE940" s="3"/>
      <c r="IF940" s="3"/>
      <c r="IG940" s="3"/>
      <c r="IH940" s="3"/>
      <c r="II940" s="3"/>
      <c r="IJ940" s="3"/>
      <c r="IK940" s="3"/>
      <c r="IL940" s="3"/>
      <c r="IM940" s="3"/>
      <c r="IN940" s="3"/>
      <c r="IO940" s="3"/>
      <c r="IP940" s="3"/>
      <c r="IQ940" s="3"/>
      <c r="IR940" s="3"/>
      <c r="IS940" s="3"/>
      <c r="IT940" s="3"/>
      <c r="IU940" s="3"/>
      <c r="IV940" s="3"/>
      <c r="IW940" s="3"/>
      <c r="IX940" s="3"/>
      <c r="IY940" s="3"/>
    </row>
    <row r="941" spans="1:259" ht="13.2" x14ac:dyDescent="0.25">
      <c r="A941" s="10"/>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c r="HX941" s="3"/>
      <c r="HY941" s="3"/>
      <c r="HZ941" s="3"/>
      <c r="IA941" s="3"/>
      <c r="IB941" s="3"/>
      <c r="IC941" s="3"/>
      <c r="ID941" s="3"/>
      <c r="IE941" s="3"/>
      <c r="IF941" s="3"/>
      <c r="IG941" s="3"/>
      <c r="IH941" s="3"/>
      <c r="II941" s="3"/>
      <c r="IJ941" s="3"/>
      <c r="IK941" s="3"/>
      <c r="IL941" s="3"/>
      <c r="IM941" s="3"/>
      <c r="IN941" s="3"/>
      <c r="IO941" s="3"/>
      <c r="IP941" s="3"/>
      <c r="IQ941" s="3"/>
      <c r="IR941" s="3"/>
      <c r="IS941" s="3"/>
      <c r="IT941" s="3"/>
      <c r="IU941" s="3"/>
      <c r="IV941" s="3"/>
      <c r="IW941" s="3"/>
      <c r="IX941" s="3"/>
      <c r="IY941" s="3"/>
    </row>
    <row r="942" spans="1:259" ht="13.2" x14ac:dyDescent="0.25">
      <c r="A942" s="10"/>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c r="IW942" s="3"/>
      <c r="IX942" s="3"/>
      <c r="IY942" s="3"/>
    </row>
    <row r="943" spans="1:259" ht="13.2" x14ac:dyDescent="0.25">
      <c r="A943" s="10"/>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c r="HX943" s="3"/>
      <c r="HY943" s="3"/>
      <c r="HZ943" s="3"/>
      <c r="IA943" s="3"/>
      <c r="IB943" s="3"/>
      <c r="IC943" s="3"/>
      <c r="ID943" s="3"/>
      <c r="IE943" s="3"/>
      <c r="IF943" s="3"/>
      <c r="IG943" s="3"/>
      <c r="IH943" s="3"/>
      <c r="II943" s="3"/>
      <c r="IJ943" s="3"/>
      <c r="IK943" s="3"/>
      <c r="IL943" s="3"/>
      <c r="IM943" s="3"/>
      <c r="IN943" s="3"/>
      <c r="IO943" s="3"/>
      <c r="IP943" s="3"/>
      <c r="IQ943" s="3"/>
      <c r="IR943" s="3"/>
      <c r="IS943" s="3"/>
      <c r="IT943" s="3"/>
      <c r="IU943" s="3"/>
      <c r="IV943" s="3"/>
      <c r="IW943" s="3"/>
      <c r="IX943" s="3"/>
      <c r="IY943" s="3"/>
    </row>
    <row r="944" spans="1:259" ht="13.2" x14ac:dyDescent="0.25">
      <c r="A944" s="10"/>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c r="HX944" s="3"/>
      <c r="HY944" s="3"/>
      <c r="HZ944" s="3"/>
      <c r="IA944" s="3"/>
      <c r="IB944" s="3"/>
      <c r="IC944" s="3"/>
      <c r="ID944" s="3"/>
      <c r="IE944" s="3"/>
      <c r="IF944" s="3"/>
      <c r="IG944" s="3"/>
      <c r="IH944" s="3"/>
      <c r="II944" s="3"/>
      <c r="IJ944" s="3"/>
      <c r="IK944" s="3"/>
      <c r="IL944" s="3"/>
      <c r="IM944" s="3"/>
      <c r="IN944" s="3"/>
      <c r="IO944" s="3"/>
      <c r="IP944" s="3"/>
      <c r="IQ944" s="3"/>
      <c r="IR944" s="3"/>
      <c r="IS944" s="3"/>
      <c r="IT944" s="3"/>
      <c r="IU944" s="3"/>
      <c r="IV944" s="3"/>
      <c r="IW944" s="3"/>
      <c r="IX944" s="3"/>
      <c r="IY944" s="3"/>
    </row>
    <row r="945" spans="1:259" ht="13.2" x14ac:dyDescent="0.25">
      <c r="A945" s="10"/>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c r="HX945" s="3"/>
      <c r="HY945" s="3"/>
      <c r="HZ945" s="3"/>
      <c r="IA945" s="3"/>
      <c r="IB945" s="3"/>
      <c r="IC945" s="3"/>
      <c r="ID945" s="3"/>
      <c r="IE945" s="3"/>
      <c r="IF945" s="3"/>
      <c r="IG945" s="3"/>
      <c r="IH945" s="3"/>
      <c r="II945" s="3"/>
      <c r="IJ945" s="3"/>
      <c r="IK945" s="3"/>
      <c r="IL945" s="3"/>
      <c r="IM945" s="3"/>
      <c r="IN945" s="3"/>
      <c r="IO945" s="3"/>
      <c r="IP945" s="3"/>
      <c r="IQ945" s="3"/>
      <c r="IR945" s="3"/>
      <c r="IS945" s="3"/>
      <c r="IT945" s="3"/>
      <c r="IU945" s="3"/>
      <c r="IV945" s="3"/>
      <c r="IW945" s="3"/>
      <c r="IX945" s="3"/>
      <c r="IY945" s="3"/>
    </row>
    <row r="946" spans="1:259" ht="13.2" x14ac:dyDescent="0.25">
      <c r="A946" s="10"/>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c r="HX946" s="3"/>
      <c r="HY946" s="3"/>
      <c r="HZ946" s="3"/>
      <c r="IA946" s="3"/>
      <c r="IB946" s="3"/>
      <c r="IC946" s="3"/>
      <c r="ID946" s="3"/>
      <c r="IE946" s="3"/>
      <c r="IF946" s="3"/>
      <c r="IG946" s="3"/>
      <c r="IH946" s="3"/>
      <c r="II946" s="3"/>
      <c r="IJ946" s="3"/>
      <c r="IK946" s="3"/>
      <c r="IL946" s="3"/>
      <c r="IM946" s="3"/>
      <c r="IN946" s="3"/>
      <c r="IO946" s="3"/>
      <c r="IP946" s="3"/>
      <c r="IQ946" s="3"/>
      <c r="IR946" s="3"/>
      <c r="IS946" s="3"/>
      <c r="IT946" s="3"/>
      <c r="IU946" s="3"/>
      <c r="IV946" s="3"/>
      <c r="IW946" s="3"/>
      <c r="IX946" s="3"/>
      <c r="IY946" s="3"/>
    </row>
    <row r="947" spans="1:259" ht="13.2" x14ac:dyDescent="0.25">
      <c r="A947" s="10"/>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c r="HX947" s="3"/>
      <c r="HY947" s="3"/>
      <c r="HZ947" s="3"/>
      <c r="IA947" s="3"/>
      <c r="IB947" s="3"/>
      <c r="IC947" s="3"/>
      <c r="ID947" s="3"/>
      <c r="IE947" s="3"/>
      <c r="IF947" s="3"/>
      <c r="IG947" s="3"/>
      <c r="IH947" s="3"/>
      <c r="II947" s="3"/>
      <c r="IJ947" s="3"/>
      <c r="IK947" s="3"/>
      <c r="IL947" s="3"/>
      <c r="IM947" s="3"/>
      <c r="IN947" s="3"/>
      <c r="IO947" s="3"/>
      <c r="IP947" s="3"/>
      <c r="IQ947" s="3"/>
      <c r="IR947" s="3"/>
      <c r="IS947" s="3"/>
      <c r="IT947" s="3"/>
      <c r="IU947" s="3"/>
      <c r="IV947" s="3"/>
      <c r="IW947" s="3"/>
      <c r="IX947" s="3"/>
      <c r="IY947" s="3"/>
    </row>
    <row r="948" spans="1:259" ht="13.2" x14ac:dyDescent="0.25">
      <c r="A948" s="10"/>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c r="HX948" s="3"/>
      <c r="HY948" s="3"/>
      <c r="HZ948" s="3"/>
      <c r="IA948" s="3"/>
      <c r="IB948" s="3"/>
      <c r="IC948" s="3"/>
      <c r="ID948" s="3"/>
      <c r="IE948" s="3"/>
      <c r="IF948" s="3"/>
      <c r="IG948" s="3"/>
      <c r="IH948" s="3"/>
      <c r="II948" s="3"/>
      <c r="IJ948" s="3"/>
      <c r="IK948" s="3"/>
      <c r="IL948" s="3"/>
      <c r="IM948" s="3"/>
      <c r="IN948" s="3"/>
      <c r="IO948" s="3"/>
      <c r="IP948" s="3"/>
      <c r="IQ948" s="3"/>
      <c r="IR948" s="3"/>
      <c r="IS948" s="3"/>
      <c r="IT948" s="3"/>
      <c r="IU948" s="3"/>
      <c r="IV948" s="3"/>
      <c r="IW948" s="3"/>
      <c r="IX948" s="3"/>
      <c r="IY948" s="3"/>
    </row>
    <row r="949" spans="1:259" ht="13.2" x14ac:dyDescent="0.25">
      <c r="A949" s="10"/>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c r="HX949" s="3"/>
      <c r="HY949" s="3"/>
      <c r="HZ949" s="3"/>
      <c r="IA949" s="3"/>
      <c r="IB949" s="3"/>
      <c r="IC949" s="3"/>
      <c r="ID949" s="3"/>
      <c r="IE949" s="3"/>
      <c r="IF949" s="3"/>
      <c r="IG949" s="3"/>
      <c r="IH949" s="3"/>
      <c r="II949" s="3"/>
      <c r="IJ949" s="3"/>
      <c r="IK949" s="3"/>
      <c r="IL949" s="3"/>
      <c r="IM949" s="3"/>
      <c r="IN949" s="3"/>
      <c r="IO949" s="3"/>
      <c r="IP949" s="3"/>
      <c r="IQ949" s="3"/>
      <c r="IR949" s="3"/>
      <c r="IS949" s="3"/>
      <c r="IT949" s="3"/>
      <c r="IU949" s="3"/>
      <c r="IV949" s="3"/>
      <c r="IW949" s="3"/>
      <c r="IX949" s="3"/>
      <c r="IY949" s="3"/>
    </row>
    <row r="950" spans="1:259" ht="13.2" x14ac:dyDescent="0.25">
      <c r="A950" s="10"/>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c r="HX950" s="3"/>
      <c r="HY950" s="3"/>
      <c r="HZ950" s="3"/>
      <c r="IA950" s="3"/>
      <c r="IB950" s="3"/>
      <c r="IC950" s="3"/>
      <c r="ID950" s="3"/>
      <c r="IE950" s="3"/>
      <c r="IF950" s="3"/>
      <c r="IG950" s="3"/>
      <c r="IH950" s="3"/>
      <c r="II950" s="3"/>
      <c r="IJ950" s="3"/>
      <c r="IK950" s="3"/>
      <c r="IL950" s="3"/>
      <c r="IM950" s="3"/>
      <c r="IN950" s="3"/>
      <c r="IO950" s="3"/>
      <c r="IP950" s="3"/>
      <c r="IQ950" s="3"/>
      <c r="IR950" s="3"/>
      <c r="IS950" s="3"/>
      <c r="IT950" s="3"/>
      <c r="IU950" s="3"/>
      <c r="IV950" s="3"/>
      <c r="IW950" s="3"/>
      <c r="IX950" s="3"/>
      <c r="IY950" s="3"/>
    </row>
    <row r="951" spans="1:259" ht="13.2" x14ac:dyDescent="0.25">
      <c r="A951" s="10"/>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c r="HV951" s="3"/>
      <c r="HW951" s="3"/>
      <c r="HX951" s="3"/>
      <c r="HY951" s="3"/>
      <c r="HZ951" s="3"/>
      <c r="IA951" s="3"/>
      <c r="IB951" s="3"/>
      <c r="IC951" s="3"/>
      <c r="ID951" s="3"/>
      <c r="IE951" s="3"/>
      <c r="IF951" s="3"/>
      <c r="IG951" s="3"/>
      <c r="IH951" s="3"/>
      <c r="II951" s="3"/>
      <c r="IJ951" s="3"/>
      <c r="IK951" s="3"/>
      <c r="IL951" s="3"/>
      <c r="IM951" s="3"/>
      <c r="IN951" s="3"/>
      <c r="IO951" s="3"/>
      <c r="IP951" s="3"/>
      <c r="IQ951" s="3"/>
      <c r="IR951" s="3"/>
      <c r="IS951" s="3"/>
      <c r="IT951" s="3"/>
      <c r="IU951" s="3"/>
      <c r="IV951" s="3"/>
      <c r="IW951" s="3"/>
      <c r="IX951" s="3"/>
      <c r="IY951" s="3"/>
    </row>
    <row r="952" spans="1:259" ht="13.2" x14ac:dyDescent="0.25">
      <c r="A952" s="10"/>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c r="HV952" s="3"/>
      <c r="HW952" s="3"/>
      <c r="HX952" s="3"/>
      <c r="HY952" s="3"/>
      <c r="HZ952" s="3"/>
      <c r="IA952" s="3"/>
      <c r="IB952" s="3"/>
      <c r="IC952" s="3"/>
      <c r="ID952" s="3"/>
      <c r="IE952" s="3"/>
      <c r="IF952" s="3"/>
      <c r="IG952" s="3"/>
      <c r="IH952" s="3"/>
      <c r="II952" s="3"/>
      <c r="IJ952" s="3"/>
      <c r="IK952" s="3"/>
      <c r="IL952" s="3"/>
      <c r="IM952" s="3"/>
      <c r="IN952" s="3"/>
      <c r="IO952" s="3"/>
      <c r="IP952" s="3"/>
      <c r="IQ952" s="3"/>
      <c r="IR952" s="3"/>
      <c r="IS952" s="3"/>
      <c r="IT952" s="3"/>
      <c r="IU952" s="3"/>
      <c r="IV952" s="3"/>
      <c r="IW952" s="3"/>
      <c r="IX952" s="3"/>
      <c r="IY952" s="3"/>
    </row>
    <row r="953" spans="1:259" ht="13.2" x14ac:dyDescent="0.25">
      <c r="A953" s="10"/>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c r="HX953" s="3"/>
      <c r="HY953" s="3"/>
      <c r="HZ953" s="3"/>
      <c r="IA953" s="3"/>
      <c r="IB953" s="3"/>
      <c r="IC953" s="3"/>
      <c r="ID953" s="3"/>
      <c r="IE953" s="3"/>
      <c r="IF953" s="3"/>
      <c r="IG953" s="3"/>
      <c r="IH953" s="3"/>
      <c r="II953" s="3"/>
      <c r="IJ953" s="3"/>
      <c r="IK953" s="3"/>
      <c r="IL953" s="3"/>
      <c r="IM953" s="3"/>
      <c r="IN953" s="3"/>
      <c r="IO953" s="3"/>
      <c r="IP953" s="3"/>
      <c r="IQ953" s="3"/>
      <c r="IR953" s="3"/>
      <c r="IS953" s="3"/>
      <c r="IT953" s="3"/>
      <c r="IU953" s="3"/>
      <c r="IV953" s="3"/>
      <c r="IW953" s="3"/>
      <c r="IX953" s="3"/>
      <c r="IY953" s="3"/>
    </row>
    <row r="954" spans="1:259" ht="13.2" x14ac:dyDescent="0.25">
      <c r="A954" s="10"/>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c r="HV954" s="3"/>
      <c r="HW954" s="3"/>
      <c r="HX954" s="3"/>
      <c r="HY954" s="3"/>
      <c r="HZ954" s="3"/>
      <c r="IA954" s="3"/>
      <c r="IB954" s="3"/>
      <c r="IC954" s="3"/>
      <c r="ID954" s="3"/>
      <c r="IE954" s="3"/>
      <c r="IF954" s="3"/>
      <c r="IG954" s="3"/>
      <c r="IH954" s="3"/>
      <c r="II954" s="3"/>
      <c r="IJ954" s="3"/>
      <c r="IK954" s="3"/>
      <c r="IL954" s="3"/>
      <c r="IM954" s="3"/>
      <c r="IN954" s="3"/>
      <c r="IO954" s="3"/>
      <c r="IP954" s="3"/>
      <c r="IQ954" s="3"/>
      <c r="IR954" s="3"/>
      <c r="IS954" s="3"/>
      <c r="IT954" s="3"/>
      <c r="IU954" s="3"/>
      <c r="IV954" s="3"/>
      <c r="IW954" s="3"/>
      <c r="IX954" s="3"/>
      <c r="IY954" s="3"/>
    </row>
    <row r="955" spans="1:259" ht="13.2" x14ac:dyDescent="0.25">
      <c r="A955" s="10"/>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c r="HV955" s="3"/>
      <c r="HW955" s="3"/>
      <c r="HX955" s="3"/>
      <c r="HY955" s="3"/>
      <c r="HZ955" s="3"/>
      <c r="IA955" s="3"/>
      <c r="IB955" s="3"/>
      <c r="IC955" s="3"/>
      <c r="ID955" s="3"/>
      <c r="IE955" s="3"/>
      <c r="IF955" s="3"/>
      <c r="IG955" s="3"/>
      <c r="IH955" s="3"/>
      <c r="II955" s="3"/>
      <c r="IJ955" s="3"/>
      <c r="IK955" s="3"/>
      <c r="IL955" s="3"/>
      <c r="IM955" s="3"/>
      <c r="IN955" s="3"/>
      <c r="IO955" s="3"/>
      <c r="IP955" s="3"/>
      <c r="IQ955" s="3"/>
      <c r="IR955" s="3"/>
      <c r="IS955" s="3"/>
      <c r="IT955" s="3"/>
      <c r="IU955" s="3"/>
      <c r="IV955" s="3"/>
      <c r="IW955" s="3"/>
      <c r="IX955" s="3"/>
      <c r="IY955" s="3"/>
    </row>
    <row r="956" spans="1:259" ht="13.2" x14ac:dyDescent="0.25">
      <c r="A956" s="10"/>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c r="HV956" s="3"/>
      <c r="HW956" s="3"/>
      <c r="HX956" s="3"/>
      <c r="HY956" s="3"/>
      <c r="HZ956" s="3"/>
      <c r="IA956" s="3"/>
      <c r="IB956" s="3"/>
      <c r="IC956" s="3"/>
      <c r="ID956" s="3"/>
      <c r="IE956" s="3"/>
      <c r="IF956" s="3"/>
      <c r="IG956" s="3"/>
      <c r="IH956" s="3"/>
      <c r="II956" s="3"/>
      <c r="IJ956" s="3"/>
      <c r="IK956" s="3"/>
      <c r="IL956" s="3"/>
      <c r="IM956" s="3"/>
      <c r="IN956" s="3"/>
      <c r="IO956" s="3"/>
      <c r="IP956" s="3"/>
      <c r="IQ956" s="3"/>
      <c r="IR956" s="3"/>
      <c r="IS956" s="3"/>
      <c r="IT956" s="3"/>
      <c r="IU956" s="3"/>
      <c r="IV956" s="3"/>
      <c r="IW956" s="3"/>
      <c r="IX956" s="3"/>
      <c r="IY956" s="3"/>
    </row>
    <row r="957" spans="1:259" ht="13.2" x14ac:dyDescent="0.25">
      <c r="A957" s="10"/>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c r="HV957" s="3"/>
      <c r="HW957" s="3"/>
      <c r="HX957" s="3"/>
      <c r="HY957" s="3"/>
      <c r="HZ957" s="3"/>
      <c r="IA957" s="3"/>
      <c r="IB957" s="3"/>
      <c r="IC957" s="3"/>
      <c r="ID957" s="3"/>
      <c r="IE957" s="3"/>
      <c r="IF957" s="3"/>
      <c r="IG957" s="3"/>
      <c r="IH957" s="3"/>
      <c r="II957" s="3"/>
      <c r="IJ957" s="3"/>
      <c r="IK957" s="3"/>
      <c r="IL957" s="3"/>
      <c r="IM957" s="3"/>
      <c r="IN957" s="3"/>
      <c r="IO957" s="3"/>
      <c r="IP957" s="3"/>
      <c r="IQ957" s="3"/>
      <c r="IR957" s="3"/>
      <c r="IS957" s="3"/>
      <c r="IT957" s="3"/>
      <c r="IU957" s="3"/>
      <c r="IV957" s="3"/>
      <c r="IW957" s="3"/>
      <c r="IX957" s="3"/>
      <c r="IY957" s="3"/>
    </row>
    <row r="958" spans="1:259" ht="13.2" x14ac:dyDescent="0.25">
      <c r="A958" s="10"/>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c r="HV958" s="3"/>
      <c r="HW958" s="3"/>
      <c r="HX958" s="3"/>
      <c r="HY958" s="3"/>
      <c r="HZ958" s="3"/>
      <c r="IA958" s="3"/>
      <c r="IB958" s="3"/>
      <c r="IC958" s="3"/>
      <c r="ID958" s="3"/>
      <c r="IE958" s="3"/>
      <c r="IF958" s="3"/>
      <c r="IG958" s="3"/>
      <c r="IH958" s="3"/>
      <c r="II958" s="3"/>
      <c r="IJ958" s="3"/>
      <c r="IK958" s="3"/>
      <c r="IL958" s="3"/>
      <c r="IM958" s="3"/>
      <c r="IN958" s="3"/>
      <c r="IO958" s="3"/>
      <c r="IP958" s="3"/>
      <c r="IQ958" s="3"/>
      <c r="IR958" s="3"/>
      <c r="IS958" s="3"/>
      <c r="IT958" s="3"/>
      <c r="IU958" s="3"/>
      <c r="IV958" s="3"/>
      <c r="IW958" s="3"/>
      <c r="IX958" s="3"/>
      <c r="IY958" s="3"/>
    </row>
    <row r="959" spans="1:259" ht="13.2" x14ac:dyDescent="0.25">
      <c r="A959" s="10"/>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c r="HV959" s="3"/>
      <c r="HW959" s="3"/>
      <c r="HX959" s="3"/>
      <c r="HY959" s="3"/>
      <c r="HZ959" s="3"/>
      <c r="IA959" s="3"/>
      <c r="IB959" s="3"/>
      <c r="IC959" s="3"/>
      <c r="ID959" s="3"/>
      <c r="IE959" s="3"/>
      <c r="IF959" s="3"/>
      <c r="IG959" s="3"/>
      <c r="IH959" s="3"/>
      <c r="II959" s="3"/>
      <c r="IJ959" s="3"/>
      <c r="IK959" s="3"/>
      <c r="IL959" s="3"/>
      <c r="IM959" s="3"/>
      <c r="IN959" s="3"/>
      <c r="IO959" s="3"/>
      <c r="IP959" s="3"/>
      <c r="IQ959" s="3"/>
      <c r="IR959" s="3"/>
      <c r="IS959" s="3"/>
      <c r="IT959" s="3"/>
      <c r="IU959" s="3"/>
      <c r="IV959" s="3"/>
      <c r="IW959" s="3"/>
      <c r="IX959" s="3"/>
      <c r="IY959" s="3"/>
    </row>
    <row r="960" spans="1:259" ht="13.2" x14ac:dyDescent="0.25">
      <c r="A960" s="10"/>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c r="HV960" s="3"/>
      <c r="HW960" s="3"/>
      <c r="HX960" s="3"/>
      <c r="HY960" s="3"/>
      <c r="HZ960" s="3"/>
      <c r="IA960" s="3"/>
      <c r="IB960" s="3"/>
      <c r="IC960" s="3"/>
      <c r="ID960" s="3"/>
      <c r="IE960" s="3"/>
      <c r="IF960" s="3"/>
      <c r="IG960" s="3"/>
      <c r="IH960" s="3"/>
      <c r="II960" s="3"/>
      <c r="IJ960" s="3"/>
      <c r="IK960" s="3"/>
      <c r="IL960" s="3"/>
      <c r="IM960" s="3"/>
      <c r="IN960" s="3"/>
      <c r="IO960" s="3"/>
      <c r="IP960" s="3"/>
      <c r="IQ960" s="3"/>
      <c r="IR960" s="3"/>
      <c r="IS960" s="3"/>
      <c r="IT960" s="3"/>
      <c r="IU960" s="3"/>
      <c r="IV960" s="3"/>
      <c r="IW960" s="3"/>
      <c r="IX960" s="3"/>
      <c r="IY960" s="3"/>
    </row>
    <row r="961" spans="1:259" ht="13.2" x14ac:dyDescent="0.25">
      <c r="A961" s="10"/>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c r="HV961" s="3"/>
      <c r="HW961" s="3"/>
      <c r="HX961" s="3"/>
      <c r="HY961" s="3"/>
      <c r="HZ961" s="3"/>
      <c r="IA961" s="3"/>
      <c r="IB961" s="3"/>
      <c r="IC961" s="3"/>
      <c r="ID961" s="3"/>
      <c r="IE961" s="3"/>
      <c r="IF961" s="3"/>
      <c r="IG961" s="3"/>
      <c r="IH961" s="3"/>
      <c r="II961" s="3"/>
      <c r="IJ961" s="3"/>
      <c r="IK961" s="3"/>
      <c r="IL961" s="3"/>
      <c r="IM961" s="3"/>
      <c r="IN961" s="3"/>
      <c r="IO961" s="3"/>
      <c r="IP961" s="3"/>
      <c r="IQ961" s="3"/>
      <c r="IR961" s="3"/>
      <c r="IS961" s="3"/>
      <c r="IT961" s="3"/>
      <c r="IU961" s="3"/>
      <c r="IV961" s="3"/>
      <c r="IW961" s="3"/>
      <c r="IX961" s="3"/>
      <c r="IY961" s="3"/>
    </row>
    <row r="962" spans="1:259" ht="13.2" x14ac:dyDescent="0.25">
      <c r="A962" s="10"/>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c r="HV962" s="3"/>
      <c r="HW962" s="3"/>
      <c r="HX962" s="3"/>
      <c r="HY962" s="3"/>
      <c r="HZ962" s="3"/>
      <c r="IA962" s="3"/>
      <c r="IB962" s="3"/>
      <c r="IC962" s="3"/>
      <c r="ID962" s="3"/>
      <c r="IE962" s="3"/>
      <c r="IF962" s="3"/>
      <c r="IG962" s="3"/>
      <c r="IH962" s="3"/>
      <c r="II962" s="3"/>
      <c r="IJ962" s="3"/>
      <c r="IK962" s="3"/>
      <c r="IL962" s="3"/>
      <c r="IM962" s="3"/>
      <c r="IN962" s="3"/>
      <c r="IO962" s="3"/>
      <c r="IP962" s="3"/>
      <c r="IQ962" s="3"/>
      <c r="IR962" s="3"/>
      <c r="IS962" s="3"/>
      <c r="IT962" s="3"/>
      <c r="IU962" s="3"/>
      <c r="IV962" s="3"/>
      <c r="IW962" s="3"/>
      <c r="IX962" s="3"/>
      <c r="IY962" s="3"/>
    </row>
    <row r="963" spans="1:259" ht="13.2" x14ac:dyDescent="0.25">
      <c r="A963" s="10"/>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c r="HV963" s="3"/>
      <c r="HW963" s="3"/>
      <c r="HX963" s="3"/>
      <c r="HY963" s="3"/>
      <c r="HZ963" s="3"/>
      <c r="IA963" s="3"/>
      <c r="IB963" s="3"/>
      <c r="IC963" s="3"/>
      <c r="ID963" s="3"/>
      <c r="IE963" s="3"/>
      <c r="IF963" s="3"/>
      <c r="IG963" s="3"/>
      <c r="IH963" s="3"/>
      <c r="II963" s="3"/>
      <c r="IJ963" s="3"/>
      <c r="IK963" s="3"/>
      <c r="IL963" s="3"/>
      <c r="IM963" s="3"/>
      <c r="IN963" s="3"/>
      <c r="IO963" s="3"/>
      <c r="IP963" s="3"/>
      <c r="IQ963" s="3"/>
      <c r="IR963" s="3"/>
      <c r="IS963" s="3"/>
      <c r="IT963" s="3"/>
      <c r="IU963" s="3"/>
      <c r="IV963" s="3"/>
      <c r="IW963" s="3"/>
      <c r="IX963" s="3"/>
      <c r="IY963" s="3"/>
    </row>
    <row r="964" spans="1:259" ht="13.2" x14ac:dyDescent="0.25">
      <c r="A964" s="10"/>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c r="HV964" s="3"/>
      <c r="HW964" s="3"/>
      <c r="HX964" s="3"/>
      <c r="HY964" s="3"/>
      <c r="HZ964" s="3"/>
      <c r="IA964" s="3"/>
      <c r="IB964" s="3"/>
      <c r="IC964" s="3"/>
      <c r="ID964" s="3"/>
      <c r="IE964" s="3"/>
      <c r="IF964" s="3"/>
      <c r="IG964" s="3"/>
      <c r="IH964" s="3"/>
      <c r="II964" s="3"/>
      <c r="IJ964" s="3"/>
      <c r="IK964" s="3"/>
      <c r="IL964" s="3"/>
      <c r="IM964" s="3"/>
      <c r="IN964" s="3"/>
      <c r="IO964" s="3"/>
      <c r="IP964" s="3"/>
      <c r="IQ964" s="3"/>
      <c r="IR964" s="3"/>
      <c r="IS964" s="3"/>
      <c r="IT964" s="3"/>
      <c r="IU964" s="3"/>
      <c r="IV964" s="3"/>
      <c r="IW964" s="3"/>
      <c r="IX964" s="3"/>
      <c r="IY964" s="3"/>
    </row>
    <row r="965" spans="1:259" ht="13.2" x14ac:dyDescent="0.25">
      <c r="A965" s="10"/>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c r="HV965" s="3"/>
      <c r="HW965" s="3"/>
      <c r="HX965" s="3"/>
      <c r="HY965" s="3"/>
      <c r="HZ965" s="3"/>
      <c r="IA965" s="3"/>
      <c r="IB965" s="3"/>
      <c r="IC965" s="3"/>
      <c r="ID965" s="3"/>
      <c r="IE965" s="3"/>
      <c r="IF965" s="3"/>
      <c r="IG965" s="3"/>
      <c r="IH965" s="3"/>
      <c r="II965" s="3"/>
      <c r="IJ965" s="3"/>
      <c r="IK965" s="3"/>
      <c r="IL965" s="3"/>
      <c r="IM965" s="3"/>
      <c r="IN965" s="3"/>
      <c r="IO965" s="3"/>
      <c r="IP965" s="3"/>
      <c r="IQ965" s="3"/>
      <c r="IR965" s="3"/>
      <c r="IS965" s="3"/>
      <c r="IT965" s="3"/>
      <c r="IU965" s="3"/>
      <c r="IV965" s="3"/>
      <c r="IW965" s="3"/>
      <c r="IX965" s="3"/>
      <c r="IY965" s="3"/>
    </row>
    <row r="966" spans="1:259" ht="13.2" x14ac:dyDescent="0.25">
      <c r="A966" s="10"/>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c r="HV966" s="3"/>
      <c r="HW966" s="3"/>
      <c r="HX966" s="3"/>
      <c r="HY966" s="3"/>
      <c r="HZ966" s="3"/>
      <c r="IA966" s="3"/>
      <c r="IB966" s="3"/>
      <c r="IC966" s="3"/>
      <c r="ID966" s="3"/>
      <c r="IE966" s="3"/>
      <c r="IF966" s="3"/>
      <c r="IG966" s="3"/>
      <c r="IH966" s="3"/>
      <c r="II966" s="3"/>
      <c r="IJ966" s="3"/>
      <c r="IK966" s="3"/>
      <c r="IL966" s="3"/>
      <c r="IM966" s="3"/>
      <c r="IN966" s="3"/>
      <c r="IO966" s="3"/>
      <c r="IP966" s="3"/>
      <c r="IQ966" s="3"/>
      <c r="IR966" s="3"/>
      <c r="IS966" s="3"/>
      <c r="IT966" s="3"/>
      <c r="IU966" s="3"/>
      <c r="IV966" s="3"/>
      <c r="IW966" s="3"/>
      <c r="IX966" s="3"/>
      <c r="IY966" s="3"/>
    </row>
    <row r="967" spans="1:259" ht="13.2" x14ac:dyDescent="0.25">
      <c r="A967" s="10"/>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c r="HV967" s="3"/>
      <c r="HW967" s="3"/>
      <c r="HX967" s="3"/>
      <c r="HY967" s="3"/>
      <c r="HZ967" s="3"/>
      <c r="IA967" s="3"/>
      <c r="IB967" s="3"/>
      <c r="IC967" s="3"/>
      <c r="ID967" s="3"/>
      <c r="IE967" s="3"/>
      <c r="IF967" s="3"/>
      <c r="IG967" s="3"/>
      <c r="IH967" s="3"/>
      <c r="II967" s="3"/>
      <c r="IJ967" s="3"/>
      <c r="IK967" s="3"/>
      <c r="IL967" s="3"/>
      <c r="IM967" s="3"/>
      <c r="IN967" s="3"/>
      <c r="IO967" s="3"/>
      <c r="IP967" s="3"/>
      <c r="IQ967" s="3"/>
      <c r="IR967" s="3"/>
      <c r="IS967" s="3"/>
      <c r="IT967" s="3"/>
      <c r="IU967" s="3"/>
      <c r="IV967" s="3"/>
      <c r="IW967" s="3"/>
      <c r="IX967" s="3"/>
      <c r="IY967" s="3"/>
    </row>
    <row r="968" spans="1:259" ht="13.2" x14ac:dyDescent="0.25">
      <c r="A968" s="10"/>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c r="HV968" s="3"/>
      <c r="HW968" s="3"/>
      <c r="HX968" s="3"/>
      <c r="HY968" s="3"/>
      <c r="HZ968" s="3"/>
      <c r="IA968" s="3"/>
      <c r="IB968" s="3"/>
      <c r="IC968" s="3"/>
      <c r="ID968" s="3"/>
      <c r="IE968" s="3"/>
      <c r="IF968" s="3"/>
      <c r="IG968" s="3"/>
      <c r="IH968" s="3"/>
      <c r="II968" s="3"/>
      <c r="IJ968" s="3"/>
      <c r="IK968" s="3"/>
      <c r="IL968" s="3"/>
      <c r="IM968" s="3"/>
      <c r="IN968" s="3"/>
      <c r="IO968" s="3"/>
      <c r="IP968" s="3"/>
      <c r="IQ968" s="3"/>
      <c r="IR968" s="3"/>
      <c r="IS968" s="3"/>
      <c r="IT968" s="3"/>
      <c r="IU968" s="3"/>
      <c r="IV968" s="3"/>
      <c r="IW968" s="3"/>
      <c r="IX968" s="3"/>
      <c r="IY968" s="3"/>
    </row>
    <row r="969" spans="1:259" ht="13.2" x14ac:dyDescent="0.25">
      <c r="A969" s="10"/>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c r="HV969" s="3"/>
      <c r="HW969" s="3"/>
      <c r="HX969" s="3"/>
      <c r="HY969" s="3"/>
      <c r="HZ969" s="3"/>
      <c r="IA969" s="3"/>
      <c r="IB969" s="3"/>
      <c r="IC969" s="3"/>
      <c r="ID969" s="3"/>
      <c r="IE969" s="3"/>
      <c r="IF969" s="3"/>
      <c r="IG969" s="3"/>
      <c r="IH969" s="3"/>
      <c r="II969" s="3"/>
      <c r="IJ969" s="3"/>
      <c r="IK969" s="3"/>
      <c r="IL969" s="3"/>
      <c r="IM969" s="3"/>
      <c r="IN969" s="3"/>
      <c r="IO969" s="3"/>
      <c r="IP969" s="3"/>
      <c r="IQ969" s="3"/>
      <c r="IR969" s="3"/>
      <c r="IS969" s="3"/>
      <c r="IT969" s="3"/>
      <c r="IU969" s="3"/>
      <c r="IV969" s="3"/>
      <c r="IW969" s="3"/>
      <c r="IX969" s="3"/>
      <c r="IY969" s="3"/>
    </row>
    <row r="970" spans="1:259" ht="13.2" x14ac:dyDescent="0.25">
      <c r="A970" s="10"/>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c r="HV970" s="3"/>
      <c r="HW970" s="3"/>
      <c r="HX970" s="3"/>
      <c r="HY970" s="3"/>
      <c r="HZ970" s="3"/>
      <c r="IA970" s="3"/>
      <c r="IB970" s="3"/>
      <c r="IC970" s="3"/>
      <c r="ID970" s="3"/>
      <c r="IE970" s="3"/>
      <c r="IF970" s="3"/>
      <c r="IG970" s="3"/>
      <c r="IH970" s="3"/>
      <c r="II970" s="3"/>
      <c r="IJ970" s="3"/>
      <c r="IK970" s="3"/>
      <c r="IL970" s="3"/>
      <c r="IM970" s="3"/>
      <c r="IN970" s="3"/>
      <c r="IO970" s="3"/>
      <c r="IP970" s="3"/>
      <c r="IQ970" s="3"/>
      <c r="IR970" s="3"/>
      <c r="IS970" s="3"/>
      <c r="IT970" s="3"/>
      <c r="IU970" s="3"/>
      <c r="IV970" s="3"/>
      <c r="IW970" s="3"/>
      <c r="IX970" s="3"/>
      <c r="IY970" s="3"/>
    </row>
    <row r="971" spans="1:259" ht="13.2" x14ac:dyDescent="0.25">
      <c r="A971" s="10"/>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c r="HV971" s="3"/>
      <c r="HW971" s="3"/>
      <c r="HX971" s="3"/>
      <c r="HY971" s="3"/>
      <c r="HZ971" s="3"/>
      <c r="IA971" s="3"/>
      <c r="IB971" s="3"/>
      <c r="IC971" s="3"/>
      <c r="ID971" s="3"/>
      <c r="IE971" s="3"/>
      <c r="IF971" s="3"/>
      <c r="IG971" s="3"/>
      <c r="IH971" s="3"/>
      <c r="II971" s="3"/>
      <c r="IJ971" s="3"/>
      <c r="IK971" s="3"/>
      <c r="IL971" s="3"/>
      <c r="IM971" s="3"/>
      <c r="IN971" s="3"/>
      <c r="IO971" s="3"/>
      <c r="IP971" s="3"/>
      <c r="IQ971" s="3"/>
      <c r="IR971" s="3"/>
      <c r="IS971" s="3"/>
      <c r="IT971" s="3"/>
      <c r="IU971" s="3"/>
      <c r="IV971" s="3"/>
      <c r="IW971" s="3"/>
      <c r="IX971" s="3"/>
      <c r="IY971" s="3"/>
    </row>
    <row r="972" spans="1:259" ht="13.2" x14ac:dyDescent="0.25">
      <c r="A972" s="10"/>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c r="HV972" s="3"/>
      <c r="HW972" s="3"/>
      <c r="HX972" s="3"/>
      <c r="HY972" s="3"/>
      <c r="HZ972" s="3"/>
      <c r="IA972" s="3"/>
      <c r="IB972" s="3"/>
      <c r="IC972" s="3"/>
      <c r="ID972" s="3"/>
      <c r="IE972" s="3"/>
      <c r="IF972" s="3"/>
      <c r="IG972" s="3"/>
      <c r="IH972" s="3"/>
      <c r="II972" s="3"/>
      <c r="IJ972" s="3"/>
      <c r="IK972" s="3"/>
      <c r="IL972" s="3"/>
      <c r="IM972" s="3"/>
      <c r="IN972" s="3"/>
      <c r="IO972" s="3"/>
      <c r="IP972" s="3"/>
      <c r="IQ972" s="3"/>
      <c r="IR972" s="3"/>
      <c r="IS972" s="3"/>
      <c r="IT972" s="3"/>
      <c r="IU972" s="3"/>
      <c r="IV972" s="3"/>
      <c r="IW972" s="3"/>
      <c r="IX972" s="3"/>
      <c r="IY972" s="3"/>
    </row>
    <row r="973" spans="1:259" ht="13.2" x14ac:dyDescent="0.25">
      <c r="A973" s="10"/>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c r="HX973" s="3"/>
      <c r="HY973" s="3"/>
      <c r="HZ973" s="3"/>
      <c r="IA973" s="3"/>
      <c r="IB973" s="3"/>
      <c r="IC973" s="3"/>
      <c r="ID973" s="3"/>
      <c r="IE973" s="3"/>
      <c r="IF973" s="3"/>
      <c r="IG973" s="3"/>
      <c r="IH973" s="3"/>
      <c r="II973" s="3"/>
      <c r="IJ973" s="3"/>
      <c r="IK973" s="3"/>
      <c r="IL973" s="3"/>
      <c r="IM973" s="3"/>
      <c r="IN973" s="3"/>
      <c r="IO973" s="3"/>
      <c r="IP973" s="3"/>
      <c r="IQ973" s="3"/>
      <c r="IR973" s="3"/>
      <c r="IS973" s="3"/>
      <c r="IT973" s="3"/>
      <c r="IU973" s="3"/>
      <c r="IV973" s="3"/>
      <c r="IW973" s="3"/>
      <c r="IX973" s="3"/>
      <c r="IY973" s="3"/>
    </row>
    <row r="974" spans="1:259" ht="13.2" x14ac:dyDescent="0.25">
      <c r="A974" s="10"/>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c r="HV974" s="3"/>
      <c r="HW974" s="3"/>
      <c r="HX974" s="3"/>
      <c r="HY974" s="3"/>
      <c r="HZ974" s="3"/>
      <c r="IA974" s="3"/>
      <c r="IB974" s="3"/>
      <c r="IC974" s="3"/>
      <c r="ID974" s="3"/>
      <c r="IE974" s="3"/>
      <c r="IF974" s="3"/>
      <c r="IG974" s="3"/>
      <c r="IH974" s="3"/>
      <c r="II974" s="3"/>
      <c r="IJ974" s="3"/>
      <c r="IK974" s="3"/>
      <c r="IL974" s="3"/>
      <c r="IM974" s="3"/>
      <c r="IN974" s="3"/>
      <c r="IO974" s="3"/>
      <c r="IP974" s="3"/>
      <c r="IQ974" s="3"/>
      <c r="IR974" s="3"/>
      <c r="IS974" s="3"/>
      <c r="IT974" s="3"/>
      <c r="IU974" s="3"/>
      <c r="IV974" s="3"/>
      <c r="IW974" s="3"/>
      <c r="IX974" s="3"/>
      <c r="IY974" s="3"/>
    </row>
    <row r="975" spans="1:259" ht="13.2" x14ac:dyDescent="0.25">
      <c r="A975" s="10"/>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c r="HV975" s="3"/>
      <c r="HW975" s="3"/>
      <c r="HX975" s="3"/>
      <c r="HY975" s="3"/>
      <c r="HZ975" s="3"/>
      <c r="IA975" s="3"/>
      <c r="IB975" s="3"/>
      <c r="IC975" s="3"/>
      <c r="ID975" s="3"/>
      <c r="IE975" s="3"/>
      <c r="IF975" s="3"/>
      <c r="IG975" s="3"/>
      <c r="IH975" s="3"/>
      <c r="II975" s="3"/>
      <c r="IJ975" s="3"/>
      <c r="IK975" s="3"/>
      <c r="IL975" s="3"/>
      <c r="IM975" s="3"/>
      <c r="IN975" s="3"/>
      <c r="IO975" s="3"/>
      <c r="IP975" s="3"/>
      <c r="IQ975" s="3"/>
      <c r="IR975" s="3"/>
      <c r="IS975" s="3"/>
      <c r="IT975" s="3"/>
      <c r="IU975" s="3"/>
      <c r="IV975" s="3"/>
      <c r="IW975" s="3"/>
      <c r="IX975" s="3"/>
      <c r="IY975" s="3"/>
    </row>
    <row r="976" spans="1:259" ht="13.2" x14ac:dyDescent="0.25">
      <c r="A976" s="10"/>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c r="HV976" s="3"/>
      <c r="HW976" s="3"/>
      <c r="HX976" s="3"/>
      <c r="HY976" s="3"/>
      <c r="HZ976" s="3"/>
      <c r="IA976" s="3"/>
      <c r="IB976" s="3"/>
      <c r="IC976" s="3"/>
      <c r="ID976" s="3"/>
      <c r="IE976" s="3"/>
      <c r="IF976" s="3"/>
      <c r="IG976" s="3"/>
      <c r="IH976" s="3"/>
      <c r="II976" s="3"/>
      <c r="IJ976" s="3"/>
      <c r="IK976" s="3"/>
      <c r="IL976" s="3"/>
      <c r="IM976" s="3"/>
      <c r="IN976" s="3"/>
      <c r="IO976" s="3"/>
      <c r="IP976" s="3"/>
      <c r="IQ976" s="3"/>
      <c r="IR976" s="3"/>
      <c r="IS976" s="3"/>
      <c r="IT976" s="3"/>
      <c r="IU976" s="3"/>
      <c r="IV976" s="3"/>
      <c r="IW976" s="3"/>
      <c r="IX976" s="3"/>
      <c r="IY976" s="3"/>
    </row>
    <row r="977" spans="1:259" ht="13.2" x14ac:dyDescent="0.25">
      <c r="A977" s="10"/>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c r="HX977" s="3"/>
      <c r="HY977" s="3"/>
      <c r="HZ977" s="3"/>
      <c r="IA977" s="3"/>
      <c r="IB977" s="3"/>
      <c r="IC977" s="3"/>
      <c r="ID977" s="3"/>
      <c r="IE977" s="3"/>
      <c r="IF977" s="3"/>
      <c r="IG977" s="3"/>
      <c r="IH977" s="3"/>
      <c r="II977" s="3"/>
      <c r="IJ977" s="3"/>
      <c r="IK977" s="3"/>
      <c r="IL977" s="3"/>
      <c r="IM977" s="3"/>
      <c r="IN977" s="3"/>
      <c r="IO977" s="3"/>
      <c r="IP977" s="3"/>
      <c r="IQ977" s="3"/>
      <c r="IR977" s="3"/>
      <c r="IS977" s="3"/>
      <c r="IT977" s="3"/>
      <c r="IU977" s="3"/>
      <c r="IV977" s="3"/>
      <c r="IW977" s="3"/>
      <c r="IX977" s="3"/>
      <c r="IY977" s="3"/>
    </row>
    <row r="978" spans="1:259" ht="13.2" x14ac:dyDescent="0.25">
      <c r="A978" s="10"/>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c r="HV978" s="3"/>
      <c r="HW978" s="3"/>
      <c r="HX978" s="3"/>
      <c r="HY978" s="3"/>
      <c r="HZ978" s="3"/>
      <c r="IA978" s="3"/>
      <c r="IB978" s="3"/>
      <c r="IC978" s="3"/>
      <c r="ID978" s="3"/>
      <c r="IE978" s="3"/>
      <c r="IF978" s="3"/>
      <c r="IG978" s="3"/>
      <c r="IH978" s="3"/>
      <c r="II978" s="3"/>
      <c r="IJ978" s="3"/>
      <c r="IK978" s="3"/>
      <c r="IL978" s="3"/>
      <c r="IM978" s="3"/>
      <c r="IN978" s="3"/>
      <c r="IO978" s="3"/>
      <c r="IP978" s="3"/>
      <c r="IQ978" s="3"/>
      <c r="IR978" s="3"/>
      <c r="IS978" s="3"/>
      <c r="IT978" s="3"/>
      <c r="IU978" s="3"/>
      <c r="IV978" s="3"/>
      <c r="IW978" s="3"/>
      <c r="IX978" s="3"/>
      <c r="IY978" s="3"/>
    </row>
    <row r="979" spans="1:259" ht="13.2" x14ac:dyDescent="0.25">
      <c r="A979" s="10"/>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c r="HV979" s="3"/>
      <c r="HW979" s="3"/>
      <c r="HX979" s="3"/>
      <c r="HY979" s="3"/>
      <c r="HZ979" s="3"/>
      <c r="IA979" s="3"/>
      <c r="IB979" s="3"/>
      <c r="IC979" s="3"/>
      <c r="ID979" s="3"/>
      <c r="IE979" s="3"/>
      <c r="IF979" s="3"/>
      <c r="IG979" s="3"/>
      <c r="IH979" s="3"/>
      <c r="II979" s="3"/>
      <c r="IJ979" s="3"/>
      <c r="IK979" s="3"/>
      <c r="IL979" s="3"/>
      <c r="IM979" s="3"/>
      <c r="IN979" s="3"/>
      <c r="IO979" s="3"/>
      <c r="IP979" s="3"/>
      <c r="IQ979" s="3"/>
      <c r="IR979" s="3"/>
      <c r="IS979" s="3"/>
      <c r="IT979" s="3"/>
      <c r="IU979" s="3"/>
      <c r="IV979" s="3"/>
      <c r="IW979" s="3"/>
      <c r="IX979" s="3"/>
      <c r="IY979" s="3"/>
    </row>
    <row r="980" spans="1:259" ht="13.2" x14ac:dyDescent="0.25">
      <c r="A980" s="10"/>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c r="HV980" s="3"/>
      <c r="HW980" s="3"/>
      <c r="HX980" s="3"/>
      <c r="HY980" s="3"/>
      <c r="HZ980" s="3"/>
      <c r="IA980" s="3"/>
      <c r="IB980" s="3"/>
      <c r="IC980" s="3"/>
      <c r="ID980" s="3"/>
      <c r="IE980" s="3"/>
      <c r="IF980" s="3"/>
      <c r="IG980" s="3"/>
      <c r="IH980" s="3"/>
      <c r="II980" s="3"/>
      <c r="IJ980" s="3"/>
      <c r="IK980" s="3"/>
      <c r="IL980" s="3"/>
      <c r="IM980" s="3"/>
      <c r="IN980" s="3"/>
      <c r="IO980" s="3"/>
      <c r="IP980" s="3"/>
      <c r="IQ980" s="3"/>
      <c r="IR980" s="3"/>
      <c r="IS980" s="3"/>
      <c r="IT980" s="3"/>
      <c r="IU980" s="3"/>
      <c r="IV980" s="3"/>
      <c r="IW980" s="3"/>
      <c r="IX980" s="3"/>
      <c r="IY980" s="3"/>
    </row>
    <row r="981" spans="1:259" ht="13.2" x14ac:dyDescent="0.25">
      <c r="A981" s="10"/>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c r="HV981" s="3"/>
      <c r="HW981" s="3"/>
      <c r="HX981" s="3"/>
      <c r="HY981" s="3"/>
      <c r="HZ981" s="3"/>
      <c r="IA981" s="3"/>
      <c r="IB981" s="3"/>
      <c r="IC981" s="3"/>
      <c r="ID981" s="3"/>
      <c r="IE981" s="3"/>
      <c r="IF981" s="3"/>
      <c r="IG981" s="3"/>
      <c r="IH981" s="3"/>
      <c r="II981" s="3"/>
      <c r="IJ981" s="3"/>
      <c r="IK981" s="3"/>
      <c r="IL981" s="3"/>
      <c r="IM981" s="3"/>
      <c r="IN981" s="3"/>
      <c r="IO981" s="3"/>
      <c r="IP981" s="3"/>
      <c r="IQ981" s="3"/>
      <c r="IR981" s="3"/>
      <c r="IS981" s="3"/>
      <c r="IT981" s="3"/>
      <c r="IU981" s="3"/>
      <c r="IV981" s="3"/>
      <c r="IW981" s="3"/>
      <c r="IX981" s="3"/>
      <c r="IY981" s="3"/>
    </row>
    <row r="982" spans="1:259" ht="13.2" x14ac:dyDescent="0.25">
      <c r="A982" s="10"/>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c r="HV982" s="3"/>
      <c r="HW982" s="3"/>
      <c r="HX982" s="3"/>
      <c r="HY982" s="3"/>
      <c r="HZ982" s="3"/>
      <c r="IA982" s="3"/>
      <c r="IB982" s="3"/>
      <c r="IC982" s="3"/>
      <c r="ID982" s="3"/>
      <c r="IE982" s="3"/>
      <c r="IF982" s="3"/>
      <c r="IG982" s="3"/>
      <c r="IH982" s="3"/>
      <c r="II982" s="3"/>
      <c r="IJ982" s="3"/>
      <c r="IK982" s="3"/>
      <c r="IL982" s="3"/>
      <c r="IM982" s="3"/>
      <c r="IN982" s="3"/>
      <c r="IO982" s="3"/>
      <c r="IP982" s="3"/>
      <c r="IQ982" s="3"/>
      <c r="IR982" s="3"/>
      <c r="IS982" s="3"/>
      <c r="IT982" s="3"/>
      <c r="IU982" s="3"/>
      <c r="IV982" s="3"/>
      <c r="IW982" s="3"/>
      <c r="IX982" s="3"/>
      <c r="IY982" s="3"/>
    </row>
    <row r="983" spans="1:259" ht="13.2" x14ac:dyDescent="0.25">
      <c r="A983" s="10"/>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c r="HV983" s="3"/>
      <c r="HW983" s="3"/>
      <c r="HX983" s="3"/>
      <c r="HY983" s="3"/>
      <c r="HZ983" s="3"/>
      <c r="IA983" s="3"/>
      <c r="IB983" s="3"/>
      <c r="IC983" s="3"/>
      <c r="ID983" s="3"/>
      <c r="IE983" s="3"/>
      <c r="IF983" s="3"/>
      <c r="IG983" s="3"/>
      <c r="IH983" s="3"/>
      <c r="II983" s="3"/>
      <c r="IJ983" s="3"/>
      <c r="IK983" s="3"/>
      <c r="IL983" s="3"/>
      <c r="IM983" s="3"/>
      <c r="IN983" s="3"/>
      <c r="IO983" s="3"/>
      <c r="IP983" s="3"/>
      <c r="IQ983" s="3"/>
      <c r="IR983" s="3"/>
      <c r="IS983" s="3"/>
      <c r="IT983" s="3"/>
      <c r="IU983" s="3"/>
      <c r="IV983" s="3"/>
      <c r="IW983" s="3"/>
      <c r="IX983" s="3"/>
      <c r="IY983" s="3"/>
    </row>
    <row r="984" spans="1:259" ht="13.2" x14ac:dyDescent="0.25">
      <c r="A984" s="10"/>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c r="HV984" s="3"/>
      <c r="HW984" s="3"/>
      <c r="HX984" s="3"/>
      <c r="HY984" s="3"/>
      <c r="HZ984" s="3"/>
      <c r="IA984" s="3"/>
      <c r="IB984" s="3"/>
      <c r="IC984" s="3"/>
      <c r="ID984" s="3"/>
      <c r="IE984" s="3"/>
      <c r="IF984" s="3"/>
      <c r="IG984" s="3"/>
      <c r="IH984" s="3"/>
      <c r="II984" s="3"/>
      <c r="IJ984" s="3"/>
      <c r="IK984" s="3"/>
      <c r="IL984" s="3"/>
      <c r="IM984" s="3"/>
      <c r="IN984" s="3"/>
      <c r="IO984" s="3"/>
      <c r="IP984" s="3"/>
      <c r="IQ984" s="3"/>
      <c r="IR984" s="3"/>
      <c r="IS984" s="3"/>
      <c r="IT984" s="3"/>
      <c r="IU984" s="3"/>
      <c r="IV984" s="3"/>
      <c r="IW984" s="3"/>
      <c r="IX984" s="3"/>
      <c r="IY984" s="3"/>
    </row>
    <row r="985" spans="1:259" ht="13.2" x14ac:dyDescent="0.25">
      <c r="A985" s="10"/>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c r="HV985" s="3"/>
      <c r="HW985" s="3"/>
      <c r="HX985" s="3"/>
      <c r="HY985" s="3"/>
      <c r="HZ985" s="3"/>
      <c r="IA985" s="3"/>
      <c r="IB985" s="3"/>
      <c r="IC985" s="3"/>
      <c r="ID985" s="3"/>
      <c r="IE985" s="3"/>
      <c r="IF985" s="3"/>
      <c r="IG985" s="3"/>
      <c r="IH985" s="3"/>
      <c r="II985" s="3"/>
      <c r="IJ985" s="3"/>
      <c r="IK985" s="3"/>
      <c r="IL985" s="3"/>
      <c r="IM985" s="3"/>
      <c r="IN985" s="3"/>
      <c r="IO985" s="3"/>
      <c r="IP985" s="3"/>
      <c r="IQ985" s="3"/>
      <c r="IR985" s="3"/>
      <c r="IS985" s="3"/>
      <c r="IT985" s="3"/>
      <c r="IU985" s="3"/>
      <c r="IV985" s="3"/>
      <c r="IW985" s="3"/>
      <c r="IX985" s="3"/>
      <c r="IY985" s="3"/>
    </row>
    <row r="986" spans="1:259" ht="13.2" x14ac:dyDescent="0.25">
      <c r="A986" s="10"/>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c r="HV986" s="3"/>
      <c r="HW986" s="3"/>
      <c r="HX986" s="3"/>
      <c r="HY986" s="3"/>
      <c r="HZ986" s="3"/>
      <c r="IA986" s="3"/>
      <c r="IB986" s="3"/>
      <c r="IC986" s="3"/>
      <c r="ID986" s="3"/>
      <c r="IE986" s="3"/>
      <c r="IF986" s="3"/>
      <c r="IG986" s="3"/>
      <c r="IH986" s="3"/>
      <c r="II986" s="3"/>
      <c r="IJ986" s="3"/>
      <c r="IK986" s="3"/>
      <c r="IL986" s="3"/>
      <c r="IM986" s="3"/>
      <c r="IN986" s="3"/>
      <c r="IO986" s="3"/>
      <c r="IP986" s="3"/>
      <c r="IQ986" s="3"/>
      <c r="IR986" s="3"/>
      <c r="IS986" s="3"/>
      <c r="IT986" s="3"/>
      <c r="IU986" s="3"/>
      <c r="IV986" s="3"/>
      <c r="IW986" s="3"/>
      <c r="IX986" s="3"/>
      <c r="IY986" s="3"/>
    </row>
    <row r="987" spans="1:259" ht="13.2" x14ac:dyDescent="0.25">
      <c r="A987" s="10"/>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c r="HV987" s="3"/>
      <c r="HW987" s="3"/>
      <c r="HX987" s="3"/>
      <c r="HY987" s="3"/>
      <c r="HZ987" s="3"/>
      <c r="IA987" s="3"/>
      <c r="IB987" s="3"/>
      <c r="IC987" s="3"/>
      <c r="ID987" s="3"/>
      <c r="IE987" s="3"/>
      <c r="IF987" s="3"/>
      <c r="IG987" s="3"/>
      <c r="IH987" s="3"/>
      <c r="II987" s="3"/>
      <c r="IJ987" s="3"/>
      <c r="IK987" s="3"/>
      <c r="IL987" s="3"/>
      <c r="IM987" s="3"/>
      <c r="IN987" s="3"/>
      <c r="IO987" s="3"/>
      <c r="IP987" s="3"/>
      <c r="IQ987" s="3"/>
      <c r="IR987" s="3"/>
      <c r="IS987" s="3"/>
      <c r="IT987" s="3"/>
      <c r="IU987" s="3"/>
      <c r="IV987" s="3"/>
      <c r="IW987" s="3"/>
      <c r="IX987" s="3"/>
      <c r="IY987" s="3"/>
    </row>
    <row r="988" spans="1:259" ht="13.2" x14ac:dyDescent="0.25">
      <c r="A988" s="10"/>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c r="HV988" s="3"/>
      <c r="HW988" s="3"/>
      <c r="HX988" s="3"/>
      <c r="HY988" s="3"/>
      <c r="HZ988" s="3"/>
      <c r="IA988" s="3"/>
      <c r="IB988" s="3"/>
      <c r="IC988" s="3"/>
      <c r="ID988" s="3"/>
      <c r="IE988" s="3"/>
      <c r="IF988" s="3"/>
      <c r="IG988" s="3"/>
      <c r="IH988" s="3"/>
      <c r="II988" s="3"/>
      <c r="IJ988" s="3"/>
      <c r="IK988" s="3"/>
      <c r="IL988" s="3"/>
      <c r="IM988" s="3"/>
      <c r="IN988" s="3"/>
      <c r="IO988" s="3"/>
      <c r="IP988" s="3"/>
      <c r="IQ988" s="3"/>
      <c r="IR988" s="3"/>
      <c r="IS988" s="3"/>
      <c r="IT988" s="3"/>
      <c r="IU988" s="3"/>
      <c r="IV988" s="3"/>
      <c r="IW988" s="3"/>
      <c r="IX988" s="3"/>
      <c r="IY988" s="3"/>
    </row>
    <row r="989" spans="1:259" ht="13.2" x14ac:dyDescent="0.25">
      <c r="A989" s="10"/>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c r="HV989" s="3"/>
      <c r="HW989" s="3"/>
      <c r="HX989" s="3"/>
      <c r="HY989" s="3"/>
      <c r="HZ989" s="3"/>
      <c r="IA989" s="3"/>
      <c r="IB989" s="3"/>
      <c r="IC989" s="3"/>
      <c r="ID989" s="3"/>
      <c r="IE989" s="3"/>
      <c r="IF989" s="3"/>
      <c r="IG989" s="3"/>
      <c r="IH989" s="3"/>
      <c r="II989" s="3"/>
      <c r="IJ989" s="3"/>
      <c r="IK989" s="3"/>
      <c r="IL989" s="3"/>
      <c r="IM989" s="3"/>
      <c r="IN989" s="3"/>
      <c r="IO989" s="3"/>
      <c r="IP989" s="3"/>
      <c r="IQ989" s="3"/>
      <c r="IR989" s="3"/>
      <c r="IS989" s="3"/>
      <c r="IT989" s="3"/>
      <c r="IU989" s="3"/>
      <c r="IV989" s="3"/>
      <c r="IW989" s="3"/>
      <c r="IX989" s="3"/>
      <c r="IY989" s="3"/>
    </row>
    <row r="990" spans="1:259" ht="13.2" x14ac:dyDescent="0.25">
      <c r="A990" s="10"/>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c r="HV990" s="3"/>
      <c r="HW990" s="3"/>
      <c r="HX990" s="3"/>
      <c r="HY990" s="3"/>
      <c r="HZ990" s="3"/>
      <c r="IA990" s="3"/>
      <c r="IB990" s="3"/>
      <c r="IC990" s="3"/>
      <c r="ID990" s="3"/>
      <c r="IE990" s="3"/>
      <c r="IF990" s="3"/>
      <c r="IG990" s="3"/>
      <c r="IH990" s="3"/>
      <c r="II990" s="3"/>
      <c r="IJ990" s="3"/>
      <c r="IK990" s="3"/>
      <c r="IL990" s="3"/>
      <c r="IM990" s="3"/>
      <c r="IN990" s="3"/>
      <c r="IO990" s="3"/>
      <c r="IP990" s="3"/>
      <c r="IQ990" s="3"/>
      <c r="IR990" s="3"/>
      <c r="IS990" s="3"/>
      <c r="IT990" s="3"/>
      <c r="IU990" s="3"/>
      <c r="IV990" s="3"/>
      <c r="IW990" s="3"/>
      <c r="IX990" s="3"/>
      <c r="IY990" s="3"/>
    </row>
    <row r="991" spans="1:259" ht="13.2" x14ac:dyDescent="0.25">
      <c r="A991" s="10"/>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c r="HV991" s="3"/>
      <c r="HW991" s="3"/>
      <c r="HX991" s="3"/>
      <c r="HY991" s="3"/>
      <c r="HZ991" s="3"/>
      <c r="IA991" s="3"/>
      <c r="IB991" s="3"/>
      <c r="IC991" s="3"/>
      <c r="ID991" s="3"/>
      <c r="IE991" s="3"/>
      <c r="IF991" s="3"/>
      <c r="IG991" s="3"/>
      <c r="IH991" s="3"/>
      <c r="II991" s="3"/>
      <c r="IJ991" s="3"/>
      <c r="IK991" s="3"/>
      <c r="IL991" s="3"/>
      <c r="IM991" s="3"/>
      <c r="IN991" s="3"/>
      <c r="IO991" s="3"/>
      <c r="IP991" s="3"/>
      <c r="IQ991" s="3"/>
      <c r="IR991" s="3"/>
      <c r="IS991" s="3"/>
      <c r="IT991" s="3"/>
      <c r="IU991" s="3"/>
      <c r="IV991" s="3"/>
      <c r="IW991" s="3"/>
      <c r="IX991" s="3"/>
      <c r="IY991" s="3"/>
    </row>
    <row r="992" spans="1:259" ht="13.2" x14ac:dyDescent="0.25">
      <c r="A992" s="10"/>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c r="HV992" s="3"/>
      <c r="HW992" s="3"/>
      <c r="HX992" s="3"/>
      <c r="HY992" s="3"/>
      <c r="HZ992" s="3"/>
      <c r="IA992" s="3"/>
      <c r="IB992" s="3"/>
      <c r="IC992" s="3"/>
      <c r="ID992" s="3"/>
      <c r="IE992" s="3"/>
      <c r="IF992" s="3"/>
      <c r="IG992" s="3"/>
      <c r="IH992" s="3"/>
      <c r="II992" s="3"/>
      <c r="IJ992" s="3"/>
      <c r="IK992" s="3"/>
      <c r="IL992" s="3"/>
      <c r="IM992" s="3"/>
      <c r="IN992" s="3"/>
      <c r="IO992" s="3"/>
      <c r="IP992" s="3"/>
      <c r="IQ992" s="3"/>
      <c r="IR992" s="3"/>
      <c r="IS992" s="3"/>
      <c r="IT992" s="3"/>
      <c r="IU992" s="3"/>
      <c r="IV992" s="3"/>
      <c r="IW992" s="3"/>
      <c r="IX992" s="3"/>
      <c r="IY992" s="3"/>
    </row>
    <row r="993" spans="1:259" ht="13.2" x14ac:dyDescent="0.25">
      <c r="A993" s="10"/>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c r="HV993" s="3"/>
      <c r="HW993" s="3"/>
      <c r="HX993" s="3"/>
      <c r="HY993" s="3"/>
      <c r="HZ993" s="3"/>
      <c r="IA993" s="3"/>
      <c r="IB993" s="3"/>
      <c r="IC993" s="3"/>
      <c r="ID993" s="3"/>
      <c r="IE993" s="3"/>
      <c r="IF993" s="3"/>
      <c r="IG993" s="3"/>
      <c r="IH993" s="3"/>
      <c r="II993" s="3"/>
      <c r="IJ993" s="3"/>
      <c r="IK993" s="3"/>
      <c r="IL993" s="3"/>
      <c r="IM993" s="3"/>
      <c r="IN993" s="3"/>
      <c r="IO993" s="3"/>
      <c r="IP993" s="3"/>
      <c r="IQ993" s="3"/>
      <c r="IR993" s="3"/>
      <c r="IS993" s="3"/>
      <c r="IT993" s="3"/>
      <c r="IU993" s="3"/>
      <c r="IV993" s="3"/>
      <c r="IW993" s="3"/>
      <c r="IX993" s="3"/>
      <c r="IY99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G134"/>
  <sheetViews>
    <sheetView showGridLines="0" topLeftCell="E1" workbookViewId="0"/>
  </sheetViews>
  <sheetFormatPr baseColWidth="10" defaultColWidth="12.6640625" defaultRowHeight="15.75" customHeight="1" x14ac:dyDescent="0.25"/>
  <cols>
    <col min="1" max="4" width="2.77734375" hidden="1" customWidth="1"/>
    <col min="5" max="5" width="0.88671875" customWidth="1"/>
    <col min="6" max="6" width="14.109375" customWidth="1"/>
    <col min="7" max="7" width="12.44140625" customWidth="1"/>
    <col min="8" max="8" width="11.33203125" customWidth="1"/>
    <col min="9" max="9" width="2.109375" customWidth="1"/>
    <col min="10" max="10" width="4.44140625" customWidth="1"/>
    <col min="11" max="11" width="4.21875" customWidth="1"/>
    <col min="12" max="12" width="3.88671875" customWidth="1"/>
    <col min="13" max="13" width="5.33203125" customWidth="1"/>
    <col min="14" max="14" width="4" customWidth="1"/>
    <col min="15" max="15" width="1.77734375" customWidth="1"/>
    <col min="16" max="16" width="14.88671875" customWidth="1"/>
    <col min="17" max="32" width="5.109375" customWidth="1"/>
    <col min="33" max="33" width="6.21875" customWidth="1"/>
  </cols>
  <sheetData>
    <row r="1" spans="1:33" ht="13.2" x14ac:dyDescent="0.25">
      <c r="A1" s="13">
        <v>1</v>
      </c>
      <c r="B1" s="14">
        <f>IFERROR(VLOOKUP($G$4,DISRA!B:BT,7+A1,FALSE),"-")</f>
        <v>2</v>
      </c>
      <c r="C1" s="14">
        <f>IFERROR(VLOOKUP($G$4,DISRA!B:GM,71+A1,FALSE),"-")</f>
        <v>2</v>
      </c>
      <c r="D1" s="14">
        <f>IFERROR(VLOOKUP($G$4,DISRA!B:IY,194+A1,FALSE),"-")</f>
        <v>3</v>
      </c>
      <c r="E1" s="15"/>
      <c r="F1" s="14"/>
      <c r="G1" s="16"/>
      <c r="H1" s="16"/>
      <c r="I1" s="16"/>
      <c r="J1" s="16"/>
      <c r="K1" s="16"/>
      <c r="L1" s="16"/>
      <c r="M1" s="16"/>
      <c r="N1" s="5"/>
      <c r="O1" s="5"/>
      <c r="P1" s="5"/>
      <c r="Q1" s="5"/>
      <c r="R1" s="5"/>
      <c r="S1" s="5"/>
      <c r="T1" s="5"/>
      <c r="U1" s="5"/>
      <c r="V1" s="5"/>
      <c r="W1" s="5"/>
      <c r="X1" s="5"/>
      <c r="Y1" s="5"/>
      <c r="Z1" s="5"/>
      <c r="AA1" s="5"/>
      <c r="AB1" s="5"/>
      <c r="AC1" s="5"/>
      <c r="AD1" s="5"/>
      <c r="AE1" s="5"/>
      <c r="AF1" s="5"/>
      <c r="AG1" s="5"/>
    </row>
    <row r="2" spans="1:33" ht="13.2" x14ac:dyDescent="0.25">
      <c r="A2" s="13">
        <v>2</v>
      </c>
      <c r="B2" s="14">
        <f>IFERROR(VLOOKUP($G$4,DISRA!B:BT,7+A2,FALSE),"-")</f>
        <v>2</v>
      </c>
      <c r="C2" s="14">
        <f>IFERROR(VLOOKUP($G$4,DISRA!B:GL,71+A2,FALSE),"-")</f>
        <v>2</v>
      </c>
      <c r="D2" s="14">
        <f>IFERROR(VLOOKUP($G$4,DISRA!B:IY,194+A2,FALSE),"-")</f>
        <v>3</v>
      </c>
      <c r="E2" s="15"/>
      <c r="F2" s="72" t="s">
        <v>1208</v>
      </c>
      <c r="G2" s="69"/>
      <c r="H2" s="69"/>
      <c r="I2" s="69"/>
      <c r="J2" s="69"/>
      <c r="K2" s="69"/>
      <c r="L2" s="69"/>
      <c r="M2" s="69"/>
      <c r="N2" s="69"/>
      <c r="O2" s="69"/>
      <c r="P2" s="69"/>
      <c r="Q2" s="69"/>
      <c r="R2" s="69"/>
      <c r="S2" s="69"/>
      <c r="T2" s="69"/>
      <c r="U2" s="69"/>
      <c r="V2" s="69"/>
      <c r="W2" s="69"/>
      <c r="X2" s="69"/>
      <c r="Y2" s="69"/>
      <c r="Z2" s="69"/>
      <c r="AA2" s="69"/>
      <c r="AB2" s="69"/>
      <c r="AC2" s="69"/>
      <c r="AD2" s="69"/>
      <c r="AE2" s="69"/>
      <c r="AF2" s="69"/>
      <c r="AG2" s="70"/>
    </row>
    <row r="3" spans="1:33" ht="13.2" x14ac:dyDescent="0.25">
      <c r="A3" s="13">
        <v>3</v>
      </c>
      <c r="B3" s="14" t="str">
        <f>IFERROR(VLOOKUP($G$4,DISRA!B:BT,7+A3,FALSE),"-")</f>
        <v>0</v>
      </c>
      <c r="C3" s="14">
        <f>IFERROR(VLOOKUP($G$4,DISRA!B:GM,71+A3,FALSE),"-")</f>
        <v>2</v>
      </c>
      <c r="D3" s="14">
        <f>IFERROR(VLOOKUP($G$4,DISRA!B:IY,194+A3,FALSE),"-")</f>
        <v>3</v>
      </c>
      <c r="E3" s="15"/>
      <c r="F3" s="14"/>
      <c r="G3" s="5"/>
      <c r="H3" s="5"/>
      <c r="I3" s="5"/>
      <c r="J3" s="5"/>
      <c r="K3" s="5"/>
      <c r="L3" s="5"/>
      <c r="M3" s="5"/>
      <c r="N3" s="5"/>
      <c r="O3" s="5"/>
      <c r="P3" s="5"/>
      <c r="Q3" s="5"/>
      <c r="R3" s="5"/>
      <c r="S3" s="5"/>
      <c r="T3" s="5"/>
      <c r="U3" s="5"/>
      <c r="V3" s="5"/>
      <c r="W3" s="5"/>
      <c r="X3" s="5"/>
      <c r="Y3" s="5"/>
      <c r="Z3" s="5"/>
      <c r="AA3" s="5"/>
      <c r="AB3" s="5"/>
      <c r="AC3" s="5"/>
      <c r="AD3" s="5"/>
      <c r="AE3" s="5"/>
      <c r="AF3" s="5"/>
      <c r="AG3" s="5"/>
    </row>
    <row r="4" spans="1:33" ht="13.2" x14ac:dyDescent="0.25">
      <c r="A4" s="13">
        <v>4</v>
      </c>
      <c r="B4" s="14">
        <f>IFERROR(VLOOKUP($G$4,DISRA!B:BT,7+A4,FALSE),"-")</f>
        <v>4</v>
      </c>
      <c r="C4" s="14" t="str">
        <f>IFERROR(VLOOKUP($G$4,DISRA!B:GL,71+A4,FALSE),"-")</f>
        <v>0</v>
      </c>
      <c r="D4" s="14" t="str">
        <f>IFERROR(VLOOKUP($G$4,DISRA!B:IY,194+A4,FALSE),"-")</f>
        <v>0</v>
      </c>
      <c r="E4" s="15"/>
      <c r="F4" s="17" t="s">
        <v>1209</v>
      </c>
      <c r="G4" s="73" t="s">
        <v>1187</v>
      </c>
      <c r="H4" s="67"/>
      <c r="I4" s="67"/>
      <c r="J4" s="67"/>
      <c r="K4" s="5"/>
      <c r="L4" s="74" t="str">
        <f>IFERROR(VLOOKUP($G$4,DISRA!B:C,2,FALSE),"-")</f>
        <v>Mujer</v>
      </c>
      <c r="M4" s="67"/>
      <c r="N4" s="5"/>
      <c r="O4" s="18"/>
      <c r="P4" s="75" t="s">
        <v>1210</v>
      </c>
      <c r="Q4" s="18"/>
      <c r="R4" s="18"/>
      <c r="S4" s="18"/>
      <c r="T4" s="18"/>
      <c r="U4" s="18"/>
      <c r="V4" s="18"/>
      <c r="W4" s="18"/>
      <c r="X4" s="18"/>
      <c r="Y4" s="18"/>
      <c r="Z4" s="18"/>
      <c r="AA4" s="18"/>
      <c r="AB4" s="18"/>
      <c r="AC4" s="18"/>
      <c r="AD4" s="18"/>
      <c r="AE4" s="18"/>
      <c r="AF4" s="18"/>
      <c r="AG4" s="18"/>
    </row>
    <row r="5" spans="1:33" ht="13.2" x14ac:dyDescent="0.25">
      <c r="A5" s="13">
        <v>5</v>
      </c>
      <c r="B5" s="14">
        <f>IFERROR(VLOOKUP($G$4,DISRA!B:BT,7+A5,FALSE),"-")</f>
        <v>2</v>
      </c>
      <c r="C5" s="14" t="str">
        <f>IFERROR(VLOOKUP($G$4,DISRA!B:GM,71+A5,FALSE),"-")</f>
        <v>0</v>
      </c>
      <c r="D5" s="14">
        <f>IFERROR(VLOOKUP($G$4,DISRA!B:IY,194+A5,FALSE),"-")</f>
        <v>1</v>
      </c>
      <c r="E5" s="15"/>
      <c r="F5" s="14"/>
      <c r="G5" s="5"/>
      <c r="H5" s="5"/>
      <c r="I5" s="5"/>
      <c r="J5" s="5"/>
      <c r="K5" s="5"/>
      <c r="L5" s="5"/>
      <c r="M5" s="5"/>
      <c r="N5" s="5"/>
      <c r="O5" s="18"/>
      <c r="P5" s="65"/>
      <c r="Q5" s="19"/>
      <c r="R5" s="19"/>
      <c r="S5" s="19"/>
      <c r="T5" s="19"/>
      <c r="U5" s="19"/>
      <c r="V5" s="19"/>
      <c r="W5" s="19"/>
      <c r="X5" s="19"/>
      <c r="Y5" s="19"/>
      <c r="Z5" s="19"/>
      <c r="AA5" s="19"/>
      <c r="AB5" s="19"/>
      <c r="AC5" s="19"/>
      <c r="AD5" s="19"/>
      <c r="AE5" s="19"/>
      <c r="AF5" s="19"/>
      <c r="AG5" s="19"/>
    </row>
    <row r="6" spans="1:33" ht="13.2" x14ac:dyDescent="0.25">
      <c r="A6" s="13">
        <v>6</v>
      </c>
      <c r="B6" s="14" t="str">
        <f>IFERROR(VLOOKUP($G$4,DISRA!B:BT,7+A6,FALSE),"-")</f>
        <v>0</v>
      </c>
      <c r="C6" s="14" t="str">
        <f>IFERROR(VLOOKUP($G$4,DISRA!B:GL,71+A6,FALSE),"-")</f>
        <v>0</v>
      </c>
      <c r="D6" s="14">
        <f>IFERROR(VLOOKUP($G$4,DISRA!B:IY,194+A6,FALSE),"-")</f>
        <v>3</v>
      </c>
      <c r="E6" s="15"/>
      <c r="F6" s="20" t="s">
        <v>970</v>
      </c>
      <c r="G6" s="21" t="s">
        <v>1211</v>
      </c>
      <c r="H6" s="21" t="s">
        <v>1212</v>
      </c>
      <c r="I6" s="76" t="s">
        <v>1213</v>
      </c>
      <c r="J6" s="69"/>
      <c r="K6" s="69"/>
      <c r="L6" s="69"/>
      <c r="M6" s="70"/>
      <c r="N6" s="5"/>
      <c r="O6" s="18"/>
      <c r="P6" s="64" t="s">
        <v>1214</v>
      </c>
      <c r="Q6" s="18"/>
      <c r="R6" s="18"/>
      <c r="S6" s="18"/>
      <c r="T6" s="18"/>
      <c r="U6" s="18"/>
      <c r="V6" s="18"/>
      <c r="W6" s="18"/>
      <c r="X6" s="18"/>
      <c r="Y6" s="18"/>
      <c r="Z6" s="18"/>
      <c r="AA6" s="18"/>
      <c r="AB6" s="18"/>
      <c r="AC6" s="18"/>
      <c r="AD6" s="18"/>
      <c r="AE6" s="18"/>
      <c r="AF6" s="18"/>
      <c r="AG6" s="18"/>
    </row>
    <row r="7" spans="1:33" ht="33" customHeight="1" x14ac:dyDescent="0.25">
      <c r="A7" s="13">
        <v>7</v>
      </c>
      <c r="B7" s="14">
        <f>IFERROR(VLOOKUP($G$4,DISRA!B:BT,7+A7,FALSE),"-")</f>
        <v>2</v>
      </c>
      <c r="C7" s="14">
        <f>IFERROR(VLOOKUP($G$4,DISRA!B:GM,71+A7,FALSE),"-")</f>
        <v>2</v>
      </c>
      <c r="D7" s="14">
        <f>IFERROR(VLOOKUP($G$4,DISRA!B:IY,194+A7,FALSE),"-")</f>
        <v>3</v>
      </c>
      <c r="E7" s="23"/>
      <c r="F7" s="24" t="s">
        <v>1215</v>
      </c>
      <c r="G7" s="25">
        <f>B65</f>
        <v>62</v>
      </c>
      <c r="H7" s="26">
        <f>IF($L$4="Mujer",BAREMOS!B22, IF($L$4="Hombre",BAREMOS!K22, "-"))</f>
        <v>45</v>
      </c>
      <c r="I7" s="68" t="str">
        <f t="shared" ref="I7:I10" si="0">IF(H7&lt;25,"Ansiedad Minima", IF(H7&lt;80,"Ansiedad Moderada", IF(H7&lt;99,"Ansiedad Severa","Ansiedad Extrema")))</f>
        <v>Ansiedad Moderada</v>
      </c>
      <c r="J7" s="69"/>
      <c r="K7" s="69"/>
      <c r="L7" s="69"/>
      <c r="M7" s="70"/>
      <c r="N7" s="27"/>
      <c r="O7" s="22"/>
      <c r="P7" s="65"/>
      <c r="Q7" s="28"/>
      <c r="R7" s="28"/>
      <c r="S7" s="28"/>
      <c r="T7" s="28"/>
      <c r="U7" s="28"/>
      <c r="V7" s="28"/>
      <c r="W7" s="28"/>
      <c r="X7" s="28"/>
      <c r="Y7" s="28"/>
      <c r="Z7" s="28"/>
      <c r="AA7" s="28"/>
      <c r="AB7" s="28"/>
      <c r="AC7" s="28"/>
      <c r="AD7" s="28"/>
      <c r="AE7" s="28"/>
      <c r="AF7" s="28"/>
      <c r="AG7" s="28"/>
    </row>
    <row r="8" spans="1:33" ht="33" customHeight="1" x14ac:dyDescent="0.25">
      <c r="A8" s="13">
        <v>8</v>
      </c>
      <c r="B8" s="14" t="str">
        <f>IFERROR(VLOOKUP($G$4,DISRA!B:BT,7+A8,FALSE),"-")</f>
        <v>0</v>
      </c>
      <c r="C8" s="14" t="str">
        <f>IFERROR(VLOOKUP($G$4,DISRA!B:GL,71+A8,FALSE),"-")</f>
        <v>0</v>
      </c>
      <c r="D8" s="14" t="str">
        <f>IFERROR(VLOOKUP($G$4,DISRA!B:IY,194+A8,FALSE),"-")</f>
        <v>0</v>
      </c>
      <c r="E8" s="23"/>
      <c r="F8" s="24" t="s">
        <v>1216</v>
      </c>
      <c r="G8" s="29">
        <f>C124/2</f>
        <v>57.5</v>
      </c>
      <c r="H8" s="30">
        <f>IF($L$4="Mujer",BAREMOS!C22, IF($L$4="Hombre",BAREMOS!L22, "-"))</f>
        <v>80</v>
      </c>
      <c r="I8" s="71" t="str">
        <f t="shared" si="0"/>
        <v>Ansiedad Severa</v>
      </c>
      <c r="J8" s="69"/>
      <c r="K8" s="69"/>
      <c r="L8" s="69"/>
      <c r="M8" s="70"/>
      <c r="N8" s="27"/>
      <c r="O8" s="22"/>
      <c r="P8" s="66" t="s">
        <v>1217</v>
      </c>
      <c r="Q8" s="22"/>
      <c r="R8" s="22"/>
      <c r="S8" s="22"/>
      <c r="T8" s="22"/>
      <c r="U8" s="22"/>
      <c r="V8" s="22"/>
      <c r="W8" s="22"/>
      <c r="X8" s="22"/>
      <c r="Y8" s="22"/>
      <c r="Z8" s="22"/>
      <c r="AA8" s="22"/>
      <c r="AB8" s="22"/>
      <c r="AC8" s="22"/>
      <c r="AD8" s="22"/>
      <c r="AE8" s="22"/>
      <c r="AF8" s="22"/>
      <c r="AG8" s="22"/>
    </row>
    <row r="9" spans="1:33" ht="33" customHeight="1" x14ac:dyDescent="0.25">
      <c r="A9" s="13">
        <v>9</v>
      </c>
      <c r="B9" s="14" t="str">
        <f>IFERROR(VLOOKUP($G$4,DISRA!B:BT,7+A9,FALSE),"-")</f>
        <v>0</v>
      </c>
      <c r="C9" s="14">
        <f>IFERROR(VLOOKUP($G$4,DISRA!B:GM,71+A9,FALSE),"-")</f>
        <v>4</v>
      </c>
      <c r="D9" s="14">
        <f>IFERROR(VLOOKUP($G$4,DISRA!B:IY,194+A9,FALSE),"-")</f>
        <v>3</v>
      </c>
      <c r="E9" s="23"/>
      <c r="F9" s="24" t="s">
        <v>1218</v>
      </c>
      <c r="G9" s="25">
        <f>D65</f>
        <v>95</v>
      </c>
      <c r="H9" s="26">
        <f>IF($L$4="Mujer",BAREMOS!D22, IF($L$4="Hombre",BAREMOS!M22, "-"))</f>
        <v>95</v>
      </c>
      <c r="I9" s="68" t="str">
        <f t="shared" si="0"/>
        <v>Ansiedad Severa</v>
      </c>
      <c r="J9" s="69"/>
      <c r="K9" s="69"/>
      <c r="L9" s="69"/>
      <c r="M9" s="70"/>
      <c r="N9" s="27"/>
      <c r="O9" s="22"/>
      <c r="P9" s="67"/>
      <c r="Q9" s="22"/>
      <c r="R9" s="22"/>
      <c r="S9" s="22"/>
      <c r="T9" s="22"/>
      <c r="U9" s="22"/>
      <c r="V9" s="22"/>
      <c r="W9" s="22"/>
      <c r="X9" s="22"/>
      <c r="Y9" s="22"/>
      <c r="Z9" s="22"/>
      <c r="AA9" s="22"/>
      <c r="AB9" s="22"/>
      <c r="AC9" s="22"/>
      <c r="AD9" s="22"/>
      <c r="AE9" s="22"/>
      <c r="AF9" s="22"/>
      <c r="AG9" s="22"/>
    </row>
    <row r="10" spans="1:33" ht="33" customHeight="1" x14ac:dyDescent="0.25">
      <c r="A10" s="13">
        <v>10</v>
      </c>
      <c r="B10" s="14" t="str">
        <f>IFERROR(VLOOKUP($G$4,DISRA!B:BT,7+A10,FALSE),"-")</f>
        <v>0</v>
      </c>
      <c r="C10" s="14" t="str">
        <f>IFERROR(VLOOKUP($G$4,DISRA!B:GL,71+A10,FALSE),"-")</f>
        <v>0</v>
      </c>
      <c r="D10" s="14">
        <f>IFERROR(VLOOKUP($G$4,DISRA!B:IY,194+A10,FALSE),"-")</f>
        <v>1</v>
      </c>
      <c r="E10" s="23"/>
      <c r="F10" s="24" t="s">
        <v>1219</v>
      </c>
      <c r="G10" s="31">
        <f>SUM(G7:G9)</f>
        <v>214.5</v>
      </c>
      <c r="H10" s="31">
        <f>IF($L$4="Mujer",BAREMOS!E22, IF($L$4="Hombre",BAREMOS!N22, "-"))</f>
        <v>80</v>
      </c>
      <c r="I10" s="71" t="str">
        <f t="shared" si="0"/>
        <v>Ansiedad Severa</v>
      </c>
      <c r="J10" s="69"/>
      <c r="K10" s="69"/>
      <c r="L10" s="69"/>
      <c r="M10" s="70"/>
      <c r="N10" s="27"/>
      <c r="O10" s="22"/>
      <c r="P10" s="67"/>
      <c r="Q10" s="22"/>
      <c r="R10" s="22"/>
      <c r="S10" s="22"/>
      <c r="T10" s="22"/>
      <c r="U10" s="22"/>
      <c r="V10" s="22"/>
      <c r="W10" s="22"/>
      <c r="X10" s="22"/>
      <c r="Y10" s="22"/>
      <c r="Z10" s="22"/>
      <c r="AA10" s="22"/>
      <c r="AB10" s="22"/>
      <c r="AC10" s="22"/>
      <c r="AD10" s="22"/>
      <c r="AE10" s="22"/>
      <c r="AF10" s="22"/>
      <c r="AG10" s="22"/>
    </row>
    <row r="11" spans="1:33" ht="15" customHeight="1" x14ac:dyDescent="0.25">
      <c r="A11" s="13">
        <v>11</v>
      </c>
      <c r="B11" s="14" t="str">
        <f>IFERROR(VLOOKUP($G$4,DISRA!B:BT,7+A11,FALSE),"-")</f>
        <v>0</v>
      </c>
      <c r="C11" s="14" t="str">
        <f>IFERROR(VLOOKUP($G$4,DISRA!B:GM,71+A11,FALSE),"-")</f>
        <v>0</v>
      </c>
      <c r="D11" s="14">
        <f>IFERROR(VLOOKUP($G$4,DISRA!B:IY,194+A11,FALSE),"-")</f>
        <v>3</v>
      </c>
      <c r="E11" s="23"/>
      <c r="F11" s="32"/>
      <c r="G11" s="33"/>
      <c r="H11" s="33"/>
      <c r="I11" s="33"/>
      <c r="J11" s="33"/>
      <c r="K11" s="33"/>
      <c r="L11" s="33"/>
      <c r="M11" s="34"/>
      <c r="N11" s="27"/>
      <c r="O11" s="22"/>
      <c r="P11" s="67"/>
      <c r="Q11" s="22"/>
      <c r="R11" s="22"/>
      <c r="S11" s="22"/>
      <c r="T11" s="22"/>
      <c r="U11" s="22"/>
      <c r="V11" s="22"/>
      <c r="W11" s="22"/>
      <c r="X11" s="22"/>
      <c r="Y11" s="22"/>
      <c r="Z11" s="22"/>
      <c r="AA11" s="22"/>
      <c r="AB11" s="22"/>
      <c r="AC11" s="22"/>
      <c r="AD11" s="22"/>
      <c r="AE11" s="22"/>
      <c r="AF11" s="22"/>
      <c r="AG11" s="22"/>
    </row>
    <row r="12" spans="1:33" ht="33" customHeight="1" x14ac:dyDescent="0.25">
      <c r="A12" s="13">
        <v>12</v>
      </c>
      <c r="B12" s="14" t="str">
        <f>IFERROR(VLOOKUP($G$4,DISRA!B:BT,7+A12,FALSE),"-")</f>
        <v>0</v>
      </c>
      <c r="C12" s="14" t="str">
        <f>IFERROR(VLOOKUP($G$4,DISRA!B:GL,71+A12,FALSE),"-")</f>
        <v>0</v>
      </c>
      <c r="D12" s="14" t="str">
        <f>IFERROR(VLOOKUP($G$4,DISRA!B:IY,194+A12,FALSE),"-")</f>
        <v>0</v>
      </c>
      <c r="E12" s="23"/>
      <c r="F12" s="24" t="s">
        <v>1220</v>
      </c>
      <c r="G12" s="29">
        <f>RESPUESTAS!AI2</f>
        <v>71</v>
      </c>
      <c r="H12" s="30">
        <f>IF($L$4="Mujer",BAREMOS!F22, IF($L$4="Hombre",BAREMOS!O22, "-"))</f>
        <v>55</v>
      </c>
      <c r="I12" s="71" t="str">
        <f t="shared" ref="I12:I15" si="1">IF(H12&lt;25,"Ansiedad Minima", IF(H12&lt;80,"Ansiedad Moderada", IF(H12&lt;99,"Ansiedad Severa","Ansiedad Extrema")))</f>
        <v>Ansiedad Moderada</v>
      </c>
      <c r="J12" s="69"/>
      <c r="K12" s="69"/>
      <c r="L12" s="69"/>
      <c r="M12" s="70"/>
      <c r="N12" s="27"/>
      <c r="O12" s="22"/>
      <c r="P12" s="65"/>
      <c r="Q12" s="28"/>
      <c r="R12" s="28"/>
      <c r="S12" s="28"/>
      <c r="T12" s="28"/>
      <c r="U12" s="28"/>
      <c r="V12" s="28"/>
      <c r="W12" s="28"/>
      <c r="X12" s="28"/>
      <c r="Y12" s="28"/>
      <c r="Z12" s="28"/>
      <c r="AA12" s="28"/>
      <c r="AB12" s="28"/>
      <c r="AC12" s="28"/>
      <c r="AD12" s="28"/>
      <c r="AE12" s="28"/>
      <c r="AF12" s="28"/>
      <c r="AG12" s="28"/>
    </row>
    <row r="13" spans="1:33" ht="33" customHeight="1" x14ac:dyDescent="0.25">
      <c r="A13" s="13">
        <v>13</v>
      </c>
      <c r="B13" s="14" t="str">
        <f>IFERROR(VLOOKUP($G$4,DISRA!B:BT,7+A13,FALSE),"-")</f>
        <v>0</v>
      </c>
      <c r="C13" s="14" t="str">
        <f>IFERROR(VLOOKUP($G$4,DISRA!B:GM,71+A13,FALSE),"-")</f>
        <v>0</v>
      </c>
      <c r="D13" s="14">
        <f>IFERROR(VLOOKUP($G$4,DISRA!B:IY,194+A13,FALSE),"-")</f>
        <v>3</v>
      </c>
      <c r="E13" s="23"/>
      <c r="F13" s="24" t="s">
        <v>1221</v>
      </c>
      <c r="G13" s="25">
        <f>RESPUESTAS!AI3</f>
        <v>8</v>
      </c>
      <c r="H13" s="26">
        <f>IF($L$4="Mujer",BAREMOS!G22, IF($L$4="Hombre",BAREMOS!P22, "-"))</f>
        <v>25</v>
      </c>
      <c r="I13" s="68" t="str">
        <f t="shared" si="1"/>
        <v>Ansiedad Moderada</v>
      </c>
      <c r="J13" s="69"/>
      <c r="K13" s="69"/>
      <c r="L13" s="69"/>
      <c r="M13" s="70"/>
      <c r="N13" s="27"/>
      <c r="O13" s="22"/>
      <c r="P13" s="66" t="s">
        <v>1222</v>
      </c>
      <c r="Q13" s="22"/>
      <c r="R13" s="22"/>
      <c r="S13" s="22"/>
      <c r="T13" s="22"/>
      <c r="U13" s="22"/>
      <c r="V13" s="22"/>
      <c r="W13" s="22"/>
      <c r="X13" s="22"/>
      <c r="Y13" s="22"/>
      <c r="Z13" s="22"/>
      <c r="AA13" s="22"/>
      <c r="AB13" s="22"/>
      <c r="AC13" s="22"/>
      <c r="AD13" s="22"/>
      <c r="AE13" s="22"/>
      <c r="AF13" s="22"/>
      <c r="AG13" s="22"/>
    </row>
    <row r="14" spans="1:33" ht="33" customHeight="1" x14ac:dyDescent="0.25">
      <c r="A14" s="13">
        <v>14</v>
      </c>
      <c r="B14" s="14" t="str">
        <f>IFERROR(VLOOKUP($G$4,DISRA!B:BT,7+A14,FALSE),"-")</f>
        <v>0</v>
      </c>
      <c r="C14" s="14" t="str">
        <f>IFERROR(VLOOKUP($G$4,DISRA!B:GL,71+A14,FALSE),"-")</f>
        <v>0</v>
      </c>
      <c r="D14" s="14">
        <f>IFERROR(VLOOKUP($G$4,DISRA!B:IY,194+A14,FALSE),"-")</f>
        <v>3</v>
      </c>
      <c r="E14" s="23"/>
      <c r="F14" s="24" t="s">
        <v>1223</v>
      </c>
      <c r="G14" s="29">
        <f>RESPUESTAS!AI4</f>
        <v>66</v>
      </c>
      <c r="H14" s="31">
        <f>IF($L$4="Mujer",BAREMOS!H22, IF($L$4="Hombre",BAREMOS!Q22, "-"))</f>
        <v>85</v>
      </c>
      <c r="I14" s="71" t="str">
        <f t="shared" si="1"/>
        <v>Ansiedad Severa</v>
      </c>
      <c r="J14" s="69"/>
      <c r="K14" s="69"/>
      <c r="L14" s="69"/>
      <c r="M14" s="70"/>
      <c r="N14" s="27"/>
      <c r="O14" s="22"/>
      <c r="P14" s="67"/>
      <c r="Q14" s="22"/>
      <c r="R14" s="22"/>
      <c r="S14" s="22"/>
      <c r="T14" s="22"/>
      <c r="U14" s="22"/>
      <c r="V14" s="22"/>
      <c r="W14" s="22"/>
      <c r="X14" s="22"/>
      <c r="Y14" s="22"/>
      <c r="Z14" s="22"/>
      <c r="AA14" s="22"/>
      <c r="AB14" s="22"/>
      <c r="AC14" s="22"/>
      <c r="AD14" s="22"/>
      <c r="AE14" s="22"/>
      <c r="AF14" s="22"/>
      <c r="AG14" s="22"/>
    </row>
    <row r="15" spans="1:33" ht="33" customHeight="1" x14ac:dyDescent="0.25">
      <c r="A15" s="13">
        <v>15</v>
      </c>
      <c r="B15" s="14" t="str">
        <f>IFERROR(VLOOKUP($G$4,DISRA!B:BT,7+A15,FALSE),"-")</f>
        <v>0</v>
      </c>
      <c r="C15" s="14" t="str">
        <f>IFERROR(VLOOKUP($G$4,DISRA!B:GM,71+A15,FALSE),"-")</f>
        <v>0</v>
      </c>
      <c r="D15" s="14">
        <f>IFERROR(VLOOKUP($G$4,DISRA!B:IY,194+A15,FALSE),"-")</f>
        <v>3</v>
      </c>
      <c r="E15" s="23"/>
      <c r="F15" s="35" t="s">
        <v>1224</v>
      </c>
      <c r="G15" s="25">
        <f>RESPUESTAS!AI5</f>
        <v>21</v>
      </c>
      <c r="H15" s="26">
        <f>IF($L$4="Mujer",BAREMOS!I22, IF($L$4="Hombre",BAREMOS!R22, "-"))</f>
        <v>80</v>
      </c>
      <c r="I15" s="68" t="str">
        <f t="shared" si="1"/>
        <v>Ansiedad Severa</v>
      </c>
      <c r="J15" s="69"/>
      <c r="K15" s="69"/>
      <c r="L15" s="69"/>
      <c r="M15" s="70"/>
      <c r="N15" s="27"/>
      <c r="O15" s="22"/>
      <c r="P15" s="22"/>
      <c r="Q15" s="22"/>
      <c r="R15" s="22"/>
      <c r="S15" s="22"/>
      <c r="T15" s="22"/>
      <c r="U15" s="22"/>
      <c r="V15" s="22"/>
      <c r="W15" s="22"/>
      <c r="X15" s="22"/>
      <c r="Y15" s="22"/>
      <c r="Z15" s="22"/>
      <c r="AA15" s="22"/>
      <c r="AB15" s="22"/>
      <c r="AC15" s="22"/>
      <c r="AD15" s="22"/>
      <c r="AE15" s="22"/>
      <c r="AF15" s="22"/>
      <c r="AG15" s="22"/>
    </row>
    <row r="16" spans="1:33" ht="13.2" x14ac:dyDescent="0.25">
      <c r="A16" s="13">
        <v>16</v>
      </c>
      <c r="B16" s="14" t="str">
        <f>IFERROR(VLOOKUP($G$4,DISRA!B:BT,7+A16,FALSE),"-")</f>
        <v>0</v>
      </c>
      <c r="C16" s="14">
        <f>IFERROR(VLOOKUP($G$4,DISRA!B:GL,71+A16,FALSE),"-")</f>
        <v>4</v>
      </c>
      <c r="D16" s="14" t="str">
        <f>IFERROR(VLOOKUP($G$4,DISRA!B:IY,194+A16,FALSE),"-")</f>
        <v>0</v>
      </c>
      <c r="E16" s="15"/>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spans="1:33" ht="13.2" hidden="1" x14ac:dyDescent="0.25">
      <c r="A17" s="13">
        <v>17</v>
      </c>
      <c r="B17" s="14">
        <f>IFERROR(VLOOKUP($G$4,DISRA!B:BT,7+A17,FALSE),"-")</f>
        <v>2</v>
      </c>
      <c r="C17" s="14" t="str">
        <f>IFERROR(VLOOKUP($G$4,DISRA!B:GM,71+A17,FALSE),"-")</f>
        <v>0</v>
      </c>
      <c r="D17" s="14">
        <f>IFERROR(VLOOKUP($G$4,DISRA!B:IY,194+A17,FALSE),"-")</f>
        <v>1</v>
      </c>
      <c r="E17" s="15"/>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spans="1:33" ht="13.2" hidden="1" x14ac:dyDescent="0.25">
      <c r="A18" s="13">
        <v>18</v>
      </c>
      <c r="B18" s="14" t="str">
        <f>IFERROR(VLOOKUP($G$4,DISRA!B:BT,7+A18,FALSE),"-")</f>
        <v>0</v>
      </c>
      <c r="C18" s="14">
        <f>IFERROR(VLOOKUP($G$4,DISRA!B:GL,71+A18,FALSE),"-")</f>
        <v>2</v>
      </c>
      <c r="D18" s="14" t="str">
        <f>IFERROR(VLOOKUP($G$4,DISRA!B:IY,194+A18,FALSE),"-")</f>
        <v>0</v>
      </c>
      <c r="E18" s="15"/>
      <c r="F18" s="4"/>
      <c r="G18" s="4"/>
      <c r="H18" s="4"/>
      <c r="I18" s="4"/>
      <c r="J18" s="4"/>
      <c r="K18" s="4"/>
      <c r="L18" s="4"/>
      <c r="M18" s="4"/>
      <c r="N18" s="5"/>
      <c r="O18" s="5"/>
      <c r="P18" s="5"/>
      <c r="Q18" s="5"/>
      <c r="R18" s="5"/>
      <c r="S18" s="5"/>
      <c r="T18" s="5"/>
      <c r="U18" s="5"/>
      <c r="V18" s="5"/>
      <c r="W18" s="5"/>
      <c r="X18" s="5"/>
      <c r="Y18" s="5"/>
      <c r="Z18" s="5"/>
      <c r="AA18" s="5"/>
      <c r="AB18" s="5"/>
      <c r="AC18" s="5"/>
      <c r="AD18" s="5"/>
      <c r="AE18" s="5"/>
      <c r="AF18" s="5"/>
      <c r="AG18" s="5"/>
    </row>
    <row r="19" spans="1:33" ht="13.2" hidden="1" x14ac:dyDescent="0.25">
      <c r="A19" s="13">
        <v>19</v>
      </c>
      <c r="B19" s="14">
        <f>IFERROR(VLOOKUP($G$4,DISRA!B:BT,7+A19,FALSE),"-")</f>
        <v>2</v>
      </c>
      <c r="C19" s="14" t="str">
        <f>IFERROR(VLOOKUP($G$4,DISRA!B:GM,71+A19,FALSE),"-")</f>
        <v>0</v>
      </c>
      <c r="D19" s="14" t="str">
        <f>IFERROR(VLOOKUP($G$4,DISRA!B:IY,194+A19,FALSE),"-")</f>
        <v>0</v>
      </c>
      <c r="E19" s="15"/>
      <c r="F19" s="4"/>
      <c r="G19" s="4"/>
      <c r="H19" s="4"/>
      <c r="I19" s="4"/>
      <c r="J19" s="4"/>
      <c r="K19" s="4"/>
      <c r="L19" s="4"/>
      <c r="M19" s="4"/>
      <c r="N19" s="5"/>
      <c r="O19" s="5"/>
      <c r="P19" s="5"/>
      <c r="Q19" s="5"/>
      <c r="R19" s="5"/>
      <c r="S19" s="5"/>
      <c r="T19" s="5"/>
      <c r="U19" s="5"/>
      <c r="V19" s="5"/>
      <c r="W19" s="5"/>
      <c r="X19" s="5"/>
      <c r="Y19" s="5"/>
      <c r="Z19" s="5"/>
      <c r="AA19" s="5"/>
      <c r="AB19" s="5"/>
      <c r="AC19" s="5"/>
      <c r="AD19" s="5"/>
      <c r="AE19" s="5"/>
      <c r="AF19" s="5"/>
      <c r="AG19" s="5"/>
    </row>
    <row r="20" spans="1:33" ht="13.2" hidden="1" x14ac:dyDescent="0.25">
      <c r="A20" s="13">
        <v>20</v>
      </c>
      <c r="B20" s="14" t="str">
        <f>IFERROR(VLOOKUP($G$4,DISRA!B:BT,7+A20,FALSE),"-")</f>
        <v>0</v>
      </c>
      <c r="C20" s="14" t="str">
        <f>IFERROR(VLOOKUP($G$4,DISRA!B:GL,71+A20,FALSE),"-")</f>
        <v>0</v>
      </c>
      <c r="D20" s="14" t="str">
        <f>IFERROR(VLOOKUP($G$4,DISRA!B:IY,194+A20,FALSE),"-")</f>
        <v>0</v>
      </c>
      <c r="E20" s="15"/>
      <c r="F20" s="4"/>
      <c r="G20" s="4"/>
      <c r="H20" s="4"/>
      <c r="I20" s="4"/>
      <c r="J20" s="4"/>
      <c r="K20" s="4"/>
      <c r="L20" s="4"/>
      <c r="M20" s="4"/>
      <c r="N20" s="5"/>
      <c r="O20" s="5"/>
      <c r="P20" s="5"/>
      <c r="Q20" s="5"/>
      <c r="R20" s="5"/>
      <c r="S20" s="5"/>
      <c r="T20" s="5"/>
      <c r="U20" s="5"/>
      <c r="V20" s="5"/>
      <c r="W20" s="5"/>
      <c r="X20" s="5"/>
      <c r="Y20" s="5"/>
      <c r="Z20" s="5"/>
      <c r="AA20" s="5"/>
      <c r="AB20" s="5"/>
      <c r="AC20" s="5"/>
      <c r="AD20" s="5"/>
      <c r="AE20" s="5"/>
      <c r="AF20" s="5"/>
      <c r="AG20" s="5"/>
    </row>
    <row r="21" spans="1:33" ht="13.2" hidden="1" x14ac:dyDescent="0.25">
      <c r="A21" s="13">
        <v>21</v>
      </c>
      <c r="B21" s="14">
        <f>IFERROR(VLOOKUP($G$4,DISRA!B:BT,7+A21,FALSE),"-")</f>
        <v>2</v>
      </c>
      <c r="C21" s="14" t="str">
        <f>IFERROR(VLOOKUP($G$4,DISRA!B:GM,71+A21,FALSE),"-")</f>
        <v>0</v>
      </c>
      <c r="D21" s="14">
        <f>IFERROR(VLOOKUP($G$4,DISRA!B:IY,194+A21,FALSE),"-")</f>
        <v>3</v>
      </c>
      <c r="E21" s="15"/>
      <c r="F21" s="14"/>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ht="13.2" hidden="1" x14ac:dyDescent="0.25">
      <c r="A22" s="13">
        <v>22</v>
      </c>
      <c r="B22" s="14" t="str">
        <f>IFERROR(VLOOKUP($G$4,DISRA!B:BT,7+A22,FALSE),"-")</f>
        <v>0</v>
      </c>
      <c r="C22" s="14" t="str">
        <f>IFERROR(VLOOKUP($G$4,DISRA!B:GL,71+A22,FALSE),"-")</f>
        <v>0</v>
      </c>
      <c r="D22" s="14" t="str">
        <f>IFERROR(VLOOKUP($G$4,DISRA!B:IY,194+A22,FALSE),"-")</f>
        <v>0</v>
      </c>
      <c r="E22" s="15"/>
      <c r="F22" s="14"/>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ht="13.2" hidden="1" x14ac:dyDescent="0.25">
      <c r="A23" s="13">
        <v>23</v>
      </c>
      <c r="B23" s="14" t="str">
        <f>IFERROR(VLOOKUP($G$4,DISRA!B:BT,7+A23,FALSE),"-")</f>
        <v>0</v>
      </c>
      <c r="C23" s="14" t="str">
        <f>IFERROR(VLOOKUP($G$4,DISRA!B:GM,71+A23,FALSE),"-")</f>
        <v>0</v>
      </c>
      <c r="D23" s="14" t="str">
        <f>IFERROR(VLOOKUP($G$4,DISRA!B:IY,194+A23,FALSE),"-")</f>
        <v>0</v>
      </c>
      <c r="E23" s="15"/>
      <c r="F23" s="14"/>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ht="13.2" hidden="1" x14ac:dyDescent="0.25">
      <c r="A24" s="13">
        <v>24</v>
      </c>
      <c r="B24" s="14" t="str">
        <f>IFERROR(VLOOKUP($G$4,DISRA!B:BT,7+A24,FALSE),"-")</f>
        <v>0</v>
      </c>
      <c r="C24" s="14" t="str">
        <f>IFERROR(VLOOKUP($G$4,DISRA!B:GL,71+A24,FALSE),"-")</f>
        <v>0</v>
      </c>
      <c r="D24" s="14">
        <f>IFERROR(VLOOKUP($G$4,DISRA!B:IY,194+A24,FALSE),"-")</f>
        <v>3</v>
      </c>
      <c r="E24" s="15"/>
      <c r="F24" s="14"/>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ht="13.2" hidden="1" x14ac:dyDescent="0.25">
      <c r="A25" s="13">
        <v>25</v>
      </c>
      <c r="B25" s="14">
        <f>IFERROR(VLOOKUP($G$4,DISRA!B:BT,7+A25,FALSE),"-")</f>
        <v>4</v>
      </c>
      <c r="C25" s="14">
        <f>IFERROR(VLOOKUP($G$4,DISRA!B:GM,71+A25,FALSE),"-")</f>
        <v>3</v>
      </c>
      <c r="D25" s="14" t="str">
        <f>IFERROR(VLOOKUP($G$4,DISRA!B:IY,194+A25,FALSE),"-")</f>
        <v>0</v>
      </c>
      <c r="E25" s="15"/>
      <c r="F25" s="14"/>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ht="13.2" hidden="1" x14ac:dyDescent="0.25">
      <c r="A26" s="13">
        <v>26</v>
      </c>
      <c r="B26" s="14" t="str">
        <f>IFERROR(VLOOKUP($G$4,DISRA!B:BT,7+A26,FALSE),"-")</f>
        <v>0</v>
      </c>
      <c r="C26" s="14" t="str">
        <f>IFERROR(VLOOKUP($G$4,DISRA!B:GL,71+A26,FALSE),"-")</f>
        <v>0</v>
      </c>
      <c r="D26" s="14">
        <f>IFERROR(VLOOKUP($G$4,DISRA!B:IY,194+A26,FALSE),"-")</f>
        <v>3</v>
      </c>
      <c r="E26" s="15"/>
      <c r="F26" s="14"/>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ht="13.2" hidden="1" x14ac:dyDescent="0.25">
      <c r="A27" s="13">
        <v>27</v>
      </c>
      <c r="B27" s="14">
        <f>IFERROR(VLOOKUP($G$4,DISRA!B:BT,7+A27,FALSE),"-")</f>
        <v>2</v>
      </c>
      <c r="C27" s="14" t="str">
        <f>IFERROR(VLOOKUP($G$4,DISRA!B:GM,71+A27,FALSE),"-")</f>
        <v>0</v>
      </c>
      <c r="D27" s="14" t="str">
        <f>IFERROR(VLOOKUP($G$4,DISRA!B:IY,194+A27,FALSE),"-")</f>
        <v>0</v>
      </c>
      <c r="E27" s="15"/>
      <c r="F27" s="14"/>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ht="13.2" hidden="1" x14ac:dyDescent="0.25">
      <c r="A28" s="13">
        <v>28</v>
      </c>
      <c r="B28" s="14" t="str">
        <f>IFERROR(VLOOKUP($G$4,DISRA!B:BT,7+A28,FALSE),"-")</f>
        <v>0</v>
      </c>
      <c r="C28" s="14" t="str">
        <f>IFERROR(VLOOKUP($G$4,DISRA!B:GL,71+A28,FALSE),"-")</f>
        <v>0</v>
      </c>
      <c r="D28" s="14">
        <f>IFERROR(VLOOKUP($G$4,DISRA!B:IY,194+A28,FALSE),"-")</f>
        <v>3</v>
      </c>
      <c r="E28" s="15"/>
      <c r="F28" s="14"/>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ht="13.2" hidden="1" x14ac:dyDescent="0.25">
      <c r="A29" s="13">
        <v>29</v>
      </c>
      <c r="B29" s="14">
        <f>IFERROR(VLOOKUP($G$4,DISRA!B:BT,7+A29,FALSE),"-")</f>
        <v>2</v>
      </c>
      <c r="C29" s="14">
        <f>IFERROR(VLOOKUP($G$4,DISRA!B:GM,71+A29,FALSE),"-")</f>
        <v>1</v>
      </c>
      <c r="D29" s="14" t="str">
        <f>IFERROR(VLOOKUP($G$4,DISRA!B:IY,194+A29,FALSE),"-")</f>
        <v>0</v>
      </c>
      <c r="E29" s="15"/>
      <c r="F29" s="14"/>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ht="13.2" hidden="1" x14ac:dyDescent="0.25">
      <c r="A30" s="13">
        <v>30</v>
      </c>
      <c r="B30" s="14" t="str">
        <f>IFERROR(VLOOKUP($G$4,DISRA!B:BT,7+A30,FALSE),"-")</f>
        <v>0</v>
      </c>
      <c r="C30" s="14" t="str">
        <f>IFERROR(VLOOKUP($G$4,DISRA!B:GL,71+A30,FALSE),"-")</f>
        <v>0</v>
      </c>
      <c r="D30" s="14">
        <f>IFERROR(VLOOKUP($G$4,DISRA!B:IY,194+A30,FALSE),"-")</f>
        <v>2</v>
      </c>
      <c r="E30" s="15"/>
      <c r="F30" s="14"/>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ht="13.2" hidden="1" x14ac:dyDescent="0.25">
      <c r="A31" s="13">
        <v>31</v>
      </c>
      <c r="B31" s="14">
        <f>IFERROR(VLOOKUP($G$4,DISRA!B:BT,7+A31,FALSE),"-")</f>
        <v>3</v>
      </c>
      <c r="C31" s="14" t="str">
        <f>IFERROR(VLOOKUP($G$4,DISRA!B:GM,71+A31,FALSE),"-")</f>
        <v>0</v>
      </c>
      <c r="D31" s="14">
        <f>IFERROR(VLOOKUP($G$4,DISRA!B:IY,194+A31,FALSE),"-")</f>
        <v>3</v>
      </c>
      <c r="E31" s="15"/>
      <c r="F31" s="14"/>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ht="13.2" hidden="1" x14ac:dyDescent="0.25">
      <c r="A32" s="13">
        <v>32</v>
      </c>
      <c r="B32" s="14" t="str">
        <f>IFERROR(VLOOKUP($G$4,DISRA!B:BT,7+A32,FALSE),"-")</f>
        <v>0</v>
      </c>
      <c r="C32" s="14" t="str">
        <f>IFERROR(VLOOKUP($G$4,DISRA!B:GL,71+A32,FALSE),"-")</f>
        <v>0</v>
      </c>
      <c r="D32" s="14">
        <f>IFERROR(VLOOKUP($G$4,DISRA!B:IY,194+A32,FALSE),"-")</f>
        <v>3</v>
      </c>
      <c r="E32" s="15"/>
      <c r="F32" s="14"/>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ht="13.2" hidden="1" x14ac:dyDescent="0.25">
      <c r="A33" s="13">
        <v>33</v>
      </c>
      <c r="B33" s="14">
        <f>IFERROR(VLOOKUP($G$4,DISRA!B:BT,7+A33,FALSE),"-")</f>
        <v>3</v>
      </c>
      <c r="C33" s="14">
        <f>IFERROR(VLOOKUP($G$4,DISRA!B:GM,71+A33,FALSE),"-")</f>
        <v>3</v>
      </c>
      <c r="D33" s="14">
        <f>IFERROR(VLOOKUP($G$4,DISRA!B:IY,194+A33,FALSE),"-")</f>
        <v>4</v>
      </c>
      <c r="E33" s="15"/>
      <c r="F33" s="14"/>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ht="13.2" hidden="1" x14ac:dyDescent="0.25">
      <c r="A34" s="13">
        <v>34</v>
      </c>
      <c r="B34" s="14" t="str">
        <f>IFERROR(VLOOKUP($G$4,DISRA!B:BT,7+A34,FALSE),"-")</f>
        <v>0</v>
      </c>
      <c r="C34" s="14">
        <f>IFERROR(VLOOKUP($G$4,DISRA!B:GL,71+A34,FALSE),"-")</f>
        <v>1</v>
      </c>
      <c r="D34" s="14">
        <f>IFERROR(VLOOKUP($G$4,DISRA!B:IY,194+A34,FALSE),"-")</f>
        <v>2</v>
      </c>
      <c r="E34" s="15"/>
      <c r="F34" s="14"/>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ht="13.2" hidden="1" x14ac:dyDescent="0.25">
      <c r="A35" s="13">
        <v>35</v>
      </c>
      <c r="B35" s="14" t="str">
        <f>IFERROR(VLOOKUP($G$4,DISRA!B:BT,7+A35,FALSE),"-")</f>
        <v>0</v>
      </c>
      <c r="C35" s="14">
        <f>IFERROR(VLOOKUP($G$4,DISRA!B:GM,71+A35,FALSE),"-")</f>
        <v>2</v>
      </c>
      <c r="D35" s="14">
        <f>IFERROR(VLOOKUP($G$4,DISRA!B:IY,194+A35,FALSE),"-")</f>
        <v>3</v>
      </c>
      <c r="E35" s="15"/>
      <c r="F35" s="14"/>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ht="13.2" hidden="1" x14ac:dyDescent="0.25">
      <c r="A36" s="13">
        <v>36</v>
      </c>
      <c r="B36" s="14" t="str">
        <f>IFERROR(VLOOKUP($G$4,DISRA!B:BT,7+A36,FALSE),"-")</f>
        <v>0</v>
      </c>
      <c r="C36" s="14" t="str">
        <f>IFERROR(VLOOKUP($G$4,DISRA!B:GL,71+A36,FALSE),"-")</f>
        <v>0</v>
      </c>
      <c r="D36" s="14" t="str">
        <f>IFERROR(VLOOKUP($G$4,DISRA!B:IY,194+A36,FALSE),"-")</f>
        <v>0</v>
      </c>
      <c r="E36" s="15"/>
      <c r="F36" s="14"/>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ht="13.2" hidden="1" x14ac:dyDescent="0.25">
      <c r="A37" s="13">
        <v>37</v>
      </c>
      <c r="B37" s="14">
        <f>IFERROR(VLOOKUP($G$4,DISRA!B:BT,7+A37,FALSE),"-")</f>
        <v>4</v>
      </c>
      <c r="C37" s="14" t="str">
        <f>IFERROR(VLOOKUP($G$4,DISRA!B:GM,71+A37,FALSE),"-")</f>
        <v>0</v>
      </c>
      <c r="D37" s="14">
        <f>IFERROR(VLOOKUP($G$4,DISRA!B:IY,194+A37,FALSE),"-")</f>
        <v>1</v>
      </c>
      <c r="E37" s="15"/>
      <c r="F37" s="14"/>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ht="13.2" hidden="1" x14ac:dyDescent="0.25">
      <c r="A38" s="13">
        <v>38</v>
      </c>
      <c r="B38" s="14" t="str">
        <f>IFERROR(VLOOKUP($G$4,DISRA!B:BT,7+A38,FALSE),"-")</f>
        <v>0</v>
      </c>
      <c r="C38" s="14" t="str">
        <f>IFERROR(VLOOKUP($G$4,DISRA!B:GL,71+A38,FALSE),"-")</f>
        <v>0</v>
      </c>
      <c r="D38" s="14">
        <f>IFERROR(VLOOKUP($G$4,DISRA!B:IY,194+A38,FALSE),"-")</f>
        <v>3</v>
      </c>
      <c r="E38" s="15"/>
      <c r="F38" s="14"/>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ht="13.2" hidden="1" x14ac:dyDescent="0.25">
      <c r="A39" s="13">
        <v>39</v>
      </c>
      <c r="B39" s="14" t="str">
        <f>IFERROR(VLOOKUP($G$4,DISRA!B:BT,7+A39,FALSE),"-")</f>
        <v>0</v>
      </c>
      <c r="C39" s="14">
        <f>IFERROR(VLOOKUP($G$4,DISRA!B:GM,71+A39,FALSE),"-")</f>
        <v>3</v>
      </c>
      <c r="D39" s="14" t="str">
        <f>IFERROR(VLOOKUP($G$4,DISRA!B:IY,194+A39,FALSE),"-")</f>
        <v>0</v>
      </c>
      <c r="E39" s="15"/>
      <c r="F39" s="14"/>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ht="13.2" hidden="1" x14ac:dyDescent="0.25">
      <c r="A40" s="13">
        <v>40</v>
      </c>
      <c r="B40" s="14" t="str">
        <f>IFERROR(VLOOKUP($G$4,DISRA!B:BT,7+A40,FALSE),"-")</f>
        <v>0</v>
      </c>
      <c r="C40" s="14" t="str">
        <f>IFERROR(VLOOKUP($G$4,DISRA!B:GL,71+A40,FALSE),"-")</f>
        <v>0</v>
      </c>
      <c r="D40" s="14">
        <f>IFERROR(VLOOKUP($G$4,DISRA!B:IY,194+A40,FALSE),"-")</f>
        <v>3</v>
      </c>
      <c r="E40" s="15"/>
      <c r="F40" s="14"/>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ht="13.2" hidden="1" x14ac:dyDescent="0.25">
      <c r="A41" s="13">
        <v>41</v>
      </c>
      <c r="B41" s="14">
        <f>IFERROR(VLOOKUP($G$4,DISRA!B:BT,7+A41,FALSE),"-")</f>
        <v>3</v>
      </c>
      <c r="C41" s="14" t="str">
        <f>IFERROR(VLOOKUP($G$4,DISRA!B:GM,71+A41,FALSE),"-")</f>
        <v>0</v>
      </c>
      <c r="D41" s="14" t="str">
        <f>IFERROR(VLOOKUP($G$4,DISRA!B:IY,194+A41,FALSE),"-")</f>
        <v>0</v>
      </c>
      <c r="E41" s="15"/>
      <c r="F41" s="14"/>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ht="13.2" hidden="1" x14ac:dyDescent="0.25">
      <c r="A42" s="13">
        <v>42</v>
      </c>
      <c r="B42" s="14" t="str">
        <f>IFERROR(VLOOKUP($G$4,DISRA!B:BT,7+A42,FALSE),"-")</f>
        <v>0</v>
      </c>
      <c r="C42" s="14" t="str">
        <f>IFERROR(VLOOKUP($G$4,DISRA!B:GL,71+A42,FALSE),"-")</f>
        <v>0</v>
      </c>
      <c r="D42" s="14" t="str">
        <f>IFERROR(VLOOKUP($G$4,DISRA!B:IY,194+A42,FALSE),"-")</f>
        <v>0</v>
      </c>
      <c r="E42" s="15"/>
      <c r="F42" s="14"/>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ht="13.2" hidden="1" x14ac:dyDescent="0.25">
      <c r="A43" s="13">
        <v>43</v>
      </c>
      <c r="B43" s="14" t="str">
        <f>IFERROR(VLOOKUP($G$4,DISRA!B:BT,7+A43,FALSE),"-")</f>
        <v>0</v>
      </c>
      <c r="C43" s="14" t="str">
        <f>IFERROR(VLOOKUP($G$4,DISRA!B:GM,71+A43,FALSE),"-")</f>
        <v>0</v>
      </c>
      <c r="D43" s="14" t="str">
        <f>IFERROR(VLOOKUP($G$4,DISRA!B:IY,194+A43,FALSE),"-")</f>
        <v>0</v>
      </c>
      <c r="E43" s="15"/>
      <c r="F43" s="14"/>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ht="13.2" hidden="1" x14ac:dyDescent="0.25">
      <c r="A44" s="13">
        <v>44</v>
      </c>
      <c r="B44" s="14">
        <f>IFERROR(VLOOKUP($G$4,DISRA!B:BT,7+A44,FALSE),"-")</f>
        <v>3</v>
      </c>
      <c r="C44" s="14">
        <f>IFERROR(VLOOKUP($G$4,DISRA!B:GL,71+A44,FALSE),"-")</f>
        <v>3</v>
      </c>
      <c r="D44" s="14" t="str">
        <f>IFERROR(VLOOKUP($G$4,DISRA!B:IY,194+A44,FALSE),"-")</f>
        <v>0</v>
      </c>
      <c r="E44" s="15"/>
      <c r="F44" s="14"/>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ht="13.2" hidden="1" x14ac:dyDescent="0.25">
      <c r="A45" s="13">
        <v>45</v>
      </c>
      <c r="B45" s="14" t="str">
        <f>IFERROR(VLOOKUP($G$4,DISRA!B:BT,7+A45,FALSE),"-")</f>
        <v>0</v>
      </c>
      <c r="C45" s="14" t="str">
        <f>IFERROR(VLOOKUP($G$4,DISRA!B:GM,71+A45,FALSE),"-")</f>
        <v>0</v>
      </c>
      <c r="D45" s="14">
        <f>IFERROR(VLOOKUP($G$4,DISRA!B:IY,194+A45,FALSE),"-")</f>
        <v>1</v>
      </c>
      <c r="E45" s="15"/>
      <c r="F45" s="14"/>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ht="13.2" hidden="1" x14ac:dyDescent="0.25">
      <c r="A46" s="13">
        <v>46</v>
      </c>
      <c r="B46" s="14">
        <f>IFERROR(VLOOKUP($G$4,DISRA!B:BT,7+A46,FALSE),"-")</f>
        <v>2</v>
      </c>
      <c r="C46" s="14" t="str">
        <f>IFERROR(VLOOKUP($G$4,DISRA!B:GL,71+A46,FALSE),"-")</f>
        <v>0</v>
      </c>
      <c r="D46" s="14" t="str">
        <f>IFERROR(VLOOKUP($G$4,DISRA!B:IY,194+A46,FALSE),"-")</f>
        <v>0</v>
      </c>
      <c r="E46" s="15"/>
      <c r="F46" s="14"/>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ht="13.2" hidden="1" x14ac:dyDescent="0.25">
      <c r="A47" s="13">
        <v>47</v>
      </c>
      <c r="B47" s="14" t="str">
        <f>IFERROR(VLOOKUP($G$4,DISRA!B:BT,7+A47,FALSE),"-")</f>
        <v>0</v>
      </c>
      <c r="C47" s="14" t="str">
        <f>IFERROR(VLOOKUP($G$4,DISRA!B:GM,71+A47,FALSE),"-")</f>
        <v>0</v>
      </c>
      <c r="D47" s="14" t="str">
        <f>IFERROR(VLOOKUP($G$4,DISRA!B:IY,194+A47,FALSE),"-")</f>
        <v>0</v>
      </c>
      <c r="E47" s="15"/>
      <c r="F47" s="14"/>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ht="13.2" hidden="1" x14ac:dyDescent="0.25">
      <c r="A48" s="13">
        <v>48</v>
      </c>
      <c r="B48" s="14">
        <f>IFERROR(VLOOKUP($G$4,DISRA!B:BT,7+A48,FALSE),"-")</f>
        <v>4</v>
      </c>
      <c r="C48" s="14" t="str">
        <f>IFERROR(VLOOKUP($G$4,DISRA!B:GL,71+A48,FALSE),"-")</f>
        <v>0</v>
      </c>
      <c r="D48" s="14" t="str">
        <f>IFERROR(VLOOKUP($G$4,DISRA!B:IY,194+A48,FALSE),"-")</f>
        <v>0</v>
      </c>
      <c r="E48" s="15"/>
      <c r="F48" s="14"/>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ht="13.2" hidden="1" x14ac:dyDescent="0.25">
      <c r="A49" s="13">
        <v>49</v>
      </c>
      <c r="B49" s="14">
        <f>IFERROR(VLOOKUP($G$4,DISRA!B:BT,7+A49,FALSE),"-")</f>
        <v>4</v>
      </c>
      <c r="C49" s="14">
        <f>IFERROR(VLOOKUP($G$4,DISRA!B:GM,71+A49,FALSE),"-")</f>
        <v>3</v>
      </c>
      <c r="D49" s="14" t="str">
        <f>IFERROR(VLOOKUP($G$4,DISRA!B:IY,194+A49,FALSE),"-")</f>
        <v>0</v>
      </c>
      <c r="E49" s="15"/>
      <c r="F49" s="14"/>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ht="13.2" hidden="1" x14ac:dyDescent="0.25">
      <c r="A50" s="13">
        <v>50</v>
      </c>
      <c r="B50" s="14" t="str">
        <f>IFERROR(VLOOKUP($G$4,DISRA!B:BT,7+A50,FALSE),"-")</f>
        <v>0</v>
      </c>
      <c r="C50" s="14" t="str">
        <f>IFERROR(VLOOKUP($G$4,DISRA!B:GL,71+A50,FALSE),"-")</f>
        <v>0</v>
      </c>
      <c r="D50" s="14" t="str">
        <f>IFERROR(VLOOKUP($G$4,DISRA!B:IY,194+A50,FALSE),"-")</f>
        <v>0</v>
      </c>
      <c r="E50" s="15"/>
      <c r="F50" s="14"/>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ht="13.2" hidden="1" x14ac:dyDescent="0.25">
      <c r="A51" s="13">
        <v>51</v>
      </c>
      <c r="B51" s="14" t="str">
        <f>IFERROR(VLOOKUP($G$4,DISRA!B:BT,7+A51,FALSE),"-")</f>
        <v>0</v>
      </c>
      <c r="C51" s="14">
        <f>IFERROR(VLOOKUP($G$4,DISRA!B:GM,71+A51,FALSE),"-")</f>
        <v>2</v>
      </c>
      <c r="D51" s="14" t="str">
        <f>IFERROR(VLOOKUP($G$4,DISRA!B:IY,194+A51,FALSE),"-")</f>
        <v>0</v>
      </c>
      <c r="E51" s="15"/>
      <c r="F51" s="14"/>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ht="13.2" hidden="1" x14ac:dyDescent="0.25">
      <c r="A52" s="13">
        <v>52</v>
      </c>
      <c r="B52" s="14" t="str">
        <f>IFERROR(VLOOKUP($G$4,DISRA!B:BT,7+A52,FALSE),"-")</f>
        <v>0</v>
      </c>
      <c r="C52" s="14" t="str">
        <f>IFERROR(VLOOKUP($G$4,DISRA!B:GL,71+A52,FALSE),"-")</f>
        <v>0</v>
      </c>
      <c r="D52" s="14">
        <f>IFERROR(VLOOKUP($G$4,DISRA!B:IY,194+A52,FALSE),"-")</f>
        <v>3</v>
      </c>
      <c r="E52" s="15"/>
      <c r="F52" s="14"/>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ht="13.2" hidden="1" x14ac:dyDescent="0.25">
      <c r="A53" s="13">
        <v>53</v>
      </c>
      <c r="B53" s="14">
        <f>IFERROR(VLOOKUP($G$4,DISRA!B:BT,7+A53,FALSE),"-")</f>
        <v>2</v>
      </c>
      <c r="C53" s="14">
        <f>IFERROR(VLOOKUP($G$4,DISRA!B:GM,71+A53,FALSE),"-")</f>
        <v>2</v>
      </c>
      <c r="D53" s="14" t="str">
        <f>IFERROR(VLOOKUP($G$4,DISRA!B:IY,194+A53,FALSE),"-")</f>
        <v>0</v>
      </c>
      <c r="E53" s="15"/>
      <c r="F53" s="14"/>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ht="13.2" hidden="1" x14ac:dyDescent="0.25">
      <c r="A54" s="13">
        <v>54</v>
      </c>
      <c r="B54" s="14" t="str">
        <f>IFERROR(VLOOKUP($G$4,DISRA!B:BT,7+A54,FALSE),"-")</f>
        <v>0</v>
      </c>
      <c r="C54" s="14">
        <f>IFERROR(VLOOKUP($G$4,DISRA!B:GL,71+A54,FALSE),"-")</f>
        <v>2</v>
      </c>
      <c r="D54" s="14">
        <f>IFERROR(VLOOKUP($G$4,DISRA!B:IY,194+A54,FALSE),"-")</f>
        <v>2</v>
      </c>
      <c r="E54" s="15"/>
      <c r="F54" s="14"/>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ht="13.2" hidden="1" x14ac:dyDescent="0.25">
      <c r="A55" s="13">
        <v>55</v>
      </c>
      <c r="B55" s="14" t="str">
        <f>IFERROR(VLOOKUP($G$4,DISRA!B:BT,7+A55,FALSE),"-")</f>
        <v>0</v>
      </c>
      <c r="C55" s="14" t="str">
        <f>IFERROR(VLOOKUP($G$4,DISRA!B:GM,71+A55,FALSE),"-")</f>
        <v>0</v>
      </c>
      <c r="D55" s="14">
        <f>IFERROR(VLOOKUP($G$4,DISRA!B:IY,194+A55,FALSE),"-")</f>
        <v>3</v>
      </c>
      <c r="E55" s="15"/>
      <c r="F55" s="14"/>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ht="13.2" hidden="1" x14ac:dyDescent="0.25">
      <c r="A56" s="13">
        <v>56</v>
      </c>
      <c r="B56" s="14" t="str">
        <f>IFERROR(VLOOKUP($G$4,DISRA!B:BT,7+A56,FALSE),"-")</f>
        <v>0</v>
      </c>
      <c r="C56" s="14" t="str">
        <f>IFERROR(VLOOKUP($G$4,DISRA!B:GL,71+A56,FALSE),"-")</f>
        <v>0</v>
      </c>
      <c r="D56" s="14">
        <f>IFERROR(VLOOKUP($G$4,DISRA!B:IY,194+A56,FALSE),"-")</f>
        <v>3</v>
      </c>
      <c r="E56" s="15"/>
      <c r="F56" s="14"/>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ht="13.2" hidden="1" x14ac:dyDescent="0.25">
      <c r="A57" s="13">
        <v>57</v>
      </c>
      <c r="B57" s="14"/>
      <c r="C57" s="14">
        <f>IFERROR(VLOOKUP($G$4,DISRA!B:GM,71+A57,FALSE),"-")</f>
        <v>2</v>
      </c>
      <c r="D57" s="14" t="str">
        <f>IFERROR(VLOOKUP($G$4,DISRA!B:IY,194+A57,FALSE),"-")</f>
        <v/>
      </c>
      <c r="E57" s="15"/>
      <c r="F57" s="14"/>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ht="13.2" hidden="1" x14ac:dyDescent="0.25">
      <c r="A58" s="13">
        <v>58</v>
      </c>
      <c r="B58" s="14">
        <f>IFERROR(VLOOKUP($G$4,DISRA!B:BT,7+A58,FALSE),"-")</f>
        <v>2</v>
      </c>
      <c r="C58" s="14" t="str">
        <f>IFERROR(VLOOKUP($G$4,DISRA!B:GL,71+A58,FALSE),"-")</f>
        <v>0</v>
      </c>
      <c r="D58" s="14">
        <f>IFERROR(VLOOKUP($G$4,DISRA!B:IY,194+A58,FALSE),"-")</f>
        <v>3</v>
      </c>
      <c r="E58" s="15"/>
      <c r="F58" s="14"/>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ht="13.2" hidden="1" x14ac:dyDescent="0.25">
      <c r="A59" s="13">
        <v>59</v>
      </c>
      <c r="B59" s="14" t="str">
        <f>IFERROR(VLOOKUP($G$4,DISRA!B:BT,7+A59,FALSE),"-")</f>
        <v>0</v>
      </c>
      <c r="C59" s="14" t="str">
        <f>IFERROR(VLOOKUP($G$4,DISRA!B:GM,71+A59,FALSE),"-")</f>
        <v>0</v>
      </c>
      <c r="D59" s="14">
        <f>IFERROR(VLOOKUP($G$4,DISRA!B:IY,194+A59,FALSE),"-")</f>
        <v>3</v>
      </c>
      <c r="E59" s="15"/>
      <c r="F59" s="14"/>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ht="13.2" hidden="1" x14ac:dyDescent="0.25">
      <c r="A60" s="13">
        <v>60</v>
      </c>
      <c r="B60" s="14" t="str">
        <f>IFERROR(VLOOKUP($G$4,DISRA!B:BT,7+A60,FALSE),"-")</f>
        <v>0</v>
      </c>
      <c r="C60" s="14">
        <f>IFERROR(VLOOKUP($G$4,DISRA!B:GL,71+A60,FALSE),"-")</f>
        <v>2</v>
      </c>
      <c r="D60" s="14" t="str">
        <f>IFERROR(VLOOKUP($G$4,DISRA!B:IY,194+A60,FALSE),"-")</f>
        <v>0</v>
      </c>
      <c r="E60" s="15"/>
      <c r="F60" s="14"/>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ht="13.2" hidden="1" x14ac:dyDescent="0.25">
      <c r="A61" s="13">
        <v>61</v>
      </c>
      <c r="B61" s="14">
        <f>IFERROR(VLOOKUP($G$4,DISRA!B:BT,7+A61,FALSE),"-")</f>
        <v>2</v>
      </c>
      <c r="C61" s="14">
        <f>IFERROR(VLOOKUP($G$4,DISRA!B:GM,71+A61,FALSE),"-")</f>
        <v>3</v>
      </c>
      <c r="D61" s="14">
        <f>IFERROR(VLOOKUP($G$4,DISRA!B:IY,194+A61,FALSE),"-")</f>
        <v>1</v>
      </c>
      <c r="E61" s="15"/>
      <c r="F61" s="14"/>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ht="13.2" hidden="1" x14ac:dyDescent="0.25">
      <c r="A62" s="13">
        <v>62</v>
      </c>
      <c r="B62" s="14">
        <f>IFERROR(VLOOKUP($G$4,DISRA!B:BT,7+A62,FALSE),"-")</f>
        <v>2</v>
      </c>
      <c r="C62" s="14">
        <f>IFERROR(VLOOKUP($G$4,DISRA!B:GL,71+A62,FALSE),"-")</f>
        <v>2</v>
      </c>
      <c r="D62" s="14">
        <f>IFERROR(VLOOKUP($G$4,DISRA!B:IY,194+A62,FALSE),"-")</f>
        <v>3</v>
      </c>
      <c r="E62" s="15"/>
      <c r="F62" s="14"/>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ht="13.2" hidden="1" x14ac:dyDescent="0.25">
      <c r="A63" s="13">
        <v>63</v>
      </c>
      <c r="B63" s="14">
        <f>IFERROR(VLOOKUP($G$4,DISRA!B:BT,7+A63,FALSE),"-")</f>
        <v>2</v>
      </c>
      <c r="C63" s="14" t="str">
        <f>IFERROR(VLOOKUP($G$4,DISRA!B:GM,71+A63,FALSE),"-")</f>
        <v>0</v>
      </c>
      <c r="D63" s="14">
        <f>IFERROR(VLOOKUP($G$4,DISRA!B:IY,194+A63,FALSE),"-")</f>
        <v>1</v>
      </c>
      <c r="E63" s="15"/>
      <c r="F63" s="14"/>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ht="13.2" hidden="1" x14ac:dyDescent="0.25">
      <c r="A64" s="13">
        <v>64</v>
      </c>
      <c r="B64" s="14" t="str">
        <f>IFERROR(VLOOKUP($G$4,DISRA!B:BT,7+A64,FALSE),"-")</f>
        <v>0</v>
      </c>
      <c r="C64" s="14" t="str">
        <f>IFERROR(VLOOKUP($G$4,DISRA!B:GL,71+A64,FALSE),"-")</f>
        <v>0</v>
      </c>
      <c r="D64" s="14">
        <f>IFERROR(VLOOKUP($G$4,DISRA!B:IY,194+A64,FALSE),"-")</f>
        <v>3</v>
      </c>
      <c r="E64" s="15"/>
      <c r="F64" s="14"/>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ht="13.2" hidden="1" x14ac:dyDescent="0.25">
      <c r="A65" s="13">
        <v>65</v>
      </c>
      <c r="B65" s="36">
        <f>SUM(B1:B64)</f>
        <v>62</v>
      </c>
      <c r="C65" s="14">
        <f>IFERROR(VLOOKUP($G$4,DISRA!B:GM,71+A65,FALSE),"-")</f>
        <v>2</v>
      </c>
      <c r="D65" s="36">
        <f>SUM(D1:D64)</f>
        <v>95</v>
      </c>
      <c r="E65" s="15"/>
      <c r="F65" s="14"/>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ht="13.2" hidden="1" x14ac:dyDescent="0.25">
      <c r="A66" s="13">
        <v>66</v>
      </c>
      <c r="B66" s="14"/>
      <c r="C66" s="14" t="str">
        <f>IFERROR(VLOOKUP($G$4,DISRA!B:GL,71+A66,FALSE),"-")</f>
        <v>0</v>
      </c>
      <c r="E66" s="15"/>
      <c r="F66" s="14"/>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ht="13.2" hidden="1" x14ac:dyDescent="0.25">
      <c r="A67" s="13">
        <v>67</v>
      </c>
      <c r="B67" s="14"/>
      <c r="C67" s="14">
        <f>IFERROR(VLOOKUP($G$4,DISRA!B:GM,71+A67,FALSE),"-")</f>
        <v>3</v>
      </c>
      <c r="D67" s="14"/>
      <c r="E67" s="15"/>
      <c r="F67" s="14"/>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ht="13.2" hidden="1" x14ac:dyDescent="0.25">
      <c r="A68" s="13">
        <v>68</v>
      </c>
      <c r="B68" s="14"/>
      <c r="C68" s="14">
        <f>IFERROR(VLOOKUP($G$4,DISRA!B:GL,71+A68,FALSE),"-")</f>
        <v>3</v>
      </c>
      <c r="D68" s="14"/>
      <c r="E68" s="15"/>
      <c r="F68" s="14"/>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ht="13.2" hidden="1" x14ac:dyDescent="0.25">
      <c r="A69" s="13">
        <v>69</v>
      </c>
      <c r="B69" s="14"/>
      <c r="C69" s="14">
        <f>IFERROR(VLOOKUP($G$4,DISRA!B:GM,71+A69,FALSE),"-")</f>
        <v>3</v>
      </c>
      <c r="D69" s="14"/>
      <c r="E69" s="15"/>
      <c r="F69" s="14"/>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ht="13.2" hidden="1" x14ac:dyDescent="0.25">
      <c r="A70" s="13">
        <v>70</v>
      </c>
      <c r="B70" s="14"/>
      <c r="C70" s="14" t="str">
        <f>IFERROR(VLOOKUP($G$4,DISRA!B:GL,71+A70,FALSE),"-")</f>
        <v>0</v>
      </c>
      <c r="D70" s="14"/>
      <c r="E70" s="15"/>
      <c r="F70" s="14"/>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ht="13.2" hidden="1" x14ac:dyDescent="0.25">
      <c r="A71" s="13">
        <v>71</v>
      </c>
      <c r="B71" s="14"/>
      <c r="C71" s="14" t="str">
        <f>IFERROR(VLOOKUP($G$4,DISRA!B:GM,71+A71,FALSE),"-")</f>
        <v>0</v>
      </c>
      <c r="D71" s="14"/>
      <c r="E71" s="15"/>
      <c r="F71" s="14"/>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ht="13.2" hidden="1" x14ac:dyDescent="0.25">
      <c r="A72" s="13">
        <v>72</v>
      </c>
      <c r="B72" s="14"/>
      <c r="C72" s="14" t="str">
        <f>IFERROR(VLOOKUP($G$4,DISRA!B:GL,71+A72,FALSE),"-")</f>
        <v>0</v>
      </c>
      <c r="D72" s="14"/>
      <c r="E72" s="15"/>
      <c r="F72" s="14"/>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ht="13.2" hidden="1" x14ac:dyDescent="0.25">
      <c r="A73" s="13">
        <v>73</v>
      </c>
      <c r="B73" s="14"/>
      <c r="C73" s="14" t="str">
        <f>IFERROR(VLOOKUP($G$4,DISRA!B:GM,71+A73,FALSE),"-")</f>
        <v>0</v>
      </c>
      <c r="D73" s="14"/>
      <c r="E73" s="15"/>
      <c r="F73" s="14"/>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ht="13.2" hidden="1" x14ac:dyDescent="0.25">
      <c r="A74" s="13">
        <v>74</v>
      </c>
      <c r="B74" s="14"/>
      <c r="C74" s="14">
        <f>IFERROR(VLOOKUP($G$4,DISRA!B:GL,71+A74,FALSE),"-")</f>
        <v>3</v>
      </c>
      <c r="D74" s="14"/>
      <c r="E74" s="15"/>
      <c r="F74" s="14"/>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ht="13.2" hidden="1" x14ac:dyDescent="0.25">
      <c r="A75" s="13">
        <v>75</v>
      </c>
      <c r="B75" s="14"/>
      <c r="C75" s="14">
        <f>IFERROR(VLOOKUP($G$4,DISRA!B:GM,71+A75,FALSE),"-")</f>
        <v>2</v>
      </c>
      <c r="D75" s="14"/>
      <c r="E75" s="15"/>
      <c r="F75" s="14"/>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ht="13.2" hidden="1" x14ac:dyDescent="0.25">
      <c r="A76" s="13">
        <v>76</v>
      </c>
      <c r="B76" s="14"/>
      <c r="C76" s="14" t="str">
        <f>IFERROR(VLOOKUP($G$4,DISRA!B:GL,71+A76,FALSE),"-")</f>
        <v>0</v>
      </c>
      <c r="D76" s="14"/>
      <c r="E76" s="15"/>
      <c r="F76" s="14"/>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ht="13.2" hidden="1" x14ac:dyDescent="0.25">
      <c r="A77" s="13">
        <v>77</v>
      </c>
      <c r="B77" s="14"/>
      <c r="C77" s="14" t="str">
        <f>IFERROR(VLOOKUP($G$4,DISRA!B:GM,71+A77,FALSE),"-")</f>
        <v>0</v>
      </c>
      <c r="D77" s="14"/>
      <c r="E77" s="15"/>
      <c r="F77" s="14"/>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ht="13.2" hidden="1" x14ac:dyDescent="0.25">
      <c r="A78" s="13">
        <v>78</v>
      </c>
      <c r="B78" s="14"/>
      <c r="C78" s="14" t="str">
        <f>IFERROR(VLOOKUP($G$4,DISRA!B:GL,71+A78,FALSE),"-")</f>
        <v>0</v>
      </c>
      <c r="D78" s="14"/>
      <c r="E78" s="15"/>
      <c r="F78" s="14"/>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ht="13.2" hidden="1" x14ac:dyDescent="0.25">
      <c r="A79" s="13">
        <v>79</v>
      </c>
      <c r="B79" s="14"/>
      <c r="C79" s="14">
        <f>IFERROR(VLOOKUP($G$4,DISRA!B:GM,71+A79,FALSE),"-")</f>
        <v>3</v>
      </c>
      <c r="D79" s="14"/>
      <c r="E79" s="15"/>
      <c r="F79" s="14"/>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ht="13.2" hidden="1" x14ac:dyDescent="0.25">
      <c r="A80" s="13">
        <v>80</v>
      </c>
      <c r="B80" s="14"/>
      <c r="C80" s="14">
        <f>IFERROR(VLOOKUP($G$4,DISRA!B:GL,71+A80,FALSE),"-")</f>
        <v>3</v>
      </c>
      <c r="D80" s="14"/>
      <c r="E80" s="15"/>
      <c r="F80" s="14"/>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ht="13.2" hidden="1" x14ac:dyDescent="0.25">
      <c r="A81" s="13">
        <v>81</v>
      </c>
      <c r="B81" s="14"/>
      <c r="C81" s="14">
        <f>IFERROR(VLOOKUP($G$4,DISRA!B:GM,71+A81,FALSE),"-")</f>
        <v>2</v>
      </c>
      <c r="D81" s="14"/>
      <c r="E81" s="15"/>
      <c r="F81" s="14"/>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ht="13.2" hidden="1" x14ac:dyDescent="0.25">
      <c r="A82" s="13">
        <v>82</v>
      </c>
      <c r="B82" s="14"/>
      <c r="C82" s="14">
        <f>IFERROR(VLOOKUP($G$4,DISRA!B:GL,71+A82,FALSE),"-")</f>
        <v>3</v>
      </c>
      <c r="D82" s="14"/>
      <c r="E82" s="15"/>
      <c r="F82" s="14"/>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ht="13.2" hidden="1" x14ac:dyDescent="0.25">
      <c r="A83" s="13">
        <v>83</v>
      </c>
      <c r="B83" s="14"/>
      <c r="C83" s="14" t="str">
        <f>IFERROR(VLOOKUP($G$4,DISRA!B:GM,71+A83,FALSE),"-")</f>
        <v>0</v>
      </c>
      <c r="D83" s="14"/>
      <c r="E83" s="15"/>
      <c r="F83" s="14"/>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ht="13.2" hidden="1" x14ac:dyDescent="0.25">
      <c r="A84" s="13">
        <v>84</v>
      </c>
      <c r="B84" s="14"/>
      <c r="C84" s="14" t="str">
        <f>IFERROR(VLOOKUP($G$4,DISRA!B:GL,71+A84,FALSE),"-")</f>
        <v>0</v>
      </c>
      <c r="D84" s="14"/>
      <c r="E84" s="15"/>
      <c r="F84" s="14"/>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ht="13.2" hidden="1" x14ac:dyDescent="0.25">
      <c r="A85" s="13">
        <v>85</v>
      </c>
      <c r="B85" s="14"/>
      <c r="C85" s="14" t="str">
        <f>IFERROR(VLOOKUP($G$4,DISRA!B:GM,71+A85,FALSE),"-")</f>
        <v>0</v>
      </c>
      <c r="D85" s="14"/>
      <c r="E85" s="15"/>
      <c r="F85" s="14"/>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ht="13.2" hidden="1" x14ac:dyDescent="0.25">
      <c r="A86" s="13">
        <v>86</v>
      </c>
      <c r="B86" s="14"/>
      <c r="C86" s="14" t="str">
        <f>IFERROR(VLOOKUP($G$4,DISRA!B:GL,71+A86,FALSE),"-")</f>
        <v>0</v>
      </c>
      <c r="D86" s="14"/>
      <c r="E86" s="15"/>
      <c r="F86" s="14"/>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ht="13.2" hidden="1" x14ac:dyDescent="0.25">
      <c r="A87" s="13">
        <v>87</v>
      </c>
      <c r="B87" s="14"/>
      <c r="C87" s="14" t="str">
        <f>IFERROR(VLOOKUP($G$4,DISRA!B:GM,71+A87,FALSE),"-")</f>
        <v>0</v>
      </c>
      <c r="D87" s="14"/>
      <c r="E87" s="15"/>
      <c r="F87" s="14"/>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ht="13.2" hidden="1" x14ac:dyDescent="0.25">
      <c r="A88" s="13">
        <v>88</v>
      </c>
      <c r="B88" s="14"/>
      <c r="C88" s="14">
        <f>IFERROR(VLOOKUP($G$4,DISRA!B:GL,71+A88,FALSE),"-")</f>
        <v>2</v>
      </c>
      <c r="D88" s="14"/>
      <c r="E88" s="15"/>
      <c r="F88" s="14"/>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ht="13.2" hidden="1" x14ac:dyDescent="0.25">
      <c r="A89" s="13">
        <v>89</v>
      </c>
      <c r="B89" s="14"/>
      <c r="C89" s="14" t="str">
        <f>IFERROR(VLOOKUP($G$4,DISRA!B:GM,71+A89,FALSE),"-")</f>
        <v>0</v>
      </c>
      <c r="D89" s="14"/>
      <c r="E89" s="15"/>
      <c r="F89" s="14"/>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ht="13.2" hidden="1" x14ac:dyDescent="0.25">
      <c r="A90" s="13">
        <v>90</v>
      </c>
      <c r="B90" s="14"/>
      <c r="C90" s="14" t="str">
        <f>IFERROR(VLOOKUP($G$4,DISRA!B:GL,71+A90,FALSE),"-")</f>
        <v>0</v>
      </c>
      <c r="D90" s="14"/>
      <c r="E90" s="15"/>
      <c r="F90" s="14"/>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ht="13.2" hidden="1" x14ac:dyDescent="0.25">
      <c r="A91" s="13">
        <v>91</v>
      </c>
      <c r="B91" s="14"/>
      <c r="C91" s="14" t="str">
        <f>IFERROR(VLOOKUP($G$4,DISRA!B:GM,71+A91,FALSE),"-")</f>
        <v>0</v>
      </c>
      <c r="D91" s="14"/>
      <c r="E91" s="15"/>
      <c r="F91" s="14"/>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ht="13.2" hidden="1" x14ac:dyDescent="0.25">
      <c r="A92" s="13">
        <v>92</v>
      </c>
      <c r="B92" s="14"/>
      <c r="C92" s="14" t="str">
        <f>IFERROR(VLOOKUP($G$4,DISRA!B:GL,71+A92,FALSE),"-")</f>
        <v>0</v>
      </c>
      <c r="D92" s="14"/>
      <c r="E92" s="15"/>
      <c r="F92" s="14"/>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ht="13.2" hidden="1" x14ac:dyDescent="0.25">
      <c r="A93" s="13">
        <v>93</v>
      </c>
      <c r="B93" s="14"/>
      <c r="C93" s="14" t="str">
        <f>IFERROR(VLOOKUP($G$4,DISRA!B:GM,71+A93,FALSE),"-")</f>
        <v>0</v>
      </c>
      <c r="D93" s="14"/>
      <c r="E93" s="15"/>
      <c r="F93" s="14"/>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ht="13.2" hidden="1" x14ac:dyDescent="0.25">
      <c r="A94" s="13">
        <v>94</v>
      </c>
      <c r="B94" s="14"/>
      <c r="C94" s="14" t="str">
        <f>IFERROR(VLOOKUP($G$4,DISRA!B:GL,71+A94,FALSE),"-")</f>
        <v>0</v>
      </c>
      <c r="D94" s="14"/>
      <c r="E94" s="15"/>
      <c r="F94" s="14"/>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ht="13.2" hidden="1" x14ac:dyDescent="0.25">
      <c r="A95" s="13">
        <v>95</v>
      </c>
      <c r="B95" s="14"/>
      <c r="C95" s="14">
        <f>IFERROR(VLOOKUP($G$4,DISRA!B:GM,71+A95,FALSE),"-")</f>
        <v>3</v>
      </c>
      <c r="D95" s="14"/>
      <c r="E95" s="15"/>
      <c r="F95" s="14"/>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ht="13.2" hidden="1" x14ac:dyDescent="0.25">
      <c r="A96" s="13">
        <v>96</v>
      </c>
      <c r="B96" s="14"/>
      <c r="C96" s="14">
        <f>IFERROR(VLOOKUP($G$4,DISRA!B:GL,71+A96,FALSE),"-")</f>
        <v>3</v>
      </c>
      <c r="D96" s="14"/>
      <c r="E96" s="15"/>
      <c r="F96" s="14"/>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ht="13.2" hidden="1" x14ac:dyDescent="0.25">
      <c r="A97" s="13">
        <v>97</v>
      </c>
      <c r="B97" s="14"/>
      <c r="C97" s="14">
        <f>IFERROR(VLOOKUP($G$4,DISRA!B:GM,71+A97,FALSE),"-")</f>
        <v>3</v>
      </c>
      <c r="D97" s="14"/>
      <c r="E97" s="15"/>
      <c r="F97" s="14"/>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ht="13.2" hidden="1" x14ac:dyDescent="0.25">
      <c r="A98" s="13">
        <v>98</v>
      </c>
      <c r="B98" s="14"/>
      <c r="C98" s="14">
        <f>IFERROR(VLOOKUP($G$4,DISRA!B:GL,71+A98,FALSE),"-")</f>
        <v>3</v>
      </c>
      <c r="D98" s="14"/>
      <c r="E98" s="15"/>
      <c r="F98" s="14"/>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ht="13.2" hidden="1" x14ac:dyDescent="0.25">
      <c r="A99" s="13">
        <v>99</v>
      </c>
      <c r="B99" s="14"/>
      <c r="C99" s="14" t="str">
        <f>IFERROR(VLOOKUP($G$4,DISRA!B:GM,71+A99,FALSE),"-")</f>
        <v>0</v>
      </c>
      <c r="D99" s="14"/>
      <c r="E99" s="15"/>
      <c r="F99" s="14"/>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ht="13.2" hidden="1" x14ac:dyDescent="0.25">
      <c r="A100" s="13">
        <v>100</v>
      </c>
      <c r="B100" s="14"/>
      <c r="C100" s="14">
        <f>IFERROR(VLOOKUP($G$4,DISRA!B:GL,71+A100,FALSE),"-")</f>
        <v>3</v>
      </c>
      <c r="D100" s="14"/>
      <c r="E100" s="15"/>
      <c r="F100" s="14"/>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ht="13.2" hidden="1" x14ac:dyDescent="0.25">
      <c r="A101" s="13">
        <v>101</v>
      </c>
      <c r="B101" s="14"/>
      <c r="C101" s="14">
        <f>IFERROR(VLOOKUP($G$4,DISRA!B:GM,71+A101,FALSE),"-")</f>
        <v>4</v>
      </c>
      <c r="D101" s="14"/>
      <c r="E101" s="15"/>
      <c r="F101" s="14"/>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ht="13.2" hidden="1" x14ac:dyDescent="0.25">
      <c r="A102" s="13">
        <v>102</v>
      </c>
      <c r="B102" s="14"/>
      <c r="C102" s="14" t="str">
        <f>IFERROR(VLOOKUP($G$4,DISRA!B:GL,71+A102,FALSE),"-")</f>
        <v>0</v>
      </c>
      <c r="D102" s="14"/>
      <c r="E102" s="15"/>
      <c r="F102" s="14"/>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ht="13.2" hidden="1" x14ac:dyDescent="0.25">
      <c r="A103" s="13">
        <v>103</v>
      </c>
      <c r="B103" s="14"/>
      <c r="C103" s="14">
        <f>IFERROR(VLOOKUP($G$4,DISRA!B:GM,71+A103,FALSE),"-")</f>
        <v>2</v>
      </c>
      <c r="D103" s="14"/>
      <c r="E103" s="15"/>
      <c r="F103" s="14"/>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ht="13.2" hidden="1" x14ac:dyDescent="0.25">
      <c r="A104" s="13">
        <v>104</v>
      </c>
      <c r="B104" s="14"/>
      <c r="C104" s="14">
        <f>IFERROR(VLOOKUP($G$4,DISRA!B:GL,71+A104,FALSE),"-")</f>
        <v>1</v>
      </c>
      <c r="D104" s="14"/>
      <c r="E104" s="15"/>
      <c r="F104" s="14"/>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ht="13.2" hidden="1" x14ac:dyDescent="0.25">
      <c r="A105" s="13">
        <v>105</v>
      </c>
      <c r="B105" s="14"/>
      <c r="C105" s="14" t="str">
        <f>IFERROR(VLOOKUP($G$4,DISRA!B:GM,71+A105,FALSE),"-")</f>
        <v>0</v>
      </c>
      <c r="D105" s="14"/>
      <c r="E105" s="15"/>
      <c r="F105" s="14"/>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ht="13.2" hidden="1" x14ac:dyDescent="0.25">
      <c r="A106" s="13">
        <v>106</v>
      </c>
      <c r="B106" s="14"/>
      <c r="C106" s="14">
        <f>IFERROR(VLOOKUP($G$4,DISRA!B:GL,71+A106,FALSE),"-")</f>
        <v>1</v>
      </c>
      <c r="D106" s="14"/>
      <c r="E106" s="15"/>
      <c r="F106" s="14"/>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ht="13.2" hidden="1" x14ac:dyDescent="0.25">
      <c r="A107" s="13">
        <v>107</v>
      </c>
      <c r="B107" s="14"/>
      <c r="C107" s="14">
        <f>IFERROR(VLOOKUP($G$4,DISRA!B:GM,71+A107,FALSE),"-")</f>
        <v>1</v>
      </c>
      <c r="D107" s="14"/>
      <c r="E107" s="15"/>
      <c r="F107" s="14"/>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ht="13.2" hidden="1" x14ac:dyDescent="0.25">
      <c r="A108" s="13">
        <v>108</v>
      </c>
      <c r="B108" s="14"/>
      <c r="C108" s="14" t="str">
        <f>IFERROR(VLOOKUP($G$4,DISRA!B:GL,71+A108,FALSE),"-")</f>
        <v>0</v>
      </c>
      <c r="D108" s="14"/>
      <c r="E108" s="15"/>
      <c r="F108" s="14"/>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ht="13.2" hidden="1" x14ac:dyDescent="0.25">
      <c r="A109" s="13">
        <v>109</v>
      </c>
      <c r="B109" s="14"/>
      <c r="C109" s="14" t="str">
        <f>IFERROR(VLOOKUP($G$4,DISRA!B:GM,71+A109,FALSE),"-")</f>
        <v>0</v>
      </c>
      <c r="D109" s="14"/>
      <c r="E109" s="15"/>
      <c r="F109" s="14"/>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ht="13.2" hidden="1" x14ac:dyDescent="0.25">
      <c r="A110" s="13">
        <v>110</v>
      </c>
      <c r="B110" s="14"/>
      <c r="C110" s="14" t="str">
        <f>IFERROR(VLOOKUP($G$4,DISRA!B:GL,71+A110,FALSE),"-")</f>
        <v>0</v>
      </c>
      <c r="D110" s="14"/>
      <c r="E110" s="15"/>
      <c r="F110" s="14"/>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ht="13.2" hidden="1" x14ac:dyDescent="0.25">
      <c r="A111" s="13">
        <v>111</v>
      </c>
      <c r="B111" s="14"/>
      <c r="C111" s="14" t="str">
        <f>IFERROR(VLOOKUP($G$4,DISRA!B:GM,71+A111,FALSE),"-")</f>
        <v>0</v>
      </c>
      <c r="D111" s="14"/>
      <c r="E111" s="15"/>
      <c r="F111" s="14"/>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ht="13.2" hidden="1" x14ac:dyDescent="0.25">
      <c r="A112" s="13">
        <v>112</v>
      </c>
      <c r="B112" s="14"/>
      <c r="C112" s="14" t="str">
        <f>IFERROR(VLOOKUP($G$4,DISRA!B:GL,71+A112,FALSE),"-")</f>
        <v>0</v>
      </c>
      <c r="D112" s="14"/>
      <c r="E112" s="15"/>
      <c r="F112" s="14"/>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ht="13.2" hidden="1" x14ac:dyDescent="0.25">
      <c r="A113" s="13">
        <v>113</v>
      </c>
      <c r="B113" s="14"/>
      <c r="C113" s="14"/>
      <c r="D113" s="14"/>
      <c r="E113" s="15"/>
      <c r="F113" s="14"/>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ht="13.2" hidden="1" x14ac:dyDescent="0.25">
      <c r="A114" s="13">
        <v>114</v>
      </c>
      <c r="B114" s="14"/>
      <c r="C114" s="14" t="str">
        <f>IFERROR(VLOOKUP($G$4,DISRA!B:GL,71+A114,FALSE),"-")</f>
        <v>0</v>
      </c>
      <c r="D114" s="14"/>
      <c r="E114" s="15"/>
      <c r="F114" s="14"/>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ht="13.2" hidden="1" x14ac:dyDescent="0.25">
      <c r="A115" s="13">
        <v>115</v>
      </c>
      <c r="B115" s="14"/>
      <c r="C115" s="14">
        <f>IFERROR(VLOOKUP($G$4,DISRA!B:GM,71+A115,FALSE),"-")</f>
        <v>3</v>
      </c>
      <c r="D115" s="14"/>
      <c r="E115" s="15"/>
      <c r="F115" s="14"/>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ht="13.2" hidden="1" x14ac:dyDescent="0.25">
      <c r="A116" s="13">
        <v>116</v>
      </c>
      <c r="B116" s="14"/>
      <c r="C116" s="14">
        <f>IFERROR(VLOOKUP($G$4,DISRA!B:GL,71+A116,FALSE),"-")</f>
        <v>2</v>
      </c>
      <c r="D116" s="14"/>
      <c r="E116" s="15"/>
      <c r="F116" s="14"/>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ht="13.2" hidden="1" x14ac:dyDescent="0.25">
      <c r="A117" s="13">
        <v>117</v>
      </c>
      <c r="B117" s="14"/>
      <c r="C117" s="14">
        <f>IFERROR(VLOOKUP($G$4,DISRA!B:GM,71+A117,FALSE),"-")</f>
        <v>3</v>
      </c>
      <c r="D117" s="14"/>
      <c r="E117" s="15"/>
      <c r="F117" s="14"/>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ht="13.2" hidden="1" x14ac:dyDescent="0.25">
      <c r="A118" s="13">
        <v>118</v>
      </c>
      <c r="B118" s="14"/>
      <c r="C118" s="14">
        <f>IFERROR(VLOOKUP($G$4,DISRA!B:GL,71+A118,FALSE),"-")</f>
        <v>1</v>
      </c>
      <c r="D118" s="14"/>
      <c r="E118" s="15"/>
      <c r="F118" s="14"/>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ht="13.2" hidden="1" x14ac:dyDescent="0.25">
      <c r="A119" s="13">
        <v>119</v>
      </c>
      <c r="B119" s="14"/>
      <c r="C119" s="14" t="str">
        <f>IFERROR(VLOOKUP($G$4,DISRA!B:GM,71+A119,FALSE),"-")</f>
        <v>0</v>
      </c>
      <c r="D119" s="14"/>
      <c r="E119" s="15"/>
      <c r="F119" s="14"/>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ht="13.2" hidden="1" x14ac:dyDescent="0.25">
      <c r="A120" s="13">
        <v>120</v>
      </c>
      <c r="B120" s="14"/>
      <c r="C120" s="14" t="str">
        <f>IFERROR(VLOOKUP($G$4,DISRA!B:GL,71+A120,FALSE),"-")</f>
        <v>0</v>
      </c>
      <c r="D120" s="14"/>
      <c r="E120" s="15"/>
      <c r="F120" s="14"/>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ht="13.2" hidden="1" x14ac:dyDescent="0.25">
      <c r="A121" s="13">
        <v>121</v>
      </c>
      <c r="B121" s="14"/>
      <c r="C121" s="14" t="str">
        <f>IFERROR(VLOOKUP($G$4,DISRA!B:GM,71+A121,FALSE),"-")</f>
        <v>0</v>
      </c>
      <c r="D121" s="14"/>
      <c r="E121" s="15"/>
      <c r="F121" s="14"/>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ht="13.2" hidden="1" x14ac:dyDescent="0.25">
      <c r="A122" s="13">
        <v>122</v>
      </c>
      <c r="B122" s="14"/>
      <c r="C122" s="14" t="str">
        <f>IFERROR(VLOOKUP($G$4,DISRA!B:GL,71+A122,FALSE),"-")</f>
        <v>0</v>
      </c>
      <c r="D122" s="14"/>
      <c r="E122" s="15"/>
      <c r="F122" s="14"/>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ht="13.2" hidden="1" x14ac:dyDescent="0.25">
      <c r="A123" s="13">
        <v>123</v>
      </c>
      <c r="B123" s="14"/>
      <c r="C123" s="14">
        <f>IFERROR(VLOOKUP($G$4,DISRA!B:GM,71+A123,FALSE),"-")</f>
        <v>1</v>
      </c>
      <c r="D123" s="14"/>
      <c r="E123" s="15"/>
      <c r="F123" s="14"/>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ht="13.2" hidden="1" x14ac:dyDescent="0.25">
      <c r="A124" s="13">
        <v>124</v>
      </c>
      <c r="B124" s="14"/>
      <c r="C124" s="36">
        <f>SUM(C1:C123)</f>
        <v>115</v>
      </c>
      <c r="D124" s="14"/>
      <c r="E124" s="15"/>
      <c r="F124" s="14"/>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ht="13.2" hidden="1" x14ac:dyDescent="0.25">
      <c r="A125" s="13">
        <v>125</v>
      </c>
      <c r="B125" s="14"/>
      <c r="C125" s="14"/>
      <c r="D125" s="14"/>
      <c r="E125" s="15"/>
      <c r="F125" s="14"/>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ht="13.2" hidden="1" x14ac:dyDescent="0.25">
      <c r="A126" s="13"/>
      <c r="B126" s="14"/>
      <c r="C126" s="14"/>
      <c r="D126" s="14"/>
      <c r="E126" s="15"/>
      <c r="F126" s="14"/>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ht="13.2" hidden="1" x14ac:dyDescent="0.25">
      <c r="A127" s="13"/>
      <c r="B127" s="14"/>
      <c r="C127" s="14"/>
      <c r="D127" s="14"/>
      <c r="E127" s="15"/>
      <c r="F127" s="14"/>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ht="13.2" hidden="1" x14ac:dyDescent="0.25">
      <c r="A128" s="13"/>
      <c r="B128" s="14"/>
      <c r="C128" s="14"/>
      <c r="D128" s="14"/>
      <c r="E128" s="15"/>
      <c r="F128" s="14"/>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spans="1:33" ht="13.2" hidden="1" x14ac:dyDescent="0.25">
      <c r="A129" s="13"/>
      <c r="B129" s="14"/>
      <c r="C129" s="14"/>
      <c r="D129" s="14"/>
      <c r="E129" s="15"/>
      <c r="F129" s="14"/>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ht="13.2" hidden="1" x14ac:dyDescent="0.25">
      <c r="A130" s="13"/>
      <c r="B130" s="14"/>
      <c r="C130" s="14"/>
      <c r="D130" s="14"/>
      <c r="E130" s="15"/>
      <c r="F130" s="14"/>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ht="13.2" hidden="1" x14ac:dyDescent="0.25">
      <c r="A131" s="13"/>
      <c r="B131" s="14"/>
      <c r="C131" s="14"/>
      <c r="D131" s="14"/>
      <c r="E131" s="15"/>
      <c r="F131" s="14"/>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ht="13.2" hidden="1" x14ac:dyDescent="0.25">
      <c r="A132" s="13"/>
      <c r="B132" s="14"/>
      <c r="C132" s="14"/>
      <c r="D132" s="14"/>
      <c r="E132" s="15"/>
      <c r="F132" s="14"/>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ht="13.2" hidden="1" x14ac:dyDescent="0.25">
      <c r="A133" s="13"/>
      <c r="B133" s="14"/>
      <c r="C133" s="14"/>
      <c r="D133" s="14"/>
      <c r="E133" s="15"/>
      <c r="F133" s="14"/>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ht="13.2" hidden="1" x14ac:dyDescent="0.25">
      <c r="A134" s="13"/>
      <c r="B134" s="14"/>
      <c r="C134" s="14"/>
      <c r="D134" s="14"/>
      <c r="E134" s="15"/>
      <c r="F134" s="14"/>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sheetData>
  <mergeCells count="16">
    <mergeCell ref="I15:M15"/>
    <mergeCell ref="F2:AG2"/>
    <mergeCell ref="G4:J4"/>
    <mergeCell ref="L4:M4"/>
    <mergeCell ref="P4:P5"/>
    <mergeCell ref="I6:M6"/>
    <mergeCell ref="I7:M7"/>
    <mergeCell ref="I8:M8"/>
    <mergeCell ref="P6:P7"/>
    <mergeCell ref="P8:P12"/>
    <mergeCell ref="P13:P14"/>
    <mergeCell ref="I9:M9"/>
    <mergeCell ref="I10:M10"/>
    <mergeCell ref="I12:M12"/>
    <mergeCell ref="I13:M13"/>
    <mergeCell ref="I14:M14"/>
  </mergeCells>
  <printOptions horizontalCentered="1" gridLines="1"/>
  <pageMargins left="0.7" right="0.7" top="0.75" bottom="0.75" header="0" footer="0"/>
  <pageSetup fitToHeight="0" pageOrder="overThenDown" orientation="landscape" cellComments="atEnd"/>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DISRA!$B$2:$B$993</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27"/>
  <sheetViews>
    <sheetView showGridLines="0" workbookViewId="0"/>
  </sheetViews>
  <sheetFormatPr baseColWidth="10" defaultColWidth="12.6640625" defaultRowHeight="15.75" customHeight="1" x14ac:dyDescent="0.25"/>
  <cols>
    <col min="1" max="7" width="4.44140625" customWidth="1"/>
    <col min="8" max="8" width="5.109375" customWidth="1"/>
    <col min="9" max="9" width="4.44140625" customWidth="1"/>
    <col min="10" max="10" width="1.33203125" customWidth="1"/>
    <col min="11" max="20" width="4.44140625" customWidth="1"/>
    <col min="21" max="21" width="5.6640625" customWidth="1"/>
    <col min="22" max="22" width="4.44140625" customWidth="1"/>
    <col min="23" max="23" width="1.21875" customWidth="1"/>
    <col min="24" max="30" width="4.44140625" customWidth="1"/>
    <col min="31" max="31" width="5.88671875" customWidth="1"/>
    <col min="32" max="32" width="4.44140625" customWidth="1"/>
    <col min="33" max="33" width="1.6640625" customWidth="1"/>
    <col min="34" max="34" width="12" customWidth="1"/>
    <col min="35" max="35" width="10.21875" customWidth="1"/>
    <col min="36" max="36" width="4.44140625" customWidth="1"/>
  </cols>
  <sheetData>
    <row r="1" spans="1:36" ht="15" customHeight="1" x14ac:dyDescent="0.25">
      <c r="A1" s="77" t="s">
        <v>1225</v>
      </c>
      <c r="B1" s="67"/>
      <c r="C1" s="67"/>
      <c r="D1" s="67"/>
      <c r="E1" s="67"/>
      <c r="F1" s="67"/>
      <c r="G1" s="67"/>
      <c r="H1" s="67"/>
      <c r="I1" s="67"/>
      <c r="J1" s="38"/>
      <c r="K1" s="77" t="s">
        <v>1226</v>
      </c>
      <c r="L1" s="67"/>
      <c r="M1" s="67"/>
      <c r="N1" s="67"/>
      <c r="O1" s="67"/>
      <c r="P1" s="67"/>
      <c r="Q1" s="67"/>
      <c r="R1" s="67"/>
      <c r="S1" s="67"/>
      <c r="T1" s="67"/>
      <c r="U1" s="67"/>
      <c r="V1" s="67"/>
      <c r="W1" s="38"/>
      <c r="X1" s="77" t="s">
        <v>1227</v>
      </c>
      <c r="Y1" s="67"/>
      <c r="Z1" s="67"/>
      <c r="AA1" s="67"/>
      <c r="AB1" s="67"/>
      <c r="AC1" s="67"/>
      <c r="AD1" s="67"/>
      <c r="AE1" s="67"/>
      <c r="AF1" s="67"/>
      <c r="AG1" s="38"/>
      <c r="AH1" s="37"/>
      <c r="AI1" s="37"/>
      <c r="AJ1" s="37"/>
    </row>
    <row r="2" spans="1:36" ht="15" customHeight="1" x14ac:dyDescent="0.25">
      <c r="A2" s="39" t="s">
        <v>1228</v>
      </c>
      <c r="B2" s="40">
        <v>1</v>
      </c>
      <c r="C2" s="41">
        <v>2</v>
      </c>
      <c r="D2" s="41">
        <v>3</v>
      </c>
      <c r="E2" s="41">
        <v>4</v>
      </c>
      <c r="F2" s="41">
        <v>5</v>
      </c>
      <c r="G2" s="41">
        <v>6</v>
      </c>
      <c r="H2" s="42">
        <v>7</v>
      </c>
      <c r="I2" s="43" t="s">
        <v>1229</v>
      </c>
      <c r="J2" s="38"/>
      <c r="K2" s="39" t="s">
        <v>1230</v>
      </c>
      <c r="L2" s="40">
        <v>1</v>
      </c>
      <c r="M2" s="41">
        <v>2</v>
      </c>
      <c r="N2" s="41">
        <v>3</v>
      </c>
      <c r="O2" s="41">
        <v>4</v>
      </c>
      <c r="P2" s="41">
        <v>5</v>
      </c>
      <c r="Q2" s="41">
        <v>6</v>
      </c>
      <c r="R2" s="42">
        <v>7</v>
      </c>
      <c r="S2" s="42">
        <v>8</v>
      </c>
      <c r="T2" s="42">
        <v>9</v>
      </c>
      <c r="U2" s="42">
        <v>10</v>
      </c>
      <c r="V2" s="43" t="s">
        <v>1229</v>
      </c>
      <c r="W2" s="38"/>
      <c r="X2" s="39" t="s">
        <v>1231</v>
      </c>
      <c r="Y2" s="40">
        <v>1</v>
      </c>
      <c r="Z2" s="41">
        <v>2</v>
      </c>
      <c r="AA2" s="41">
        <v>3</v>
      </c>
      <c r="AB2" s="41">
        <v>4</v>
      </c>
      <c r="AC2" s="41">
        <v>5</v>
      </c>
      <c r="AD2" s="41">
        <v>6</v>
      </c>
      <c r="AE2" s="42">
        <v>7</v>
      </c>
      <c r="AF2" s="43" t="s">
        <v>1229</v>
      </c>
      <c r="AG2" s="38"/>
      <c r="AH2" s="24" t="s">
        <v>1220</v>
      </c>
      <c r="AI2" s="44">
        <f>SUM(I3+I6+I10+I12+I13+I15+V3+V6+V10+V12+V13+V15+AF3+AF6+AF10+AF12+AF13+AF15)</f>
        <v>71</v>
      </c>
      <c r="AJ2" s="45"/>
    </row>
    <row r="3" spans="1:36" ht="15" customHeight="1" x14ac:dyDescent="0.25">
      <c r="A3" s="40">
        <v>1</v>
      </c>
      <c r="B3" s="46">
        <f>ISRA!B1</f>
        <v>2</v>
      </c>
      <c r="C3" s="47"/>
      <c r="D3" s="47"/>
      <c r="E3" s="47"/>
      <c r="F3" s="47"/>
      <c r="G3" s="46">
        <f>ISRA!B2</f>
        <v>2</v>
      </c>
      <c r="H3" s="48"/>
      <c r="I3" s="49">
        <f t="shared" ref="I3:I25" si="0">SUM(B3:H3)</f>
        <v>4</v>
      </c>
      <c r="J3" s="38"/>
      <c r="K3" s="40">
        <v>1</v>
      </c>
      <c r="L3" s="47"/>
      <c r="M3" s="47"/>
      <c r="N3" s="50">
        <f>ISRA!C1</f>
        <v>2</v>
      </c>
      <c r="O3" s="50">
        <f>ISRA!C2</f>
        <v>2</v>
      </c>
      <c r="P3" s="50">
        <f>ISRA!C3</f>
        <v>2</v>
      </c>
      <c r="Q3" s="47"/>
      <c r="R3" s="50" t="str">
        <f>ISRA!C4</f>
        <v>0</v>
      </c>
      <c r="S3" s="50" t="str">
        <f>ISRA!C5</f>
        <v>0</v>
      </c>
      <c r="T3" s="50" t="str">
        <f>ISRA!C6</f>
        <v>0</v>
      </c>
      <c r="U3" s="51">
        <f>ISRA!C7</f>
        <v>2</v>
      </c>
      <c r="V3" s="49">
        <f t="shared" ref="V3:V25" si="1">SUM(L3:U3)</f>
        <v>8</v>
      </c>
      <c r="W3" s="38"/>
      <c r="X3" s="40">
        <v>1</v>
      </c>
      <c r="Y3" s="47"/>
      <c r="Z3" s="50">
        <f>ISRA!D1</f>
        <v>3</v>
      </c>
      <c r="AA3" s="47"/>
      <c r="AB3" s="47"/>
      <c r="AC3" s="50">
        <f>ISRA!D2</f>
        <v>3</v>
      </c>
      <c r="AD3" s="50">
        <f>ISRA!D3</f>
        <v>3</v>
      </c>
      <c r="AE3" s="48"/>
      <c r="AF3" s="49">
        <f t="shared" ref="AF3:AF25" si="2">SUM(Y3:AE3)</f>
        <v>9</v>
      </c>
      <c r="AG3" s="38"/>
      <c r="AH3" s="24" t="s">
        <v>1221</v>
      </c>
      <c r="AI3" s="52">
        <f>SUM(I9+I17+I20+V9+V17+V20+AF9+AF17+AF20)</f>
        <v>8</v>
      </c>
      <c r="AJ3" s="45"/>
    </row>
    <row r="4" spans="1:36" ht="15" customHeight="1" x14ac:dyDescent="0.25">
      <c r="A4" s="53">
        <v>2</v>
      </c>
      <c r="B4" s="46" t="str">
        <f>ISRA!B3</f>
        <v>0</v>
      </c>
      <c r="C4" s="47"/>
      <c r="D4" s="47"/>
      <c r="E4" s="47"/>
      <c r="F4" s="47"/>
      <c r="G4" s="47"/>
      <c r="H4" s="48"/>
      <c r="I4" s="49">
        <f t="shared" si="0"/>
        <v>0</v>
      </c>
      <c r="J4" s="38"/>
      <c r="K4" s="53">
        <v>2</v>
      </c>
      <c r="L4" s="50" t="str">
        <f>ISRA!C8</f>
        <v>0</v>
      </c>
      <c r="M4" s="50">
        <f>ISRA!C9</f>
        <v>4</v>
      </c>
      <c r="N4" s="50" t="str">
        <f>ISRA!C10</f>
        <v>0</v>
      </c>
      <c r="O4" s="50" t="str">
        <f>ISRA!C11</f>
        <v>0</v>
      </c>
      <c r="P4" s="47"/>
      <c r="Q4" s="50" t="str">
        <f>ISRA!C12</f>
        <v>0</v>
      </c>
      <c r="R4" s="50" t="str">
        <f>ISRA!C13</f>
        <v>0</v>
      </c>
      <c r="S4" s="47"/>
      <c r="T4" s="50" t="str">
        <f>ISRA!C14</f>
        <v>0</v>
      </c>
      <c r="U4" s="48"/>
      <c r="V4" s="49">
        <f t="shared" si="1"/>
        <v>4</v>
      </c>
      <c r="W4" s="38"/>
      <c r="X4" s="53">
        <v>2</v>
      </c>
      <c r="Y4" s="47"/>
      <c r="Z4" s="50" t="str">
        <f>ISRA!D4</f>
        <v>0</v>
      </c>
      <c r="AA4" s="47"/>
      <c r="AB4" s="47"/>
      <c r="AC4" s="50">
        <f>ISRA!D5</f>
        <v>1</v>
      </c>
      <c r="AD4" s="47"/>
      <c r="AE4" s="48"/>
      <c r="AF4" s="49">
        <f t="shared" si="2"/>
        <v>1</v>
      </c>
      <c r="AG4" s="38"/>
      <c r="AH4" s="24" t="s">
        <v>1223</v>
      </c>
      <c r="AI4" s="44">
        <f>SUM(I14+I16+I19+I21+V14+V16+V19+V21+AF14+AF16+AF19+AF21)</f>
        <v>66</v>
      </c>
      <c r="AJ4" s="45"/>
    </row>
    <row r="5" spans="1:36" ht="15" customHeight="1" x14ac:dyDescent="0.25">
      <c r="A5" s="53">
        <v>3</v>
      </c>
      <c r="B5" s="47"/>
      <c r="C5" s="47"/>
      <c r="D5" s="47"/>
      <c r="E5" s="46">
        <f>ISRA!B4</f>
        <v>4</v>
      </c>
      <c r="F5" s="47"/>
      <c r="G5" s="46">
        <f>ISRA!B5</f>
        <v>2</v>
      </c>
      <c r="H5" s="48"/>
      <c r="I5" s="49">
        <f t="shared" si="0"/>
        <v>6</v>
      </c>
      <c r="J5" s="38"/>
      <c r="K5" s="53">
        <v>3</v>
      </c>
      <c r="L5" s="50" t="str">
        <f>ISRA!C15</f>
        <v>0</v>
      </c>
      <c r="M5" s="50">
        <f>ISRA!C16</f>
        <v>4</v>
      </c>
      <c r="N5" s="50" t="str">
        <f>ISRA!C17</f>
        <v>0</v>
      </c>
      <c r="O5" s="50">
        <f>ISRA!C18</f>
        <v>2</v>
      </c>
      <c r="P5" s="47"/>
      <c r="Q5" s="50" t="str">
        <f>ISRA!C19</f>
        <v>0</v>
      </c>
      <c r="R5" s="50" t="str">
        <f>ISRA!C20</f>
        <v>0</v>
      </c>
      <c r="S5" s="50" t="str">
        <f>ISRA!C21</f>
        <v>0</v>
      </c>
      <c r="T5" s="50" t="str">
        <f>ISRA!C22</f>
        <v>0</v>
      </c>
      <c r="U5" s="48"/>
      <c r="V5" s="49">
        <f t="shared" si="1"/>
        <v>6</v>
      </c>
      <c r="W5" s="38"/>
      <c r="X5" s="53">
        <v>3</v>
      </c>
      <c r="Y5" s="50">
        <f>ISRA!D6</f>
        <v>3</v>
      </c>
      <c r="Z5" s="50">
        <f>ISRA!D7</f>
        <v>3</v>
      </c>
      <c r="AA5" s="50" t="str">
        <f>ISRA!D8</f>
        <v>0</v>
      </c>
      <c r="AB5" s="47"/>
      <c r="AC5" s="50">
        <f>ISRA!D9</f>
        <v>3</v>
      </c>
      <c r="AD5" s="50">
        <f>ISRA!D10</f>
        <v>1</v>
      </c>
      <c r="AE5" s="51">
        <f>ISRA!D11</f>
        <v>3</v>
      </c>
      <c r="AF5" s="49">
        <f t="shared" si="2"/>
        <v>13</v>
      </c>
      <c r="AG5" s="38"/>
      <c r="AH5" s="35" t="s">
        <v>1224</v>
      </c>
      <c r="AI5" s="52">
        <f>I7+I23+I24+V7+V23+V24+AF7+AF23+AF24</f>
        <v>21</v>
      </c>
      <c r="AJ5" s="45"/>
    </row>
    <row r="6" spans="1:36" ht="15" customHeight="1" x14ac:dyDescent="0.25">
      <c r="A6" s="53">
        <v>4</v>
      </c>
      <c r="B6" s="46" t="str">
        <f>ISRA!B6</f>
        <v>0</v>
      </c>
      <c r="C6" s="47"/>
      <c r="D6" s="47"/>
      <c r="E6" s="47"/>
      <c r="F6" s="47"/>
      <c r="G6" s="46">
        <f>ISRA!B7</f>
        <v>2</v>
      </c>
      <c r="H6" s="48"/>
      <c r="I6" s="49">
        <f t="shared" si="0"/>
        <v>2</v>
      </c>
      <c r="J6" s="38"/>
      <c r="K6" s="53">
        <v>4</v>
      </c>
      <c r="L6" s="47"/>
      <c r="M6" s="47"/>
      <c r="N6" s="47"/>
      <c r="O6" s="50" t="str">
        <f>ISRA!C23</f>
        <v>0</v>
      </c>
      <c r="P6" s="47"/>
      <c r="Q6" s="47"/>
      <c r="R6" s="47"/>
      <c r="S6" s="47"/>
      <c r="T6" s="47"/>
      <c r="U6" s="48"/>
      <c r="V6" s="49">
        <f t="shared" si="1"/>
        <v>0</v>
      </c>
      <c r="W6" s="38"/>
      <c r="X6" s="53">
        <v>4</v>
      </c>
      <c r="Y6" s="47"/>
      <c r="Z6" s="47"/>
      <c r="AA6" s="50" t="str">
        <f>ISRA!D12</f>
        <v>0</v>
      </c>
      <c r="AB6" s="47"/>
      <c r="AC6" s="50">
        <f>ISRA!D13</f>
        <v>3</v>
      </c>
      <c r="AD6" s="47"/>
      <c r="AE6" s="51">
        <f>ISRA!D14</f>
        <v>3</v>
      </c>
      <c r="AF6" s="49">
        <f t="shared" si="2"/>
        <v>6</v>
      </c>
      <c r="AG6" s="38"/>
      <c r="AH6" s="45"/>
      <c r="AI6" s="45"/>
      <c r="AJ6" s="45"/>
    </row>
    <row r="7" spans="1:36" ht="15" customHeight="1" x14ac:dyDescent="0.25">
      <c r="A7" s="53">
        <v>5</v>
      </c>
      <c r="B7" s="47"/>
      <c r="C7" s="47"/>
      <c r="D7" s="46" t="str">
        <f>ISRA!B8</f>
        <v>0</v>
      </c>
      <c r="E7" s="46" t="str">
        <f>ISRA!B9</f>
        <v>0</v>
      </c>
      <c r="F7" s="47"/>
      <c r="G7" s="47"/>
      <c r="H7" s="48"/>
      <c r="I7" s="49">
        <f t="shared" si="0"/>
        <v>0</v>
      </c>
      <c r="J7" s="38"/>
      <c r="K7" s="53">
        <v>5</v>
      </c>
      <c r="L7" s="50" t="str">
        <f>ISRA!C24</f>
        <v>0</v>
      </c>
      <c r="M7" s="47"/>
      <c r="N7" s="47"/>
      <c r="O7" s="50">
        <f>ISRA!C25</f>
        <v>3</v>
      </c>
      <c r="P7" s="47"/>
      <c r="Q7" s="50" t="str">
        <f>ISRA!C26</f>
        <v>0</v>
      </c>
      <c r="R7" s="47"/>
      <c r="S7" s="47"/>
      <c r="T7" s="50" t="str">
        <f>ISRA!C27</f>
        <v>0</v>
      </c>
      <c r="U7" s="48"/>
      <c r="V7" s="49">
        <f t="shared" si="1"/>
        <v>3</v>
      </c>
      <c r="W7" s="38"/>
      <c r="X7" s="53">
        <v>5</v>
      </c>
      <c r="Y7" s="50">
        <f>ISRA!D15</f>
        <v>3</v>
      </c>
      <c r="Z7" s="47"/>
      <c r="AA7" s="50" t="str">
        <f>ISRA!D16</f>
        <v>0</v>
      </c>
      <c r="AB7" s="47"/>
      <c r="AC7" s="47"/>
      <c r="AD7" s="50">
        <f>ISRA!D17</f>
        <v>1</v>
      </c>
      <c r="AE7" s="48"/>
      <c r="AF7" s="49">
        <f t="shared" si="2"/>
        <v>4</v>
      </c>
      <c r="AG7" s="38"/>
      <c r="AH7" s="45"/>
      <c r="AI7" s="45"/>
      <c r="AJ7" s="45"/>
    </row>
    <row r="8" spans="1:36" ht="15" customHeight="1" x14ac:dyDescent="0.25">
      <c r="A8" s="53">
        <v>6</v>
      </c>
      <c r="B8" s="46" t="str">
        <f>ISRA!B10</f>
        <v>0</v>
      </c>
      <c r="C8" s="46" t="str">
        <f>ISRA!B11</f>
        <v>0</v>
      </c>
      <c r="D8" s="47"/>
      <c r="E8" s="46" t="str">
        <f>ISRA!B12</f>
        <v>0</v>
      </c>
      <c r="F8" s="47"/>
      <c r="G8" s="47"/>
      <c r="H8" s="54" t="str">
        <f>ISRA!B13</f>
        <v>0</v>
      </c>
      <c r="I8" s="49">
        <f t="shared" si="0"/>
        <v>0</v>
      </c>
      <c r="J8" s="38"/>
      <c r="K8" s="53">
        <v>6</v>
      </c>
      <c r="L8" s="50" t="str">
        <f>ISRA!C28</f>
        <v>0</v>
      </c>
      <c r="M8" s="47"/>
      <c r="N8" s="47"/>
      <c r="O8" s="47"/>
      <c r="P8" s="50">
        <f>ISRA!C29</f>
        <v>1</v>
      </c>
      <c r="Q8" s="47"/>
      <c r="R8" s="50" t="str">
        <f>ISRA!C30</f>
        <v>0</v>
      </c>
      <c r="S8" s="47"/>
      <c r="T8" s="50" t="str">
        <f>ISRA!C31</f>
        <v>0</v>
      </c>
      <c r="U8" s="48"/>
      <c r="V8" s="49">
        <f t="shared" si="1"/>
        <v>1</v>
      </c>
      <c r="W8" s="38"/>
      <c r="X8" s="53">
        <v>6</v>
      </c>
      <c r="Y8" s="47"/>
      <c r="Z8" s="47"/>
      <c r="AA8" s="50" t="str">
        <f>ISRA!D18</f>
        <v>0</v>
      </c>
      <c r="AB8" s="50" t="str">
        <f>ISRA!D19</f>
        <v>0</v>
      </c>
      <c r="AC8" s="47"/>
      <c r="AD8" s="47"/>
      <c r="AE8" s="48"/>
      <c r="AF8" s="49">
        <f t="shared" si="2"/>
        <v>0</v>
      </c>
      <c r="AG8" s="38"/>
      <c r="AH8" s="45"/>
      <c r="AI8" s="45"/>
      <c r="AJ8" s="45"/>
    </row>
    <row r="9" spans="1:36" ht="15" customHeight="1" x14ac:dyDescent="0.25">
      <c r="A9" s="53">
        <v>7</v>
      </c>
      <c r="B9" s="47"/>
      <c r="C9" s="47"/>
      <c r="D9" s="47"/>
      <c r="E9" s="46" t="str">
        <f>ISRA!B14</f>
        <v>0</v>
      </c>
      <c r="F9" s="47"/>
      <c r="G9" s="47"/>
      <c r="H9" s="48"/>
      <c r="I9" s="49">
        <f t="shared" si="0"/>
        <v>0</v>
      </c>
      <c r="J9" s="38"/>
      <c r="K9" s="53">
        <v>7</v>
      </c>
      <c r="L9" s="47"/>
      <c r="M9" s="47"/>
      <c r="N9" s="50" t="str">
        <f>ISRA!C32</f>
        <v>0</v>
      </c>
      <c r="O9" s="47"/>
      <c r="P9" s="47"/>
      <c r="Q9" s="50">
        <f>ISRA!C33</f>
        <v>3</v>
      </c>
      <c r="R9" s="50">
        <f>ISRA!C34</f>
        <v>1</v>
      </c>
      <c r="S9" s="50">
        <f>ISRA!C35</f>
        <v>2</v>
      </c>
      <c r="T9" s="50" t="str">
        <f>ISRA!C36</f>
        <v>0</v>
      </c>
      <c r="U9" s="48"/>
      <c r="V9" s="49">
        <f t="shared" si="1"/>
        <v>6</v>
      </c>
      <c r="W9" s="38"/>
      <c r="X9" s="53">
        <v>7</v>
      </c>
      <c r="Y9" s="47"/>
      <c r="Z9" s="47"/>
      <c r="AA9" s="50" t="str">
        <f>ISRA!D20</f>
        <v>0</v>
      </c>
      <c r="AB9" s="47"/>
      <c r="AC9" s="47"/>
      <c r="AD9" s="47"/>
      <c r="AE9" s="48"/>
      <c r="AF9" s="49">
        <f t="shared" si="2"/>
        <v>0</v>
      </c>
      <c r="AG9" s="38"/>
      <c r="AH9" s="45"/>
      <c r="AI9" s="45"/>
      <c r="AJ9" s="45"/>
    </row>
    <row r="10" spans="1:36" ht="15" customHeight="1" x14ac:dyDescent="0.25">
      <c r="A10" s="53">
        <v>8</v>
      </c>
      <c r="B10" s="47"/>
      <c r="C10" s="46" t="str">
        <f>ISRA!B15</f>
        <v>0</v>
      </c>
      <c r="D10" s="47"/>
      <c r="E10" s="47"/>
      <c r="F10" s="47"/>
      <c r="G10" s="47"/>
      <c r="H10" s="54" t="str">
        <f>ISRA!B16</f>
        <v>0</v>
      </c>
      <c r="I10" s="49">
        <f t="shared" si="0"/>
        <v>0</v>
      </c>
      <c r="J10" s="38"/>
      <c r="K10" s="53">
        <v>8</v>
      </c>
      <c r="L10" s="50" t="str">
        <f>ISRA!C37</f>
        <v>0</v>
      </c>
      <c r="M10" s="47"/>
      <c r="N10" s="50" t="str">
        <f>ISRA!C38</f>
        <v>0</v>
      </c>
      <c r="O10" s="50">
        <f>ISRA!C39</f>
        <v>3</v>
      </c>
      <c r="P10" s="47"/>
      <c r="Q10" s="50" t="str">
        <f>ISRA!C40</f>
        <v>0</v>
      </c>
      <c r="R10" s="50" t="str">
        <f>ISRA!C41</f>
        <v>0</v>
      </c>
      <c r="S10" s="50" t="str">
        <f>ISRA!C42</f>
        <v>0</v>
      </c>
      <c r="T10" s="50" t="str">
        <f>ISRA!C43</f>
        <v>0</v>
      </c>
      <c r="U10" s="48"/>
      <c r="V10" s="49">
        <f t="shared" si="1"/>
        <v>3</v>
      </c>
      <c r="W10" s="38"/>
      <c r="X10" s="53">
        <v>8</v>
      </c>
      <c r="Y10" s="47"/>
      <c r="Z10" s="50">
        <f>ISRA!D21</f>
        <v>3</v>
      </c>
      <c r="AA10" s="50" t="str">
        <f>ISRA!D22</f>
        <v>0</v>
      </c>
      <c r="AB10" s="47"/>
      <c r="AC10" s="47"/>
      <c r="AD10" s="50" t="str">
        <f>ISRA!D23</f>
        <v>0</v>
      </c>
      <c r="AE10" s="48"/>
      <c r="AF10" s="49">
        <f t="shared" si="2"/>
        <v>3</v>
      </c>
      <c r="AG10" s="38"/>
      <c r="AH10" s="45"/>
      <c r="AI10" s="45"/>
      <c r="AJ10" s="45"/>
    </row>
    <row r="11" spans="1:36" ht="15" customHeight="1" x14ac:dyDescent="0.25">
      <c r="A11" s="53">
        <v>9</v>
      </c>
      <c r="B11" s="47"/>
      <c r="C11" s="47"/>
      <c r="D11" s="47"/>
      <c r="E11" s="47"/>
      <c r="F11" s="47"/>
      <c r="G11" s="46">
        <f>ISRA!B17</f>
        <v>2</v>
      </c>
      <c r="H11" s="54" t="str">
        <f>ISRA!B18</f>
        <v>0</v>
      </c>
      <c r="I11" s="49">
        <f t="shared" si="0"/>
        <v>2</v>
      </c>
      <c r="J11" s="38"/>
      <c r="K11" s="53">
        <v>9</v>
      </c>
      <c r="L11" s="47"/>
      <c r="M11" s="47"/>
      <c r="N11" s="50">
        <f>ISRA!C44</f>
        <v>3</v>
      </c>
      <c r="O11" s="47"/>
      <c r="P11" s="47"/>
      <c r="Q11" s="47"/>
      <c r="R11" s="50" t="str">
        <f>ISRA!C45</f>
        <v>0</v>
      </c>
      <c r="S11" s="50" t="str">
        <f>ISRA!C46</f>
        <v>0</v>
      </c>
      <c r="T11" s="50" t="str">
        <f>ISRA!C47</f>
        <v>0</v>
      </c>
      <c r="U11" s="48"/>
      <c r="V11" s="49">
        <f t="shared" si="1"/>
        <v>3</v>
      </c>
      <c r="W11" s="38"/>
      <c r="X11" s="53">
        <v>9</v>
      </c>
      <c r="Y11" s="47"/>
      <c r="Z11" s="50">
        <f>ISRA!D24</f>
        <v>3</v>
      </c>
      <c r="AA11" s="50" t="str">
        <f>ISRA!D25</f>
        <v>0</v>
      </c>
      <c r="AB11" s="47"/>
      <c r="AC11" s="47"/>
      <c r="AD11" s="50">
        <f>ISRA!D26</f>
        <v>3</v>
      </c>
      <c r="AE11" s="48"/>
      <c r="AF11" s="49">
        <f t="shared" si="2"/>
        <v>6</v>
      </c>
      <c r="AG11" s="38"/>
      <c r="AH11" s="45"/>
      <c r="AI11" s="45"/>
      <c r="AJ11" s="45"/>
    </row>
    <row r="12" spans="1:36" ht="15" customHeight="1" x14ac:dyDescent="0.25">
      <c r="A12" s="53">
        <v>10</v>
      </c>
      <c r="B12" s="46">
        <f>ISRA!B19</f>
        <v>2</v>
      </c>
      <c r="C12" s="47"/>
      <c r="D12" s="47"/>
      <c r="E12" s="46" t="str">
        <f>ISRA!B20</f>
        <v>0</v>
      </c>
      <c r="F12" s="47"/>
      <c r="G12" s="46">
        <f>ISRA!B21</f>
        <v>2</v>
      </c>
      <c r="H12" s="54" t="str">
        <f>ISRA!B22</f>
        <v>0</v>
      </c>
      <c r="I12" s="49">
        <f t="shared" si="0"/>
        <v>4</v>
      </c>
      <c r="J12" s="38"/>
      <c r="K12" s="53">
        <v>10</v>
      </c>
      <c r="L12" s="50" t="str">
        <f>ISRA!C48</f>
        <v>0</v>
      </c>
      <c r="M12" s="47"/>
      <c r="N12" s="50">
        <f>ISRA!C49</f>
        <v>3</v>
      </c>
      <c r="O12" s="50" t="str">
        <f>ISRA!C50</f>
        <v>0</v>
      </c>
      <c r="P12" s="47"/>
      <c r="Q12" s="50">
        <f>ISRA!C51</f>
        <v>2</v>
      </c>
      <c r="R12" s="50" t="str">
        <f>ISRA!C52</f>
        <v>0</v>
      </c>
      <c r="S12" s="50">
        <f>ISRA!C53</f>
        <v>2</v>
      </c>
      <c r="T12" s="50">
        <f>ISRA!C54</f>
        <v>2</v>
      </c>
      <c r="U12" s="51" t="str">
        <f>ISRA!C55</f>
        <v>0</v>
      </c>
      <c r="V12" s="49">
        <f t="shared" si="1"/>
        <v>9</v>
      </c>
      <c r="W12" s="38"/>
      <c r="X12" s="53">
        <v>10</v>
      </c>
      <c r="Y12" s="47"/>
      <c r="Z12" s="47"/>
      <c r="AA12" s="50" t="str">
        <f>ISRA!D27</f>
        <v>0</v>
      </c>
      <c r="AB12" s="47"/>
      <c r="AC12" s="47"/>
      <c r="AD12" s="47"/>
      <c r="AE12" s="48"/>
      <c r="AF12" s="49">
        <f t="shared" si="2"/>
        <v>0</v>
      </c>
      <c r="AG12" s="38"/>
      <c r="AH12" s="45"/>
      <c r="AI12" s="45"/>
      <c r="AJ12" s="45"/>
    </row>
    <row r="13" spans="1:36" ht="15" customHeight="1" x14ac:dyDescent="0.25">
      <c r="A13" s="53">
        <v>11</v>
      </c>
      <c r="B13" s="47"/>
      <c r="C13" s="47"/>
      <c r="D13" s="47"/>
      <c r="E13" s="47"/>
      <c r="F13" s="47"/>
      <c r="G13" s="46" t="str">
        <f>ISRA!B23</f>
        <v>0</v>
      </c>
      <c r="H13" s="48"/>
      <c r="I13" s="49">
        <f t="shared" si="0"/>
        <v>0</v>
      </c>
      <c r="J13" s="38"/>
      <c r="K13" s="53">
        <v>11</v>
      </c>
      <c r="L13" s="47"/>
      <c r="M13" s="47"/>
      <c r="N13" s="47"/>
      <c r="O13" s="47"/>
      <c r="P13" s="50" t="str">
        <f>ISRA!C56</f>
        <v>0</v>
      </c>
      <c r="Q13" s="50">
        <f>ISRA!C57</f>
        <v>2</v>
      </c>
      <c r="R13" s="50" t="str">
        <f>ISRA!C58</f>
        <v>0</v>
      </c>
      <c r="S13" s="47"/>
      <c r="T13" s="47"/>
      <c r="U13" s="51" t="str">
        <f>ISRA!C59</f>
        <v>0</v>
      </c>
      <c r="V13" s="49">
        <f t="shared" si="1"/>
        <v>2</v>
      </c>
      <c r="W13" s="38"/>
      <c r="X13" s="53">
        <v>11</v>
      </c>
      <c r="Y13" s="47"/>
      <c r="Z13" s="50">
        <f>ISRA!D28</f>
        <v>3</v>
      </c>
      <c r="AA13" s="50" t="str">
        <f>ISRA!D29</f>
        <v>0</v>
      </c>
      <c r="AB13" s="47"/>
      <c r="AC13" s="50">
        <f>ISRA!D30</f>
        <v>2</v>
      </c>
      <c r="AD13" s="47"/>
      <c r="AE13" s="48"/>
      <c r="AF13" s="49">
        <f t="shared" si="2"/>
        <v>5</v>
      </c>
      <c r="AG13" s="38"/>
      <c r="AH13" s="45"/>
      <c r="AI13" s="45"/>
      <c r="AJ13" s="45"/>
    </row>
    <row r="14" spans="1:36" ht="15" customHeight="1" x14ac:dyDescent="0.25">
      <c r="A14" s="53">
        <v>12</v>
      </c>
      <c r="B14" s="47"/>
      <c r="C14" s="47"/>
      <c r="D14" s="46" t="str">
        <f>ISRA!B24</f>
        <v>0</v>
      </c>
      <c r="E14" s="47"/>
      <c r="F14" s="46">
        <f>ISRA!B25</f>
        <v>4</v>
      </c>
      <c r="G14" s="46" t="str">
        <f>ISRA!B26</f>
        <v>0</v>
      </c>
      <c r="H14" s="48"/>
      <c r="I14" s="49">
        <f t="shared" si="0"/>
        <v>4</v>
      </c>
      <c r="J14" s="38"/>
      <c r="K14" s="53">
        <v>12</v>
      </c>
      <c r="L14" s="47"/>
      <c r="M14" s="50">
        <f>ISRA!C60</f>
        <v>2</v>
      </c>
      <c r="N14" s="50">
        <f>ISRA!C61</f>
        <v>3</v>
      </c>
      <c r="O14" s="50">
        <f>ISRA!C62</f>
        <v>2</v>
      </c>
      <c r="P14" s="47"/>
      <c r="Q14" s="50" t="str">
        <f>ISRA!C63</f>
        <v>0</v>
      </c>
      <c r="R14" s="50" t="str">
        <f>ISRA!C64</f>
        <v>0</v>
      </c>
      <c r="S14" s="50">
        <f>ISRA!C65</f>
        <v>2</v>
      </c>
      <c r="T14" s="50" t="str">
        <f>ISRA!C66</f>
        <v>0</v>
      </c>
      <c r="U14" s="48"/>
      <c r="V14" s="49">
        <f t="shared" si="1"/>
        <v>9</v>
      </c>
      <c r="W14" s="38"/>
      <c r="X14" s="53">
        <v>12</v>
      </c>
      <c r="Y14" s="47"/>
      <c r="Z14" s="50">
        <f>ISRA!D31</f>
        <v>3</v>
      </c>
      <c r="AA14" s="47"/>
      <c r="AB14" s="50">
        <f>ISRA!D32</f>
        <v>3</v>
      </c>
      <c r="AC14" s="50">
        <f>ISRA!D33</f>
        <v>4</v>
      </c>
      <c r="AD14" s="50">
        <f>ISRA!D34</f>
        <v>2</v>
      </c>
      <c r="AE14" s="48"/>
      <c r="AF14" s="49">
        <f t="shared" si="2"/>
        <v>12</v>
      </c>
      <c r="AG14" s="38"/>
      <c r="AH14" s="45"/>
      <c r="AI14" s="45"/>
      <c r="AJ14" s="45"/>
    </row>
    <row r="15" spans="1:36" ht="15" customHeight="1" x14ac:dyDescent="0.25">
      <c r="A15" s="53">
        <v>13</v>
      </c>
      <c r="B15" s="47"/>
      <c r="C15" s="47"/>
      <c r="D15" s="47"/>
      <c r="E15" s="46">
        <f>ISRA!B27</f>
        <v>2</v>
      </c>
      <c r="F15" s="46" t="str">
        <f>ISRA!B28</f>
        <v>0</v>
      </c>
      <c r="G15" s="46">
        <f>ISRA!B29</f>
        <v>2</v>
      </c>
      <c r="H15" s="54" t="str">
        <f>ISRA!B30</f>
        <v>0</v>
      </c>
      <c r="I15" s="49">
        <f t="shared" si="0"/>
        <v>4</v>
      </c>
      <c r="J15" s="38"/>
      <c r="K15" s="53">
        <v>13</v>
      </c>
      <c r="L15" s="47"/>
      <c r="M15" s="50">
        <f>ISRA!C67</f>
        <v>3</v>
      </c>
      <c r="N15" s="50">
        <f>ISRA!C68</f>
        <v>3</v>
      </c>
      <c r="O15" s="50">
        <f>ISRA!C69</f>
        <v>3</v>
      </c>
      <c r="P15" s="47"/>
      <c r="Q15" s="47"/>
      <c r="R15" s="50" t="str">
        <f>ISRA!C70</f>
        <v>0</v>
      </c>
      <c r="S15" s="47"/>
      <c r="T15" s="47"/>
      <c r="U15" s="51" t="str">
        <f>ISRA!C71</f>
        <v>0</v>
      </c>
      <c r="V15" s="49">
        <f t="shared" si="1"/>
        <v>9</v>
      </c>
      <c r="W15" s="38"/>
      <c r="X15" s="53">
        <v>13</v>
      </c>
      <c r="Y15" s="50">
        <f>ISRA!D35</f>
        <v>3</v>
      </c>
      <c r="Z15" s="47"/>
      <c r="AA15" s="50" t="str">
        <f>ISRA!D36</f>
        <v>0</v>
      </c>
      <c r="AB15" s="47"/>
      <c r="AC15" s="47"/>
      <c r="AD15" s="47"/>
      <c r="AE15" s="48"/>
      <c r="AF15" s="49">
        <f t="shared" si="2"/>
        <v>3</v>
      </c>
      <c r="AG15" s="38"/>
      <c r="AH15" s="45"/>
      <c r="AI15" s="45"/>
      <c r="AJ15" s="45"/>
    </row>
    <row r="16" spans="1:36" ht="15" customHeight="1" x14ac:dyDescent="0.25">
      <c r="A16" s="53">
        <v>14</v>
      </c>
      <c r="B16" s="46">
        <f>ISRA!B31</f>
        <v>3</v>
      </c>
      <c r="C16" s="47"/>
      <c r="D16" s="47"/>
      <c r="E16" s="47"/>
      <c r="F16" s="47"/>
      <c r="G16" s="47"/>
      <c r="H16" s="48"/>
      <c r="I16" s="49">
        <f t="shared" si="0"/>
        <v>3</v>
      </c>
      <c r="J16" s="38"/>
      <c r="K16" s="53">
        <v>14</v>
      </c>
      <c r="L16" s="47"/>
      <c r="M16" s="47"/>
      <c r="N16" s="47"/>
      <c r="O16" s="50" t="str">
        <f>ISRA!C72</f>
        <v>0</v>
      </c>
      <c r="P16" s="47"/>
      <c r="Q16" s="47"/>
      <c r="R16" s="50" t="str">
        <f>ISRA!C73</f>
        <v>0</v>
      </c>
      <c r="S16" s="47"/>
      <c r="T16" s="47"/>
      <c r="U16" s="51">
        <f>ISRA!C74</f>
        <v>3</v>
      </c>
      <c r="V16" s="49">
        <f t="shared" si="1"/>
        <v>3</v>
      </c>
      <c r="W16" s="38"/>
      <c r="X16" s="53">
        <v>14</v>
      </c>
      <c r="Y16" s="47"/>
      <c r="Z16" s="47"/>
      <c r="AA16" s="47"/>
      <c r="AB16" s="47"/>
      <c r="AC16" s="50">
        <f>ISRA!D37</f>
        <v>1</v>
      </c>
      <c r="AD16" s="47"/>
      <c r="AE16" s="51">
        <f>ISRA!D38</f>
        <v>3</v>
      </c>
      <c r="AF16" s="49">
        <f t="shared" si="2"/>
        <v>4</v>
      </c>
      <c r="AG16" s="38"/>
      <c r="AH16" s="45"/>
      <c r="AI16" s="45"/>
      <c r="AJ16" s="45"/>
    </row>
    <row r="17" spans="1:36" ht="15" customHeight="1" x14ac:dyDescent="0.25">
      <c r="A17" s="53">
        <v>15</v>
      </c>
      <c r="B17" s="47"/>
      <c r="C17" s="47"/>
      <c r="D17" s="47"/>
      <c r="E17" s="47"/>
      <c r="F17" s="46" t="str">
        <f>ISRA!B32</f>
        <v>0</v>
      </c>
      <c r="G17" s="47"/>
      <c r="H17" s="48"/>
      <c r="I17" s="49">
        <f t="shared" si="0"/>
        <v>0</v>
      </c>
      <c r="J17" s="38"/>
      <c r="K17" s="53">
        <v>15</v>
      </c>
      <c r="L17" s="47"/>
      <c r="M17" s="47"/>
      <c r="N17" s="50">
        <f>ISRA!C75</f>
        <v>2</v>
      </c>
      <c r="O17" s="50" t="str">
        <f>ISRA!C76</f>
        <v>0</v>
      </c>
      <c r="P17" s="47"/>
      <c r="Q17" s="47"/>
      <c r="R17" s="50" t="str">
        <f>ISRA!C77</f>
        <v>0</v>
      </c>
      <c r="S17" s="47"/>
      <c r="T17" s="50" t="str">
        <f>ISRA!C78</f>
        <v>0</v>
      </c>
      <c r="U17" s="48"/>
      <c r="V17" s="49">
        <f t="shared" si="1"/>
        <v>2</v>
      </c>
      <c r="W17" s="38"/>
      <c r="X17" s="53">
        <v>15</v>
      </c>
      <c r="Y17" s="47"/>
      <c r="Z17" s="47"/>
      <c r="AA17" s="47"/>
      <c r="AB17" s="50" t="str">
        <f>ISRA!D39</f>
        <v>0</v>
      </c>
      <c r="AC17" s="47"/>
      <c r="AD17" s="47"/>
      <c r="AE17" s="48"/>
      <c r="AF17" s="49">
        <f t="shared" si="2"/>
        <v>0</v>
      </c>
      <c r="AG17" s="38"/>
      <c r="AH17" s="45"/>
      <c r="AI17" s="45"/>
      <c r="AJ17" s="45"/>
    </row>
    <row r="18" spans="1:36" ht="15" customHeight="1" x14ac:dyDescent="0.25">
      <c r="A18" s="53">
        <v>16</v>
      </c>
      <c r="B18" s="47"/>
      <c r="C18" s="47"/>
      <c r="D18" s="47"/>
      <c r="E18" s="47"/>
      <c r="F18" s="47"/>
      <c r="G18" s="46">
        <f>ISRA!B33</f>
        <v>3</v>
      </c>
      <c r="H18" s="48"/>
      <c r="I18" s="49">
        <f t="shared" si="0"/>
        <v>3</v>
      </c>
      <c r="J18" s="38"/>
      <c r="K18" s="53">
        <v>16</v>
      </c>
      <c r="L18" s="47"/>
      <c r="M18" s="50">
        <f>ISRA!C79</f>
        <v>3</v>
      </c>
      <c r="N18" s="50">
        <f>ISRA!C80</f>
        <v>3</v>
      </c>
      <c r="O18" s="50">
        <f>ISRA!C81</f>
        <v>2</v>
      </c>
      <c r="P18" s="50">
        <f>ISRA!C82</f>
        <v>3</v>
      </c>
      <c r="Q18" s="47"/>
      <c r="R18" s="50" t="str">
        <f>ISRA!C83</f>
        <v>0</v>
      </c>
      <c r="S18" s="47"/>
      <c r="T18" s="50" t="str">
        <f>ISRA!C84</f>
        <v>0</v>
      </c>
      <c r="U18" s="48"/>
      <c r="V18" s="49">
        <f t="shared" si="1"/>
        <v>11</v>
      </c>
      <c r="W18" s="38"/>
      <c r="X18" s="53">
        <v>16</v>
      </c>
      <c r="Y18" s="47"/>
      <c r="Z18" s="50">
        <f>ISRA!D40</f>
        <v>3</v>
      </c>
      <c r="AA18" s="50" t="str">
        <f>ISRA!D41</f>
        <v>0</v>
      </c>
      <c r="AB18" s="47"/>
      <c r="AC18" s="47"/>
      <c r="AD18" s="47"/>
      <c r="AE18" s="48"/>
      <c r="AF18" s="49">
        <f t="shared" si="2"/>
        <v>3</v>
      </c>
      <c r="AG18" s="38"/>
      <c r="AH18" s="45"/>
      <c r="AI18" s="45"/>
      <c r="AJ18" s="45"/>
    </row>
    <row r="19" spans="1:36" ht="15" customHeight="1" x14ac:dyDescent="0.25">
      <c r="A19" s="53">
        <v>17</v>
      </c>
      <c r="B19" s="46" t="str">
        <f>ISRA!B34</f>
        <v>0</v>
      </c>
      <c r="C19" s="46" t="str">
        <f>ISRA!B35</f>
        <v>0</v>
      </c>
      <c r="D19" s="47"/>
      <c r="E19" s="47"/>
      <c r="F19" s="46" t="str">
        <f>ISRA!B36</f>
        <v>0</v>
      </c>
      <c r="G19" s="46">
        <f>ISRA!B37</f>
        <v>4</v>
      </c>
      <c r="H19" s="54" t="str">
        <f>ISRA!B38</f>
        <v>0</v>
      </c>
      <c r="I19" s="49">
        <f t="shared" si="0"/>
        <v>4</v>
      </c>
      <c r="J19" s="38"/>
      <c r="K19" s="53">
        <v>17</v>
      </c>
      <c r="L19" s="50" t="str">
        <f>ISRA!C85</f>
        <v>0</v>
      </c>
      <c r="M19" s="50" t="str">
        <f>ISRA!C86</f>
        <v>0</v>
      </c>
      <c r="N19" s="50" t="str">
        <f>ISRA!C87</f>
        <v>0</v>
      </c>
      <c r="O19" s="50">
        <f>ISRA!C88</f>
        <v>2</v>
      </c>
      <c r="P19" s="47"/>
      <c r="Q19" s="47"/>
      <c r="R19" s="50" t="str">
        <f>ISRA!C89</f>
        <v>0</v>
      </c>
      <c r="S19" s="47"/>
      <c r="T19" s="47"/>
      <c r="U19" s="48"/>
      <c r="V19" s="49">
        <f t="shared" si="1"/>
        <v>2</v>
      </c>
      <c r="W19" s="38"/>
      <c r="X19" s="53">
        <v>17</v>
      </c>
      <c r="Y19" s="50" t="str">
        <f>ISRA!D42</f>
        <v>0</v>
      </c>
      <c r="Z19" s="50" t="str">
        <f>ISRA!D43</f>
        <v>0</v>
      </c>
      <c r="AA19" s="50" t="str">
        <f>ISRA!D44</f>
        <v>0</v>
      </c>
      <c r="AB19" s="47"/>
      <c r="AC19" s="50">
        <f>ISRA!D45</f>
        <v>1</v>
      </c>
      <c r="AD19" s="50" t="str">
        <f>ISRA!D46</f>
        <v>0</v>
      </c>
      <c r="AE19" s="48"/>
      <c r="AF19" s="49">
        <f t="shared" si="2"/>
        <v>1</v>
      </c>
      <c r="AG19" s="38"/>
      <c r="AH19" s="45"/>
      <c r="AI19" s="45"/>
      <c r="AJ19" s="45"/>
    </row>
    <row r="20" spans="1:36" ht="15" customHeight="1" x14ac:dyDescent="0.25">
      <c r="A20" s="53">
        <v>18</v>
      </c>
      <c r="B20" s="47"/>
      <c r="C20" s="47"/>
      <c r="D20" s="46" t="str">
        <f>ISRA!B39</f>
        <v>0</v>
      </c>
      <c r="E20" s="47"/>
      <c r="F20" s="47"/>
      <c r="G20" s="46" t="str">
        <f>ISRA!B40</f>
        <v>0</v>
      </c>
      <c r="H20" s="48"/>
      <c r="I20" s="49">
        <f t="shared" si="0"/>
        <v>0</v>
      </c>
      <c r="J20" s="38"/>
      <c r="K20" s="53">
        <v>18</v>
      </c>
      <c r="L20" s="50" t="str">
        <f>ISRA!C90</f>
        <v>0</v>
      </c>
      <c r="M20" s="47"/>
      <c r="N20" s="50" t="str">
        <f>ISRA!C91</f>
        <v>0</v>
      </c>
      <c r="O20" s="50" t="str">
        <f>ISRA!C92</f>
        <v>0</v>
      </c>
      <c r="P20" s="47"/>
      <c r="Q20" s="47"/>
      <c r="R20" s="50" t="str">
        <f>ISRA!C93</f>
        <v>0</v>
      </c>
      <c r="S20" s="47"/>
      <c r="T20" s="50" t="str">
        <f>ISRA!C94</f>
        <v>0</v>
      </c>
      <c r="U20" s="48"/>
      <c r="V20" s="49">
        <f t="shared" si="1"/>
        <v>0</v>
      </c>
      <c r="W20" s="38"/>
      <c r="X20" s="53">
        <v>18</v>
      </c>
      <c r="Y20" s="50" t="str">
        <f>ISRA!D47</f>
        <v>0</v>
      </c>
      <c r="Z20" s="47"/>
      <c r="AA20" s="50" t="str">
        <f>ISRA!D48</f>
        <v>0</v>
      </c>
      <c r="AB20" s="50" t="str">
        <f>ISRA!D49</f>
        <v>0</v>
      </c>
      <c r="AC20" s="47"/>
      <c r="AD20" s="50" t="str">
        <f>ISRA!D50</f>
        <v>0</v>
      </c>
      <c r="AE20" s="51" t="str">
        <f>ISRA!D51</f>
        <v>0</v>
      </c>
      <c r="AF20" s="49">
        <f t="shared" si="2"/>
        <v>0</v>
      </c>
      <c r="AG20" s="38"/>
      <c r="AH20" s="45"/>
      <c r="AI20" s="45"/>
      <c r="AJ20" s="45"/>
    </row>
    <row r="21" spans="1:36" ht="15" customHeight="1" x14ac:dyDescent="0.25">
      <c r="A21" s="53">
        <v>19</v>
      </c>
      <c r="B21" s="46">
        <f>ISRA!B41</f>
        <v>3</v>
      </c>
      <c r="C21" s="46" t="str">
        <f>ISRA!B42</f>
        <v>0</v>
      </c>
      <c r="D21" s="46" t="str">
        <f>ISRA!B43</f>
        <v>0</v>
      </c>
      <c r="E21" s="47"/>
      <c r="F21" s="46">
        <f>ISRA!B44</f>
        <v>3</v>
      </c>
      <c r="G21" s="47"/>
      <c r="H21" s="54" t="str">
        <f>ISRA!B45</f>
        <v>0</v>
      </c>
      <c r="I21" s="49">
        <f t="shared" si="0"/>
        <v>6</v>
      </c>
      <c r="J21" s="38"/>
      <c r="K21" s="53">
        <v>19</v>
      </c>
      <c r="L21" s="47"/>
      <c r="M21" s="47"/>
      <c r="N21" s="50">
        <f>ISRA!C95</f>
        <v>3</v>
      </c>
      <c r="O21" s="47"/>
      <c r="P21" s="47"/>
      <c r="Q21" s="50">
        <f>ISRA!C96</f>
        <v>3</v>
      </c>
      <c r="R21" s="50">
        <f>ISRA!C97</f>
        <v>3</v>
      </c>
      <c r="S21" s="50">
        <f>ISRA!C98</f>
        <v>3</v>
      </c>
      <c r="T21" s="50" t="str">
        <f>ISRA!C99</f>
        <v>0</v>
      </c>
      <c r="U21" s="51">
        <f>ISRA!C100</f>
        <v>3</v>
      </c>
      <c r="V21" s="49">
        <f t="shared" si="1"/>
        <v>15</v>
      </c>
      <c r="W21" s="38"/>
      <c r="X21" s="53">
        <v>19</v>
      </c>
      <c r="Y21" s="47"/>
      <c r="Z21" s="47"/>
      <c r="AA21" s="47"/>
      <c r="AB21" s="47"/>
      <c r="AC21" s="47"/>
      <c r="AD21" s="50">
        <f>ISRA!D52</f>
        <v>3</v>
      </c>
      <c r="AE21" s="48"/>
      <c r="AF21" s="49">
        <f t="shared" si="2"/>
        <v>3</v>
      </c>
      <c r="AG21" s="38"/>
      <c r="AH21" s="45"/>
      <c r="AI21" s="45"/>
      <c r="AJ21" s="45"/>
    </row>
    <row r="22" spans="1:36" ht="15" customHeight="1" x14ac:dyDescent="0.25">
      <c r="A22" s="53">
        <v>20</v>
      </c>
      <c r="B22" s="46">
        <f>ISRA!B46</f>
        <v>2</v>
      </c>
      <c r="C22" s="46" t="str">
        <f>ISRA!B47</f>
        <v>0</v>
      </c>
      <c r="D22" s="47"/>
      <c r="E22" s="47"/>
      <c r="F22" s="46">
        <f>ISRA!B48</f>
        <v>4</v>
      </c>
      <c r="G22" s="47"/>
      <c r="H22" s="48"/>
      <c r="I22" s="49">
        <f t="shared" si="0"/>
        <v>6</v>
      </c>
      <c r="J22" s="38"/>
      <c r="K22" s="53">
        <v>20</v>
      </c>
      <c r="L22" s="50">
        <f>ISRA!C101</f>
        <v>4</v>
      </c>
      <c r="M22" s="47"/>
      <c r="N22" s="47"/>
      <c r="O22" s="47"/>
      <c r="P22" s="47"/>
      <c r="Q22" s="50" t="str">
        <f>ISRA!C102</f>
        <v>0</v>
      </c>
      <c r="R22" s="50">
        <f>ISRA!C103</f>
        <v>2</v>
      </c>
      <c r="S22" s="50">
        <f>ISRA!C104</f>
        <v>1</v>
      </c>
      <c r="T22" s="47"/>
      <c r="U22" s="48"/>
      <c r="V22" s="49">
        <f t="shared" si="1"/>
        <v>7</v>
      </c>
      <c r="W22" s="38"/>
      <c r="X22" s="53">
        <v>20</v>
      </c>
      <c r="Y22" s="47"/>
      <c r="Z22" s="47"/>
      <c r="AA22" s="50" t="str">
        <f>ISRA!D53</f>
        <v>0</v>
      </c>
      <c r="AB22" s="47"/>
      <c r="AC22" s="50">
        <f>ISRA!D54</f>
        <v>2</v>
      </c>
      <c r="AD22" s="47"/>
      <c r="AE22" s="48"/>
      <c r="AF22" s="49">
        <f t="shared" si="2"/>
        <v>2</v>
      </c>
      <c r="AG22" s="38"/>
      <c r="AH22" s="45"/>
      <c r="AI22" s="45"/>
      <c r="AJ22" s="45"/>
    </row>
    <row r="23" spans="1:36" ht="15" customHeight="1" x14ac:dyDescent="0.25">
      <c r="A23" s="53">
        <v>21</v>
      </c>
      <c r="B23" s="46">
        <f>ISRA!B49</f>
        <v>4</v>
      </c>
      <c r="C23" s="46" t="str">
        <f>ISRA!B50</f>
        <v>0</v>
      </c>
      <c r="D23" s="46" t="str">
        <f>ISRA!B51</f>
        <v>0</v>
      </c>
      <c r="E23" s="46" t="str">
        <f>ISRA!B52</f>
        <v>0</v>
      </c>
      <c r="F23" s="46">
        <f>ISRA!B53</f>
        <v>2</v>
      </c>
      <c r="G23" s="47"/>
      <c r="H23" s="48"/>
      <c r="I23" s="49">
        <f t="shared" si="0"/>
        <v>6</v>
      </c>
      <c r="J23" s="38"/>
      <c r="K23" s="53">
        <v>21</v>
      </c>
      <c r="L23" s="50" t="str">
        <f>ISRA!C105</f>
        <v>0</v>
      </c>
      <c r="M23" s="47"/>
      <c r="N23" s="50">
        <f>ISRA!C106</f>
        <v>1</v>
      </c>
      <c r="O23" s="50">
        <f>ISRA!C107</f>
        <v>1</v>
      </c>
      <c r="P23" s="47"/>
      <c r="Q23" s="50" t="str">
        <f>ISRA!C108</f>
        <v>0</v>
      </c>
      <c r="R23" s="50" t="str">
        <f>ISRA!C109</f>
        <v>0</v>
      </c>
      <c r="S23" s="50" t="str">
        <f>ISRA!C110</f>
        <v>0</v>
      </c>
      <c r="T23" s="50" t="str">
        <f>ISRA!C111</f>
        <v>0</v>
      </c>
      <c r="U23" s="48"/>
      <c r="V23" s="49">
        <f t="shared" si="1"/>
        <v>2</v>
      </c>
      <c r="W23" s="38"/>
      <c r="X23" s="53">
        <v>21</v>
      </c>
      <c r="Y23" s="47"/>
      <c r="Z23" s="47"/>
      <c r="AA23" s="47"/>
      <c r="AB23" s="47"/>
      <c r="AC23" s="47"/>
      <c r="AD23" s="47"/>
      <c r="AE23" s="51">
        <f>ISRA!D55</f>
        <v>3</v>
      </c>
      <c r="AF23" s="49">
        <f t="shared" si="2"/>
        <v>3</v>
      </c>
      <c r="AG23" s="38"/>
      <c r="AH23" s="45"/>
      <c r="AI23" s="45"/>
      <c r="AJ23" s="45"/>
    </row>
    <row r="24" spans="1:36" ht="15" customHeight="1" x14ac:dyDescent="0.25">
      <c r="A24" s="53">
        <v>22</v>
      </c>
      <c r="B24" s="46" t="str">
        <f>ISRA!B54</f>
        <v>0</v>
      </c>
      <c r="C24" s="46" t="str">
        <f>ISRA!B55</f>
        <v>0</v>
      </c>
      <c r="D24" s="47"/>
      <c r="E24" s="47"/>
      <c r="F24" s="47"/>
      <c r="G24" s="47"/>
      <c r="H24" s="54" t="str">
        <f>ISRA!B56</f>
        <v>0</v>
      </c>
      <c r="I24" s="49">
        <f t="shared" si="0"/>
        <v>0</v>
      </c>
      <c r="J24" s="38"/>
      <c r="K24" s="53">
        <v>22</v>
      </c>
      <c r="L24" s="47"/>
      <c r="M24" s="47"/>
      <c r="N24" s="47"/>
      <c r="O24" s="50" t="str">
        <f>ISRA!C112</f>
        <v>0</v>
      </c>
      <c r="P24" s="47"/>
      <c r="Q24" s="47"/>
      <c r="R24" s="47"/>
      <c r="S24" s="47"/>
      <c r="T24" s="47"/>
      <c r="U24" s="48"/>
      <c r="V24" s="49">
        <f t="shared" si="1"/>
        <v>0</v>
      </c>
      <c r="W24" s="38"/>
      <c r="X24" s="53">
        <v>22</v>
      </c>
      <c r="Y24" s="47"/>
      <c r="Z24" s="47"/>
      <c r="AA24" s="47"/>
      <c r="AB24" s="47"/>
      <c r="AC24" s="50">
        <f>ISRA!D56</f>
        <v>3</v>
      </c>
      <c r="AD24" s="47"/>
      <c r="AE24" s="48"/>
      <c r="AF24" s="49">
        <f t="shared" si="2"/>
        <v>3</v>
      </c>
      <c r="AG24" s="38"/>
      <c r="AH24" s="45"/>
      <c r="AI24" s="45"/>
      <c r="AJ24" s="45"/>
    </row>
    <row r="25" spans="1:36" ht="15" customHeight="1" x14ac:dyDescent="0.25">
      <c r="A25" s="53">
        <v>23</v>
      </c>
      <c r="B25" s="46">
        <f>ISRA!B58</f>
        <v>2</v>
      </c>
      <c r="C25" s="46" t="str">
        <f>ISRA!B59</f>
        <v>0</v>
      </c>
      <c r="D25" s="46" t="str">
        <f>ISRA!B60</f>
        <v>0</v>
      </c>
      <c r="E25" s="46">
        <f>ISRA!B61</f>
        <v>2</v>
      </c>
      <c r="F25" s="46">
        <f>ISRA!B62</f>
        <v>2</v>
      </c>
      <c r="G25" s="46">
        <f>ISRA!B63</f>
        <v>2</v>
      </c>
      <c r="H25" s="54" t="str">
        <f>ISRA!B64</f>
        <v>0</v>
      </c>
      <c r="I25" s="49">
        <f t="shared" si="0"/>
        <v>8</v>
      </c>
      <c r="J25" s="38"/>
      <c r="K25" s="53">
        <v>23</v>
      </c>
      <c r="L25" s="50" t="str">
        <f>ISRA!C114</f>
        <v>0</v>
      </c>
      <c r="M25" s="50">
        <f>ISRA!C115</f>
        <v>3</v>
      </c>
      <c r="N25" s="50">
        <f>ISRA!C116</f>
        <v>2</v>
      </c>
      <c r="O25" s="50">
        <f>ISRA!C117</f>
        <v>3</v>
      </c>
      <c r="P25" s="50">
        <f>ISRA!C118</f>
        <v>1</v>
      </c>
      <c r="Q25" s="50" t="str">
        <f>ISRA!C119</f>
        <v>0</v>
      </c>
      <c r="R25" s="50" t="str">
        <f>ISRA!C120</f>
        <v>0</v>
      </c>
      <c r="S25" s="50" t="str">
        <f>ISRA!C121</f>
        <v>0</v>
      </c>
      <c r="T25" s="50" t="str">
        <f>ISRA!C122</f>
        <v>0</v>
      </c>
      <c r="U25" s="51">
        <f>ISRA!C123</f>
        <v>1</v>
      </c>
      <c r="V25" s="49">
        <f t="shared" si="1"/>
        <v>10</v>
      </c>
      <c r="W25" s="38"/>
      <c r="X25" s="53">
        <v>23</v>
      </c>
      <c r="Y25" s="50">
        <f>ISRA!D58</f>
        <v>3</v>
      </c>
      <c r="Z25" s="50">
        <f>ISRA!D59</f>
        <v>3</v>
      </c>
      <c r="AA25" s="50" t="str">
        <f>ISRA!D60</f>
        <v>0</v>
      </c>
      <c r="AB25" s="50">
        <f>ISRA!D61</f>
        <v>1</v>
      </c>
      <c r="AC25" s="50">
        <f>ISRA!D62</f>
        <v>3</v>
      </c>
      <c r="AD25" s="50">
        <f>ISRA!D63</f>
        <v>1</v>
      </c>
      <c r="AE25" s="51">
        <f>ISRA!D64</f>
        <v>3</v>
      </c>
      <c r="AF25" s="49">
        <f t="shared" si="2"/>
        <v>14</v>
      </c>
      <c r="AG25" s="38"/>
      <c r="AH25" s="45"/>
      <c r="AI25" s="45"/>
      <c r="AJ25" s="45"/>
    </row>
    <row r="26" spans="1:36" ht="15" customHeight="1" x14ac:dyDescent="0.25">
      <c r="A26" s="55"/>
      <c r="B26" s="55"/>
      <c r="C26" s="55"/>
      <c r="D26" s="55"/>
      <c r="E26" s="55"/>
      <c r="F26" s="55"/>
      <c r="G26" s="55"/>
      <c r="H26" s="56" t="s">
        <v>1232</v>
      </c>
      <c r="I26" s="57">
        <f>SUM(I3:I25)</f>
        <v>62</v>
      </c>
      <c r="J26" s="38"/>
      <c r="K26" s="55"/>
      <c r="L26" s="55"/>
      <c r="M26" s="55"/>
      <c r="N26" s="55"/>
      <c r="O26" s="55"/>
      <c r="P26" s="55"/>
      <c r="Q26" s="55"/>
      <c r="R26" s="58"/>
      <c r="S26" s="56"/>
      <c r="T26" s="56"/>
      <c r="U26" s="56" t="s">
        <v>1232</v>
      </c>
      <c r="V26" s="59">
        <f>SUM(V3:V25)</f>
        <v>115</v>
      </c>
      <c r="W26" s="38"/>
      <c r="X26" s="55"/>
      <c r="Y26" s="55"/>
      <c r="Z26" s="55"/>
      <c r="AA26" s="55"/>
      <c r="AB26" s="55"/>
      <c r="AC26" s="55"/>
      <c r="AD26" s="55"/>
      <c r="AE26" s="56" t="s">
        <v>1232</v>
      </c>
      <c r="AF26" s="57">
        <f>SUM(AF2:AF25)</f>
        <v>95</v>
      </c>
      <c r="AG26" s="45"/>
      <c r="AH26" s="45"/>
      <c r="AI26" s="45"/>
      <c r="AJ26" s="45"/>
    </row>
    <row r="27" spans="1:36" ht="15" customHeight="1" x14ac:dyDescent="0.25">
      <c r="A27" s="55"/>
      <c r="B27" s="55"/>
      <c r="C27" s="55"/>
      <c r="D27" s="55"/>
      <c r="E27" s="55"/>
      <c r="F27" s="55"/>
      <c r="G27" s="55"/>
      <c r="H27" s="56"/>
      <c r="I27" s="38"/>
      <c r="J27" s="38"/>
      <c r="K27" s="55"/>
      <c r="L27" s="55"/>
      <c r="M27" s="55"/>
      <c r="N27" s="55"/>
      <c r="O27" s="55"/>
      <c r="P27" s="55"/>
      <c r="Q27" s="55"/>
      <c r="R27" s="58"/>
      <c r="S27" s="56"/>
      <c r="T27" s="56"/>
      <c r="U27" s="56"/>
      <c r="V27" s="57">
        <f>V26/2</f>
        <v>57.5</v>
      </c>
      <c r="W27" s="38"/>
      <c r="X27" s="55"/>
      <c r="Y27" s="55"/>
      <c r="Z27" s="55"/>
      <c r="AA27" s="55"/>
      <c r="AB27" s="55"/>
      <c r="AC27" s="55"/>
      <c r="AD27" s="55"/>
      <c r="AE27" s="56"/>
      <c r="AF27" s="38"/>
      <c r="AG27" s="38"/>
      <c r="AH27" s="38"/>
      <c r="AI27" s="38"/>
      <c r="AJ27" s="38"/>
    </row>
  </sheetData>
  <mergeCells count="3">
    <mergeCell ref="A1:I1"/>
    <mergeCell ref="K1:V1"/>
    <mergeCell ref="X1:A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22"/>
  <sheetViews>
    <sheetView workbookViewId="0"/>
  </sheetViews>
  <sheetFormatPr baseColWidth="10" defaultColWidth="12.6640625" defaultRowHeight="15.75" customHeight="1" x14ac:dyDescent="0.25"/>
  <cols>
    <col min="1" max="1" width="10" customWidth="1"/>
    <col min="2" max="2" width="8" customWidth="1"/>
    <col min="3" max="3" width="8.88671875" customWidth="1"/>
    <col min="4" max="4" width="6.109375" customWidth="1"/>
    <col min="5" max="5" width="4.44140625" customWidth="1"/>
    <col min="6" max="6" width="9.109375" customWidth="1"/>
    <col min="7" max="7" width="10.77734375" customWidth="1"/>
    <col min="8" max="8" width="6" customWidth="1"/>
    <col min="9" max="9" width="8" customWidth="1"/>
    <col min="10" max="18" width="10.88671875" customWidth="1"/>
    <col min="19" max="19" width="4.33203125" customWidth="1"/>
  </cols>
  <sheetData>
    <row r="1" spans="1:19" x14ac:dyDescent="0.25">
      <c r="A1" s="78" t="s">
        <v>1233</v>
      </c>
      <c r="B1" s="60" t="s">
        <v>1215</v>
      </c>
      <c r="C1" s="60" t="s">
        <v>1234</v>
      </c>
      <c r="D1" s="60" t="s">
        <v>1218</v>
      </c>
      <c r="E1" s="60" t="s">
        <v>1235</v>
      </c>
      <c r="F1" s="60" t="s">
        <v>1236</v>
      </c>
      <c r="G1" s="60" t="s">
        <v>1221</v>
      </c>
      <c r="H1" s="60" t="s">
        <v>1237</v>
      </c>
      <c r="I1" s="60" t="s">
        <v>1224</v>
      </c>
      <c r="J1" s="79" t="s">
        <v>1238</v>
      </c>
      <c r="K1" s="61" t="s">
        <v>1215</v>
      </c>
      <c r="L1" s="61" t="s">
        <v>1234</v>
      </c>
      <c r="M1" s="61" t="s">
        <v>1218</v>
      </c>
      <c r="N1" s="61" t="s">
        <v>1235</v>
      </c>
      <c r="O1" s="61" t="s">
        <v>1236</v>
      </c>
      <c r="P1" s="61" t="s">
        <v>1221</v>
      </c>
      <c r="Q1" s="61" t="s">
        <v>1237</v>
      </c>
      <c r="R1" s="61" t="s">
        <v>1224</v>
      </c>
      <c r="S1" s="62"/>
    </row>
    <row r="2" spans="1:19" x14ac:dyDescent="0.25">
      <c r="A2" s="67"/>
      <c r="B2" s="60">
        <f>IF(ISRA!G7&lt;33,5,0)</f>
        <v>0</v>
      </c>
      <c r="C2" s="60">
        <f>IF(ISRA!G8&lt;11,5,0)</f>
        <v>0</v>
      </c>
      <c r="D2" s="60">
        <f>IF(ISRA!G9&lt;14,5,0)</f>
        <v>0</v>
      </c>
      <c r="E2" s="60">
        <f>IF(ISRA!G10&lt;69,5,0)</f>
        <v>0</v>
      </c>
      <c r="F2" s="60">
        <f>IF(ISRA!G12&lt;31,5,0)</f>
        <v>0</v>
      </c>
      <c r="G2" s="60">
        <f>IF(ISRA!G13&lt;4,5,0)</f>
        <v>0</v>
      </c>
      <c r="H2" s="60">
        <f>IF(ISRA!G14&lt;6,5,0)</f>
        <v>0</v>
      </c>
      <c r="I2" s="60">
        <f>IF(ISRA!G15&lt;2,5,0)</f>
        <v>0</v>
      </c>
      <c r="J2" s="67"/>
      <c r="K2" s="61">
        <f>IF(ISRA!G7&lt;23,5,0)</f>
        <v>0</v>
      </c>
      <c r="L2" s="61">
        <f>IF(ISRA!G8&lt;7,5,0)</f>
        <v>0</v>
      </c>
      <c r="M2" s="61">
        <f>IF(ISRA!G9&lt;7,5,0)</f>
        <v>0</v>
      </c>
      <c r="N2" s="61">
        <f>IF(ISRA!G10&lt;55,5,0)</f>
        <v>0</v>
      </c>
      <c r="O2" s="61">
        <f>IF(ISRA!G12&lt;22,5,0)</f>
        <v>0</v>
      </c>
      <c r="P2" s="61">
        <f>IF(ISRA!G13&lt;3,5,0)</f>
        <v>0</v>
      </c>
      <c r="Q2" s="61">
        <f>IF(ISRA!G14&lt;3,5,0)</f>
        <v>0</v>
      </c>
      <c r="R2" s="61">
        <f>IF(ISRA!G15=0,5,0)</f>
        <v>0</v>
      </c>
      <c r="S2" s="62"/>
    </row>
    <row r="3" spans="1:19" x14ac:dyDescent="0.25">
      <c r="A3" s="67"/>
      <c r="B3" s="60">
        <f>IF(ISRA!G7&lt;37,IF(ISRA!G7&gt;32,10,0),0)</f>
        <v>0</v>
      </c>
      <c r="C3" s="60">
        <f>IF(ISRA!G8&lt;13,IF(ISRA!G8&gt;10,10,0),0)</f>
        <v>0</v>
      </c>
      <c r="D3" s="60">
        <f>IF(ISRA!G9&lt;17,IF(ISRA!G9&gt;13,10,0),0)</f>
        <v>0</v>
      </c>
      <c r="E3" s="60">
        <f>IF(ISRA!G10&lt;80,IF(ISRA!G10&gt;68,10,0),0)</f>
        <v>0</v>
      </c>
      <c r="F3" s="60">
        <f>IF(ISRA!G12&lt;36,IF(ISRA!G12&gt;30,10,0),0)</f>
        <v>0</v>
      </c>
      <c r="G3" s="60">
        <f>IF(ISRA!G13&lt;6,IF(ISRA!G13&gt;3,10,0),0)</f>
        <v>0</v>
      </c>
      <c r="H3" s="60">
        <f>IF(ISRA!G14&lt;9,IF(ISRA!G14&gt;5,10,0),0)</f>
        <v>0</v>
      </c>
      <c r="I3" s="60">
        <f>IF(ISRA!G15=2,10,0)</f>
        <v>0</v>
      </c>
      <c r="J3" s="67"/>
      <c r="K3" s="61">
        <f>IF(ISRA!G7&lt;29,IF(ISRA!G7&gt;22,10,0),0)</f>
        <v>0</v>
      </c>
      <c r="L3" s="61">
        <f>IF(ISRA!G8&lt;9,IF(ISRA!G8&gt;6,10,0),0)</f>
        <v>0</v>
      </c>
      <c r="M3" s="61">
        <f>IF(ISRA!G9&lt;12,IF(ISRA!G9&gt;6,10,0),0)</f>
        <v>0</v>
      </c>
      <c r="N3" s="61">
        <f>IF(ISRA!G10&lt;64,IF(ISRA!G10&gt;54,10,0),0)</f>
        <v>0</v>
      </c>
      <c r="O3" s="61">
        <f>IF(ISRA!G12&lt;28,IF(ISRA!G12&gt;21,10,0),0)</f>
        <v>0</v>
      </c>
      <c r="P3" s="61">
        <f>IF(ISRA!G13&lt;4,IF(ISRA!G13&gt;2,10,0),0)</f>
        <v>0</v>
      </c>
      <c r="Q3" s="61">
        <f>IF(ISRA!G14&lt;5,IF(ISRA!G14&gt;2,10,0),0)</f>
        <v>0</v>
      </c>
      <c r="R3" s="61">
        <f>IF(ISRA!G15=1,10,0)</f>
        <v>0</v>
      </c>
      <c r="S3" s="62"/>
    </row>
    <row r="4" spans="1:19" x14ac:dyDescent="0.25">
      <c r="A4" s="67"/>
      <c r="B4" s="60">
        <f>IF(ISRA!G7&lt;40,IF(ISRA!G7&gt;36,15,0),0)</f>
        <v>0</v>
      </c>
      <c r="C4" s="60">
        <f>IF(ISRA!G8&lt;14,IF(ISRA!G8&gt;12,15,0),0)</f>
        <v>0</v>
      </c>
      <c r="D4" s="60">
        <f>IF(ISRA!G9&lt;21,IF(ISRA!G9&gt;16,15,0),0)</f>
        <v>0</v>
      </c>
      <c r="E4" s="60">
        <f>IF(ISRA!G10&lt;88,IF(ISRA!G10&gt;79,15,0),0)</f>
        <v>0</v>
      </c>
      <c r="F4" s="60">
        <f>IF(ISRA!G12&lt;40,IF(ISRA!G12&gt;35,15,0),0)</f>
        <v>0</v>
      </c>
      <c r="G4" s="60">
        <f>IF(ISRA!G13&lt;7,IF(ISRA!G13&gt;5,15,0),0)</f>
        <v>0</v>
      </c>
      <c r="H4" s="60">
        <f>IF(ISRA!G14&lt;12,IF(ISRA!G14&gt;8,15,0),0)</f>
        <v>0</v>
      </c>
      <c r="I4" s="60">
        <f>IF(ISRA!G15=3,15,0)</f>
        <v>0</v>
      </c>
      <c r="J4" s="67"/>
      <c r="K4" s="61">
        <f>IF(ISRA!G7&lt;35,IF(ISRA!G7&gt;28,15,0),0)</f>
        <v>0</v>
      </c>
      <c r="L4" s="61">
        <f>IF(ISRA!G8&lt;11,IF(ISRA!G8&gt;8,15,0),0)</f>
        <v>0</v>
      </c>
      <c r="M4" s="61">
        <f>IF(ISRA!G9&lt;16,IF(ISRA!G9&gt;11,15,0),0)</f>
        <v>0</v>
      </c>
      <c r="N4" s="61">
        <f>IF(ISRA!G10&lt;67,IF(ISRA!G10&gt;63,15,0),0)</f>
        <v>0</v>
      </c>
      <c r="O4" s="61">
        <f>IF(ISRA!G12&lt;31,IF(ISRA!G12&gt;27,15,0),0)</f>
        <v>0</v>
      </c>
      <c r="P4" s="61">
        <f>IF(ISRA!G13&lt;6,IF(ISRA!G13&gt;3,15,0),0)</f>
        <v>0</v>
      </c>
      <c r="Q4" s="61">
        <f>IF(ISRA!G14&lt;8,IF(ISRA!G14&gt;4,15,0),0)</f>
        <v>0</v>
      </c>
      <c r="R4" s="61">
        <f>IF(ISRA!G15=2,20,0)</f>
        <v>0</v>
      </c>
      <c r="S4" s="62"/>
    </row>
    <row r="5" spans="1:19" x14ac:dyDescent="0.25">
      <c r="A5" s="67"/>
      <c r="B5" s="60">
        <f>IF(ISRA!G7&lt;44,IF(ISRA!G7&gt;39,20,0),0)</f>
        <v>0</v>
      </c>
      <c r="C5" s="60">
        <f>IF(ISRA!G8&lt;16,IF(ISRA!G8&gt;13,20,0),0)</f>
        <v>0</v>
      </c>
      <c r="D5" s="60">
        <f>IF(ISRA!G9&lt;24,IF(ISRA!G9&gt;20,20,0),0)</f>
        <v>0</v>
      </c>
      <c r="E5" s="60">
        <f>IF(ISRA!G10&lt;96,IF(ISRA!G10&gt;87,20,0),0)</f>
        <v>0</v>
      </c>
      <c r="F5" s="60">
        <f>IF(ISRA!G12&lt;44,IF(ISRA!G12&gt;39,20,0),0)</f>
        <v>0</v>
      </c>
      <c r="G5" s="60">
        <f>IF(ISRA!G13&lt;8,IF(ISRA!G13&gt;6,20,0),0)</f>
        <v>0</v>
      </c>
      <c r="H5" s="60">
        <f>IF(ISRA!G14&lt;14,IF(ISRA!G14&gt;11,20,0),0)</f>
        <v>0</v>
      </c>
      <c r="I5" s="60">
        <f>IF(ISRA!G15=4,25,0)</f>
        <v>0</v>
      </c>
      <c r="J5" s="67"/>
      <c r="K5" s="61">
        <f>IF(ISRA!G7&lt;38,IF(ISRA!G7&gt;34,20,0),0)</f>
        <v>0</v>
      </c>
      <c r="L5" s="61">
        <f>IF(ISRA!G8&lt;15,IF(ISRA!G8&gt;10,20,0),0)</f>
        <v>0</v>
      </c>
      <c r="M5" s="61">
        <f>IF(ISRA!G9&lt;20,IF(ISRA!G9&gt;15,20,0),0)</f>
        <v>0</v>
      </c>
      <c r="N5" s="61">
        <f>IF(ISRA!G10&lt;73,IF(ISRA!G10&gt;66,20,0),0)</f>
        <v>0</v>
      </c>
      <c r="O5" s="61">
        <f>IF(ISRA!G12&lt;33,IF(ISRA!G12&gt;30,20,0),0)</f>
        <v>0</v>
      </c>
      <c r="P5" s="61">
        <f>IF(ISRA!G13&lt;7,IF(ISRA!G13&gt;5,20,0),0)</f>
        <v>0</v>
      </c>
      <c r="Q5" s="61">
        <f>IF(ISRA!G14&lt;10,IF(ISRA!G14&gt;7,20,0),0)</f>
        <v>0</v>
      </c>
      <c r="R5" s="61">
        <f>IF(ISRA!G15=3,30,0)</f>
        <v>0</v>
      </c>
      <c r="S5" s="62"/>
    </row>
    <row r="6" spans="1:19" x14ac:dyDescent="0.25">
      <c r="A6" s="67"/>
      <c r="B6" s="60">
        <f>IF(ISRA!G7&lt;48,IF(ISRA!G7&gt;43,25,0),0)</f>
        <v>0</v>
      </c>
      <c r="C6" s="60">
        <f>IF(ISRA!G8&lt;20,IF(ISRA!G8&gt;15,25,0),0)</f>
        <v>0</v>
      </c>
      <c r="D6" s="60">
        <f>IF(ISRA!G9&lt;27,IF(ISRA!G9&gt;23,25,0),0)</f>
        <v>0</v>
      </c>
      <c r="E6" s="60">
        <f>IF(ISRA!G10&lt;105,IF(ISRA!G10&gt;95,25,0),0)</f>
        <v>0</v>
      </c>
      <c r="F6" s="60">
        <f>IF(ISRA!G12&lt;49,IF(ISRA!G12&gt;43,25,0),0)</f>
        <v>0</v>
      </c>
      <c r="G6" s="60">
        <f>IF(ISRA!G13&lt;9,IF(ISRA!G13&gt;7,25,0),0)</f>
        <v>25</v>
      </c>
      <c r="H6" s="60">
        <f>IF(ISRA!G14&lt;16,IF(ISRA!G14&gt;13,25,0),0)</f>
        <v>0</v>
      </c>
      <c r="I6" s="60">
        <f>IF(ISRA!G15=5,30,0)</f>
        <v>0</v>
      </c>
      <c r="J6" s="67"/>
      <c r="K6" s="61">
        <f>IF(ISRA!G7&lt;42,IF(ISRA!G7&gt;37,25,0),0)</f>
        <v>0</v>
      </c>
      <c r="L6" s="61">
        <f>IF(ISRA!G8&lt;16,IF(ISRA!G8&gt;14,25,0),0)</f>
        <v>0</v>
      </c>
      <c r="M6" s="61">
        <f>IF(ISRA!G9&lt;22,IF(ISRA!G9&gt;19,25,0),0)</f>
        <v>0</v>
      </c>
      <c r="N6" s="61">
        <f>IF(ISRA!G10&lt;83,IF(ISRA!G10&gt;72,25,0),0)</f>
        <v>0</v>
      </c>
      <c r="O6" s="61">
        <f>IF(ISRA!G12&lt;38,IF(ISRA!G12&gt;32,25,0),0)</f>
        <v>0</v>
      </c>
      <c r="P6" s="61">
        <f>IF(ISRA!G13&lt;8,IF(ISRA!G13&gt;6,25,0),0)</f>
        <v>0</v>
      </c>
      <c r="Q6" s="61">
        <f>IF(ISRA!G14&lt;14,IF(ISRA!G14&gt;9,25,0),0)</f>
        <v>0</v>
      </c>
      <c r="R6" s="61">
        <f>IF(ISRA!G15=4,35,0)</f>
        <v>0</v>
      </c>
      <c r="S6" s="62"/>
    </row>
    <row r="7" spans="1:19" x14ac:dyDescent="0.25">
      <c r="A7" s="67"/>
      <c r="B7" s="60">
        <f>IF(ISRA!G7&lt;52,IF(ISRA!G7&gt;47,30,0),0)</f>
        <v>0</v>
      </c>
      <c r="C7" s="60">
        <f>IF(ISRA!G8&lt;23,IF(ISRA!G8&gt;19,30,0),0)</f>
        <v>0</v>
      </c>
      <c r="D7" s="60">
        <f>IF(ISRA!G9&lt;30,IF(ISRA!G9&gt;26,30,0),0)</f>
        <v>0</v>
      </c>
      <c r="E7" s="60">
        <f>IF(ISRA!G10&lt;112,IF(ISRA!G10&gt;104,30,0),0)</f>
        <v>0</v>
      </c>
      <c r="F7" s="60">
        <f>IF(ISRA!G12&lt;53,IF(ISRA!G12&gt;48,30,0),0)</f>
        <v>0</v>
      </c>
      <c r="G7" s="60">
        <f>IF(ISRA!G13&lt;10,IF(ISRA!G13&gt;8,30,0),0)</f>
        <v>0</v>
      </c>
      <c r="H7" s="60">
        <f>IF(ISRA!G14&lt;20,IF(ISRA!G14&gt;15,30,0),0)</f>
        <v>0</v>
      </c>
      <c r="I7" s="60">
        <f>IF(ISRA!G15=6,35,0)</f>
        <v>0</v>
      </c>
      <c r="J7" s="67"/>
      <c r="K7" s="61">
        <f>IF(ISRA!G7&lt;44,IF(ISRA!G7&gt;41,30,0),0)</f>
        <v>0</v>
      </c>
      <c r="L7" s="61">
        <f>IF(ISRA!G8&lt;19,IF(ISRA!G8&gt;15,30,0),0)</f>
        <v>0</v>
      </c>
      <c r="M7" s="61">
        <f>IF(ISRA!G9&lt;24,IF(ISRA!G9&gt;21,30,0),0)</f>
        <v>0</v>
      </c>
      <c r="N7" s="61">
        <f>IF(ISRA!G10&lt;88,IF(ISRA!G10&gt;82,30,0),0)</f>
        <v>0</v>
      </c>
      <c r="O7" s="61">
        <f>IF(ISRA!G12&lt;45,IF(ISRA!G12&gt;37,30,0),0)</f>
        <v>0</v>
      </c>
      <c r="P7" s="61">
        <f>IF(ISRA!G13&lt;9,IF(ISRA!G13&gt;7,30,0),0)</f>
        <v>30</v>
      </c>
      <c r="Q7" s="61">
        <f>IF(ISRA!G14&lt;17,IF(ISRA!G14&gt;13,30,0),0)</f>
        <v>0</v>
      </c>
      <c r="R7" s="61">
        <f>IF(ISRA!G15=5,40,0)</f>
        <v>0</v>
      </c>
      <c r="S7" s="62"/>
    </row>
    <row r="8" spans="1:19" x14ac:dyDescent="0.25">
      <c r="A8" s="67"/>
      <c r="B8" s="60">
        <f>IF(ISRA!G7&lt;55,IF(ISRA!G7&gt;51,35,0),0)</f>
        <v>0</v>
      </c>
      <c r="C8" s="60">
        <f>IF(ISRA!G8&lt;25,IF(ISRA!G8&gt;22,35,0),0)</f>
        <v>0</v>
      </c>
      <c r="D8" s="60">
        <f>IF(ISRA!G9&lt;33,IF(ISRA!G9&gt;29,35,0),0)</f>
        <v>0</v>
      </c>
      <c r="E8" s="60">
        <f>IF(ISRA!G10&lt;122,IF(ISRA!G10&gt;111,35,0),0)</f>
        <v>0</v>
      </c>
      <c r="F8" s="60">
        <f>IF(ISRA!G12&lt;57,IF(ISRA!G12&gt;52,35,0),0)</f>
        <v>0</v>
      </c>
      <c r="G8" s="60">
        <f>IF(ISRA!G13&lt;11,IF(ISRA!G13&gt;9,35,0),0)</f>
        <v>0</v>
      </c>
      <c r="H8" s="60">
        <f>IF(ISRA!G14&lt;22,IF(ISRA!G14&gt;19,35,0),0)</f>
        <v>0</v>
      </c>
      <c r="I8" s="60">
        <f>IF(ISRA!G15=7,40,0)</f>
        <v>0</v>
      </c>
      <c r="J8" s="67"/>
      <c r="K8" s="61">
        <f>IF(ISRA!G7&lt;47,IF(ISRA!G7&gt;43,35,0),0)</f>
        <v>0</v>
      </c>
      <c r="L8" s="61">
        <f>IF(ISRA!G8&lt;20,IF(ISRA!G8&gt;18,35,0),0)</f>
        <v>0</v>
      </c>
      <c r="M8" s="61">
        <f>IF(ISRA!G9&lt;27,IF(ISRA!G9&gt;23,35,0),0)</f>
        <v>0</v>
      </c>
      <c r="N8" s="61">
        <f>IF(ISRA!G10&lt;97,IF(ISRA!G10&gt;87,35,0),0)</f>
        <v>0</v>
      </c>
      <c r="O8" s="61">
        <f>IF(ISRA!G12&lt;49,IF(ISRA!G12&gt;44,35,0),0)</f>
        <v>0</v>
      </c>
      <c r="P8" s="61">
        <f>IF(ISRA!G13&lt;10,IF(ISRA!G13&gt;8,35,0),0)</f>
        <v>0</v>
      </c>
      <c r="Q8" s="61">
        <f>IF(ISRA!G14&lt;19,IF(ISRA!G14&gt;16,35,0),0)</f>
        <v>0</v>
      </c>
      <c r="R8" s="61">
        <f>IF(ISRA!G15=6,45,0)</f>
        <v>0</v>
      </c>
      <c r="S8" s="62"/>
    </row>
    <row r="9" spans="1:19" x14ac:dyDescent="0.25">
      <c r="A9" s="67"/>
      <c r="B9" s="60">
        <f>IF(ISRA!G7&lt;59,IF(ISRA!G7&gt;54,40,0),0)</f>
        <v>0</v>
      </c>
      <c r="C9" s="60">
        <f>IF(ISRA!G8&lt;28,IF(ISRA!G8&gt;24,40,0),0)</f>
        <v>0</v>
      </c>
      <c r="D9" s="60">
        <f>IF(ISRA!G9&lt;36,IF(ISRA!G9&gt;32,40,0),0)</f>
        <v>0</v>
      </c>
      <c r="E9" s="60">
        <f>IF(ISRA!G10&lt;129,IF(ISRA!G10&gt;121,40,0),0)</f>
        <v>0</v>
      </c>
      <c r="F9" s="60">
        <f>IF(ISRA!G12&lt;60,IF(ISRA!G12&gt;56,40,0),0)</f>
        <v>0</v>
      </c>
      <c r="G9" s="60">
        <f>IF(ISRA!G13&lt;13,IF(ISRA!G13&gt;10,40,0),0)</f>
        <v>0</v>
      </c>
      <c r="H9" s="60">
        <f>IF(ISRA!G14&lt;25,IF(ISRA!G14&gt;21,40,0),0)</f>
        <v>0</v>
      </c>
      <c r="I9" s="60"/>
      <c r="J9" s="67"/>
      <c r="K9" s="61">
        <f>IF(ISRA!G7&lt;52,IF(ISRA!G7&gt;46,40,0),0)</f>
        <v>0</v>
      </c>
      <c r="L9" s="61">
        <f>IF(ISRA!G8&lt;23,IF(ISRA!G8&gt;19,40,0),0)</f>
        <v>0</v>
      </c>
      <c r="M9" s="61">
        <f>IF(ISRA!G9&lt;29,IF(ISRA!G9&gt;26,40,0),0)</f>
        <v>0</v>
      </c>
      <c r="N9" s="61">
        <f>IF(ISRA!G10&lt;106,IF(ISRA!G10&gt;96,40,0),0)</f>
        <v>0</v>
      </c>
      <c r="O9" s="61">
        <f>IF(ISRA!G12&lt;53,IF(ISRA!G12&gt;48,40,0),0)</f>
        <v>0</v>
      </c>
      <c r="P9" s="61">
        <f>IF(ISRA!G13&lt;12,IF(ISRA!G13&gt;9,40,0),0)</f>
        <v>0</v>
      </c>
      <c r="Q9" s="61">
        <f>IF(ISRA!G14&lt;21,IF(ISRA!G14&gt;18,40,0),0)</f>
        <v>0</v>
      </c>
      <c r="R9" s="61">
        <f>IF(ISRA!G15=7,50,0)</f>
        <v>0</v>
      </c>
      <c r="S9" s="62"/>
    </row>
    <row r="10" spans="1:19" x14ac:dyDescent="0.25">
      <c r="A10" s="67"/>
      <c r="B10" s="60">
        <f>IF(ISRA!G7&lt;64,IF(ISRA!G7&gt;58,45,0),0)</f>
        <v>45</v>
      </c>
      <c r="C10" s="60">
        <f>IF(ISRA!G8&lt;30,IF(ISRA!G8&gt;27,45,0),0)</f>
        <v>0</v>
      </c>
      <c r="D10" s="60">
        <f>IF(ISRA!G9&lt;39,IF(ISRA!G9&gt;35,45,0),0)</f>
        <v>0</v>
      </c>
      <c r="E10" s="60">
        <f>IF(ISRA!G10&lt;139,IF(ISRA!G10&gt;128,45,0),0)</f>
        <v>0</v>
      </c>
      <c r="F10" s="60">
        <f>IF(ISRA!G12&lt;65,IF(ISRA!G12&gt;59,45,0),0)</f>
        <v>0</v>
      </c>
      <c r="G10" s="60">
        <f>IF(ISRA!G13&lt;14,IF(ISRA!G13&gt;12,45,0),0)</f>
        <v>0</v>
      </c>
      <c r="H10" s="60">
        <f>IF(ISRA!G14&lt;28,IF(ISRA!G14&gt;24,45,0),0)</f>
        <v>0</v>
      </c>
      <c r="I10" s="60">
        <f>IF(ISRA!G15&lt;10,IF(ISRA!G15&gt;7,45,0),0)</f>
        <v>0</v>
      </c>
      <c r="J10" s="67"/>
      <c r="K10" s="61">
        <f>IF(ISRA!G7&lt;55,IF(ISRA!G7&gt;51,45,0),0)</f>
        <v>0</v>
      </c>
      <c r="L10" s="61">
        <f>IF(ISRA!G8&lt;26,IF(ISRA!G8&gt;22,45,0),0)</f>
        <v>0</v>
      </c>
      <c r="M10" s="61">
        <f>IF(ISRA!G9&lt;31,IF(ISRA!G9&gt;28,45,0),0)</f>
        <v>0</v>
      </c>
      <c r="N10" s="61">
        <f>IF(ISRA!G10&lt;115,IF(ISRA!G10&gt;105,45,0),0)</f>
        <v>0</v>
      </c>
      <c r="O10" s="61">
        <f>IF(ISRA!G12&lt;58,IF(ISRA!G12&gt;52,45,0),0)</f>
        <v>0</v>
      </c>
      <c r="P10" s="61">
        <f>IF(ISRA!G13&lt;13,IF(ISRA!G13&gt;11,45,0),0)</f>
        <v>0</v>
      </c>
      <c r="Q10" s="61">
        <f>IF(ISRA!G14&lt;23,IF(ISRA!G14&gt;20,45,0),0)</f>
        <v>0</v>
      </c>
      <c r="R10" s="61">
        <f>IF(ISRA!G15=8,55,0)</f>
        <v>0</v>
      </c>
      <c r="S10" s="62"/>
    </row>
    <row r="11" spans="1:19" x14ac:dyDescent="0.25">
      <c r="A11" s="67"/>
      <c r="B11" s="60">
        <f>IF(ISRA!G7&lt;67,IF(ISRA!G7&gt;63,50,0),0)</f>
        <v>0</v>
      </c>
      <c r="C11" s="60">
        <f>IF(ISRA!G8&lt;33,IF(ISRA!G8&gt;29,50,0),0)</f>
        <v>0</v>
      </c>
      <c r="D11" s="60">
        <f>IF(ISRA!G9&lt;43,IF(ISRA!G9&gt;38,50,0),0)</f>
        <v>0</v>
      </c>
      <c r="E11" s="60">
        <f>IF(ISRA!G10&lt;148,IF(ISRA!G10&gt;138,50,0),0)</f>
        <v>0</v>
      </c>
      <c r="F11" s="60">
        <f>IF(ISRA!G12&lt;69,IF(ISRA!G12&gt;64,50,0),0)</f>
        <v>0</v>
      </c>
      <c r="G11" s="60">
        <f>IF(ISRA!G13&lt;15,IF(ISRA!G13&gt;13,50,0),0)</f>
        <v>0</v>
      </c>
      <c r="H11" s="60">
        <f>IF(ISRA!G14&lt;31,IF(ISRA!G14&gt;27,50,0),0)</f>
        <v>0</v>
      </c>
      <c r="I11" s="60">
        <f>IF(ISRA!G15=10,50,0)</f>
        <v>0</v>
      </c>
      <c r="J11" s="67"/>
      <c r="K11" s="61">
        <f>IF(ISRA!G7&lt;60,IF(ISRA!G7&gt;54,50,0),0)</f>
        <v>0</v>
      </c>
      <c r="L11" s="61">
        <f>IF(ISRA!G8&lt;29,IF(ISRA!G8&gt;25,50,0),0)</f>
        <v>0</v>
      </c>
      <c r="M11" s="61">
        <f>IF(ISRA!G9&lt;35,IF(ISRA!G9&gt;30,50,0),0)</f>
        <v>0</v>
      </c>
      <c r="N11" s="61">
        <f>IF(ISRA!G10&lt;129,IF(ISRA!G10&gt;114,50,0),0)</f>
        <v>0</v>
      </c>
      <c r="O11" s="61">
        <f>IF(ISRA!G12&lt;64,IF(ISRA!G12&gt;57,50,0),0)</f>
        <v>0</v>
      </c>
      <c r="P11" s="61">
        <f>IF(ISRA!G13&lt;14,IF(ISRA!G13&gt;12,50,0),0)</f>
        <v>0</v>
      </c>
      <c r="Q11" s="61">
        <f>IF(ISRA!G14&lt;25,IF(ISRA!G14&gt;22,50,0),0)</f>
        <v>0</v>
      </c>
      <c r="R11" s="61">
        <f>IF(ISRA!G15=9,60,0)</f>
        <v>0</v>
      </c>
      <c r="S11" s="62"/>
    </row>
    <row r="12" spans="1:19" x14ac:dyDescent="0.25">
      <c r="A12" s="67"/>
      <c r="B12" s="60">
        <f>IF(ISRA!G7&lt;73,IF(ISRA!G7&gt;66,55,0),0)</f>
        <v>0</v>
      </c>
      <c r="C12" s="60">
        <f>IF(ISRA!G8&lt;37,IF(ISRA!G8&gt;32,55,0),0)</f>
        <v>0</v>
      </c>
      <c r="D12" s="60">
        <f>IF(ISRA!G9&lt;47,IF(ISRA!G9&gt;42,55,0),0)</f>
        <v>0</v>
      </c>
      <c r="E12" s="60">
        <f>IF(ISRA!G10&lt;154,IF(ISRA!G10&gt;147,55,0),0)</f>
        <v>0</v>
      </c>
      <c r="F12" s="60">
        <f>IF(ISRA!G12&lt;74,IF(ISRA!G12&gt;68,55,0),0)</f>
        <v>55</v>
      </c>
      <c r="G12" s="60">
        <f>IF(ISRA!G13&lt;17,IF(ISRA!G13&gt;14,55,0),0)</f>
        <v>0</v>
      </c>
      <c r="H12" s="60">
        <f>IF(ISRA!G14&lt;35,IF(ISRA!G14&gt;30,55,0),0)</f>
        <v>0</v>
      </c>
      <c r="I12" s="60">
        <f>IF(ISRA!G15&lt;13,IF(ISRA!G15&gt;10,55,0),0)</f>
        <v>0</v>
      </c>
      <c r="J12" s="67"/>
      <c r="K12" s="61">
        <f>IF(ISRA!G7&lt;67,IF(ISRA!G7&gt;59,55,0),0)</f>
        <v>55</v>
      </c>
      <c r="L12" s="61">
        <f>IF(ISRA!G8&lt;30,IF(ISRA!G8&gt;28,55,0),0)</f>
        <v>0</v>
      </c>
      <c r="M12" s="61">
        <f>IF(ISRA!G9&lt;41,IF(ISRA!G9&gt;34,55,0),0)</f>
        <v>0</v>
      </c>
      <c r="N12" s="61">
        <f>IF(ISRA!G10&lt;140,IF(ISRA!G10&gt;128,55,0),0)</f>
        <v>0</v>
      </c>
      <c r="O12" s="61">
        <f>IF(ISRA!G12&lt;67,IF(ISRA!G12&gt;63,55,0),0)</f>
        <v>0</v>
      </c>
      <c r="P12" s="61">
        <f>IF(ISRA!G13&lt;16,IF(ISRA!G13&gt;13,55,0),0)</f>
        <v>0</v>
      </c>
      <c r="Q12" s="61">
        <f>IF(ISRA!G14&lt;28,IF(ISRA!G14&gt;24,55,0),0)</f>
        <v>0</v>
      </c>
      <c r="R12" s="61">
        <f>IF(ISRA!G15&lt;12,IF(ISRA!G15&gt;9,65,0),0)</f>
        <v>0</v>
      </c>
      <c r="S12" s="62"/>
    </row>
    <row r="13" spans="1:19" x14ac:dyDescent="0.25">
      <c r="A13" s="67"/>
      <c r="B13" s="60">
        <f>IF(ISRA!G7&lt;78,IF(ISRA!G7&gt;72,60,0),0)</f>
        <v>0</v>
      </c>
      <c r="C13" s="60">
        <f>IF(ISRA!G8&lt;41,IF(ISRA!G8&gt;36,60,0),0)</f>
        <v>0</v>
      </c>
      <c r="D13" s="60">
        <f>IF(ISRA!G9&lt;50,IF(ISRA!G9&gt;46,60,0),0)</f>
        <v>0</v>
      </c>
      <c r="E13" s="60">
        <f>IF(ISRA!G10&lt;167,IF(ISRA!G10&gt;153,60,0),0)</f>
        <v>0</v>
      </c>
      <c r="F13" s="60">
        <f>IF(ISRA!G12&lt;78,IF(ISRA!G12&gt;73,60,0),0)</f>
        <v>0</v>
      </c>
      <c r="G13" s="60">
        <f>IF(ISRA!G13&lt;18,IF(ISRA!G13&gt;16,60,0),0)</f>
        <v>0</v>
      </c>
      <c r="H13" s="60">
        <f>IF(ISRA!G14&lt;40,IF(ISRA!G14&gt;34,60,0),0)</f>
        <v>0</v>
      </c>
      <c r="I13" s="60">
        <f>IF(ISRA!G15=13,60,0)</f>
        <v>0</v>
      </c>
      <c r="J13" s="67"/>
      <c r="K13" s="61">
        <f>IF(ISRA!G7&lt;71,IF(ISRA!G7&gt;66,60,0),0)</f>
        <v>0</v>
      </c>
      <c r="L13" s="61">
        <f>IF(ISRA!G8&lt;32,IF(ISRA!G8&gt;29,60,0),0)</f>
        <v>0</v>
      </c>
      <c r="M13" s="61">
        <f>IF(ISRA!G9&lt;46,IF(ISRA!G9&gt;40,60,0),0)</f>
        <v>0</v>
      </c>
      <c r="N13" s="61">
        <f>IF(ISRA!G10&lt;152,IF(ISRA!G10&gt;139,60,0),0)</f>
        <v>0</v>
      </c>
      <c r="O13" s="61">
        <f>IF(ISRA!G12&lt;72,IF(ISRA!G12&gt;66,60,0),0)</f>
        <v>60</v>
      </c>
      <c r="P13" s="61">
        <f>IF(ISRA!G13&lt;17,IF(ISRA!G13&gt;15,60,0),0)</f>
        <v>0</v>
      </c>
      <c r="Q13" s="61">
        <f>IF(ISRA!G14&lt;34,IF(ISRA!G14&gt;27,60,0),0)</f>
        <v>0</v>
      </c>
      <c r="R13" s="61">
        <f>IF(ISRA!G15&lt;13,IF(ISRA!G15&gt;11,70,0),0)</f>
        <v>0</v>
      </c>
      <c r="S13" s="62"/>
    </row>
    <row r="14" spans="1:19" x14ac:dyDescent="0.25">
      <c r="A14" s="67"/>
      <c r="B14" s="60">
        <f>IF(ISRA!G7&lt;84,IF(ISRA!G7&gt;77,65,0),0)</f>
        <v>0</v>
      </c>
      <c r="C14" s="60">
        <f>IF(ISRA!G8&lt;45,IF(ISRA!G8&gt;40,65,0),0)</f>
        <v>0</v>
      </c>
      <c r="D14" s="60">
        <f>IF(ISRA!G9&lt;55,IF(ISRA!G9&gt;49,65,0),0)</f>
        <v>0</v>
      </c>
      <c r="E14" s="60">
        <f>IF(ISRA!G10&lt;181,IF(ISRA!G10&gt;166,65,0),0)</f>
        <v>0</v>
      </c>
      <c r="F14" s="60">
        <f>IF(ISRA!G12&lt;84,IF(ISRA!G12&gt;77,65,0),0)</f>
        <v>0</v>
      </c>
      <c r="G14" s="60">
        <f>IF(ISRA!G13&lt;21,IF(ISRA!G13&gt;17,65,0),0)</f>
        <v>0</v>
      </c>
      <c r="H14" s="60">
        <f>IF(ISRA!G14&lt;43,IF(ISRA!G14&gt;39,65,0),0)</f>
        <v>0</v>
      </c>
      <c r="I14" s="60">
        <f>IF(ISRA!G15&lt;17,IF(ISRA!G15&gt;13,65,0),0)</f>
        <v>0</v>
      </c>
      <c r="J14" s="67"/>
      <c r="K14" s="61">
        <f>IF(ISRA!G7&lt;76,IF(ISRA!G7&gt;70,65,0),0)</f>
        <v>0</v>
      </c>
      <c r="L14" s="61">
        <f>IF(ISRA!G8&lt;36,IF(ISRA!G8&gt;31,65,0),0)</f>
        <v>0</v>
      </c>
      <c r="M14" s="61">
        <f>IF(ISRA!G9&lt;51,IF(ISRA!G9&gt;45,65,0),0)</f>
        <v>0</v>
      </c>
      <c r="N14" s="61">
        <f>IF(ISRA!G10&lt;165,IF(ISRA!G10&gt;151,65,0),0)</f>
        <v>0</v>
      </c>
      <c r="O14" s="61">
        <f>IF(ISRA!G12&lt;77,IF(ISRA!G12&gt;71,65,0),0)</f>
        <v>0</v>
      </c>
      <c r="P14" s="61">
        <f>IF(ISRA!G13&lt;19,IF(ISRA!G13&gt;16,65,0),0)</f>
        <v>0</v>
      </c>
      <c r="Q14" s="61">
        <f>IF(ISRA!G14&lt;37,IF(ISRA!G14&gt;33,65,0),0)</f>
        <v>0</v>
      </c>
      <c r="R14" s="61">
        <f>IF(ISRA!G15&lt;15,IF(ISRA!G15&gt;12,75,0),0)</f>
        <v>0</v>
      </c>
      <c r="S14" s="62"/>
    </row>
    <row r="15" spans="1:19" x14ac:dyDescent="0.25">
      <c r="A15" s="67"/>
      <c r="B15" s="60">
        <f>IF(ISRA!G7&lt;90,IF(ISRA!G7&gt;83,70,0),0)</f>
        <v>0</v>
      </c>
      <c r="C15" s="60">
        <f>IF(ISRA!G8&lt;49,IF(ISRA!G8&gt;44,70,0),0)</f>
        <v>0</v>
      </c>
      <c r="D15" s="60">
        <f>IF(ISRA!G9&lt;60,IF(ISRA!G9&gt;54,70,0),0)</f>
        <v>0</v>
      </c>
      <c r="E15" s="60">
        <f>IF(ISRA!G10&lt;194,IF(ISRA!G10&gt;180,70,0),0)</f>
        <v>0</v>
      </c>
      <c r="F15" s="60">
        <f>IF(ISRA!G12&lt;89,IF(ISRA!G12&gt;83,70,0),0)</f>
        <v>0</v>
      </c>
      <c r="G15" s="60">
        <f>IF(ISRA!G13&lt;23,IF(ISRA!G13&gt;20,70,0),0)</f>
        <v>0</v>
      </c>
      <c r="H15" s="60">
        <f>IF(ISRA!G14&lt;48,IF(ISRA!G14&gt;42,70,0),0)</f>
        <v>0</v>
      </c>
      <c r="I15" s="60">
        <f>IF(ISRA!G15&lt;19,IF(ISRA!G15&gt;16,70,0),0)</f>
        <v>0</v>
      </c>
      <c r="J15" s="67"/>
      <c r="K15" s="61">
        <f>IF(ISRA!G7&lt;80,IF(ISRA!G7&gt;75,70,0),0)</f>
        <v>0</v>
      </c>
      <c r="L15" s="61">
        <f>IF(ISRA!G8&lt;40,IF(ISRA!G8&gt;35,70,0),0)</f>
        <v>0</v>
      </c>
      <c r="M15" s="61">
        <f>IF(ISRA!G9&lt;59,IF(ISRA!G9&gt;50,70,0),0)</f>
        <v>0</v>
      </c>
      <c r="N15" s="61">
        <f>IF(ISRA!G10&lt;176,IF(ISRA!G10&gt;164,70,0),0)</f>
        <v>0</v>
      </c>
      <c r="O15" s="61">
        <f>IF(ISRA!G12&lt;82,IF(ISRA!G12&gt;76,70,0),0)</f>
        <v>0</v>
      </c>
      <c r="P15" s="61">
        <f>IF(ISRA!G13&lt;21,IF(ISRA!G13&gt;18,70,0),0)</f>
        <v>0</v>
      </c>
      <c r="Q15" s="61">
        <f>IF(ISRA!G14&lt;41,IF(ISRA!G14&gt;36,70,0),0)</f>
        <v>0</v>
      </c>
      <c r="R15" s="61">
        <f>IF(ISRA!G15&lt;18,IF(ISRA!G15&gt;14,80,0),0)</f>
        <v>0</v>
      </c>
      <c r="S15" s="62"/>
    </row>
    <row r="16" spans="1:19" x14ac:dyDescent="0.25">
      <c r="A16" s="67"/>
      <c r="B16" s="60">
        <f>IF(ISRA!G7&lt;94,IF(ISRA!G7&gt;89,75,0),0)</f>
        <v>0</v>
      </c>
      <c r="C16" s="60">
        <f>IF(ISRA!G8&lt;54,IF(ISRA!G8&gt;48,75,0),0)</f>
        <v>0</v>
      </c>
      <c r="D16" s="60">
        <f>IF(ISRA!G9&lt;65,IF(ISRA!G9&gt;59,75,0),0)</f>
        <v>0</v>
      </c>
      <c r="E16" s="60">
        <f>IF(ISRA!G10&lt;207,IF(ISRA!G10&gt;193,75,0),0)</f>
        <v>0</v>
      </c>
      <c r="F16" s="60">
        <f>IF(ISRA!G12&lt;94,IF(ISRA!G12&gt;88,75,0),0)</f>
        <v>0</v>
      </c>
      <c r="G16" s="60">
        <f>IF(ISRA!G13&lt;25,IF(ISRA!G13&gt;22,75,0),0)</f>
        <v>0</v>
      </c>
      <c r="H16" s="60">
        <f>IF(ISRA!G14&lt;53,IF(ISRA!G14&gt;47,75,0),0)</f>
        <v>0</v>
      </c>
      <c r="I16" s="60">
        <f>IF(ISRA!G15&lt;21,IF(ISRA!G15&gt;18,75,0),0)</f>
        <v>0</v>
      </c>
      <c r="J16" s="67"/>
      <c r="K16" s="61">
        <f>IF(ISRA!G7&lt;85,IF(ISRA!G7&gt;79,75,0),0)</f>
        <v>0</v>
      </c>
      <c r="L16" s="61">
        <f>IF(ISRA!G8&lt;45,IF(ISRA!G8&gt;39,75,0),0)</f>
        <v>0</v>
      </c>
      <c r="M16" s="61">
        <f>IF(ISRA!G9&lt;63,IF(ISRA!G9&gt;58,75,0),0)</f>
        <v>0</v>
      </c>
      <c r="N16" s="61">
        <f>IF(ISRA!G10&lt;186,IF(ISRA!G10&gt;175,75,0),0)</f>
        <v>0</v>
      </c>
      <c r="O16" s="61">
        <f>IF(ISRA!G12&lt;88,IF(ISRA!G12&gt;81,75,0),0)</f>
        <v>0</v>
      </c>
      <c r="P16" s="61">
        <f>IF(ISRA!G13&lt;23,IF(ISRA!G13&gt;20,75,0),0)</f>
        <v>0</v>
      </c>
      <c r="Q16" s="61">
        <f>IF(ISRA!G14&lt;45,IF(ISRA!G14&gt;40,75,0),0)</f>
        <v>0</v>
      </c>
      <c r="R16" s="61">
        <f>IF(ISRA!G15&lt;25,IF(ISRA!G15&gt;17,85,0),0)</f>
        <v>85</v>
      </c>
      <c r="S16" s="62"/>
    </row>
    <row r="17" spans="1:19" x14ac:dyDescent="0.25">
      <c r="A17" s="67"/>
      <c r="B17" s="60">
        <f>IF(ISRA!G7&lt;102,IF(ISRA!G7&gt;93,80,0),0)</f>
        <v>0</v>
      </c>
      <c r="C17" s="60">
        <f>IF(ISRA!G8&lt;64,IF(ISRA!G8&gt;53,80,0),0)</f>
        <v>80</v>
      </c>
      <c r="D17" s="60">
        <f>IF(ISRA!G9&lt;73,IF(ISRA!G9&gt;64,80,0),0)</f>
        <v>0</v>
      </c>
      <c r="E17" s="60">
        <f>IF(ISRA!G10&lt;223,IF(ISRA!G10&gt;206,80,0),0)</f>
        <v>80</v>
      </c>
      <c r="F17" s="60">
        <f>IF(ISRA!G12&lt;102,IF(ISRA!G12&gt;93,80,0),0)</f>
        <v>0</v>
      </c>
      <c r="G17" s="60">
        <f>IF(ISRA!G13&lt;29,IF(ISRA!G13&gt;24,80,0),0)</f>
        <v>0</v>
      </c>
      <c r="H17" s="60">
        <f>IF(ISRA!G14&lt;62,IF(ISRA!G14&gt;52,80,0),0)</f>
        <v>0</v>
      </c>
      <c r="I17" s="60">
        <f>IF(ISRA!G15&lt;24,IF(ISRA!G15&gt;20,80,0),0)</f>
        <v>80</v>
      </c>
      <c r="J17" s="67"/>
      <c r="K17" s="61">
        <f>IF(ISRA!G7&lt;91,IF(ISRA!G7&gt;84,80,0),0)</f>
        <v>0</v>
      </c>
      <c r="L17" s="61">
        <f>IF(ISRA!G8&lt;48,IF(ISRA!G8&gt;44,80,0),0)</f>
        <v>0</v>
      </c>
      <c r="M17" s="61">
        <f>IF(ISRA!G9&lt;69,IF(ISRA!G9&gt;62,80,0),0)</f>
        <v>0</v>
      </c>
      <c r="N17" s="61">
        <f>IF(ISRA!G10&lt;197,IF(ISRA!G10&gt;185,80,0),0)</f>
        <v>0</v>
      </c>
      <c r="O17" s="61">
        <f>IF(ISRA!G12&lt;92,IF(ISRA!G12&gt;87,80,0),0)</f>
        <v>0</v>
      </c>
      <c r="P17" s="61">
        <f>IF(ISRA!G13&lt;25,IF(ISRA!G13&gt;22,80,0),0)</f>
        <v>0</v>
      </c>
      <c r="Q17" s="61">
        <f>IF(ISRA!G14&lt;50,IF(ISRA!G14&gt;44,80,0),0)</f>
        <v>0</v>
      </c>
      <c r="R17" s="61">
        <f>IF(ISRA!G15&lt;35,IF(ISRA!G15&gt;24,90,0),0)</f>
        <v>0</v>
      </c>
      <c r="S17" s="62"/>
    </row>
    <row r="18" spans="1:19" x14ac:dyDescent="0.25">
      <c r="A18" s="67"/>
      <c r="B18" s="60">
        <f>IF(ISRA!G7&lt;117,IF(ISRA!G7&gt;101,85,0),0)</f>
        <v>0</v>
      </c>
      <c r="C18" s="60">
        <f>IF(ISRA!G8&lt;71,IF(ISRA!G8&gt;63,85,0),0)</f>
        <v>0</v>
      </c>
      <c r="D18" s="60">
        <f>IF(ISRA!G9&lt;82,IF(ISRA!G9&gt;72,85,0),0)</f>
        <v>0</v>
      </c>
      <c r="E18" s="60">
        <f>IF(ISRA!G10&lt;245,IF(ISRA!G10&gt;222,85,0),0)</f>
        <v>0</v>
      </c>
      <c r="F18" s="60">
        <f>IF(ISRA!G12&lt;113,IF(ISRA!G12&gt;101,85,0),0)</f>
        <v>0</v>
      </c>
      <c r="G18" s="60">
        <f>IF(ISRA!G13&lt;33,IF(ISRA!G13&gt;28,85,0),0)</f>
        <v>0</v>
      </c>
      <c r="H18" s="60">
        <f>IF(ISRA!G14&lt;72,IF(ISRA!G14&gt;61,85,0),0)</f>
        <v>85</v>
      </c>
      <c r="I18" s="60">
        <f>IF(ISRA!G15&lt;31,IF(ISRA!G15&gt;23,85,0),0)</f>
        <v>0</v>
      </c>
      <c r="J18" s="67"/>
      <c r="K18" s="61">
        <f>IF(ISRA!G7&lt;96,IF(ISRA!G7&gt;90,85,0),0)</f>
        <v>0</v>
      </c>
      <c r="L18" s="61">
        <f>IF(ISRA!G8&lt;53,IF(ISRA!G8&gt;47,85,0),0)</f>
        <v>0</v>
      </c>
      <c r="M18" s="61">
        <f>IF(ISRA!G9&lt;80,IF(ISRA!G9&gt;68,85,0),0)</f>
        <v>0</v>
      </c>
      <c r="N18" s="61">
        <f>IF(ISRA!G10&lt;211,IF(ISRA!G10&gt;196,85,0),0)</f>
        <v>0</v>
      </c>
      <c r="O18" s="61">
        <f>IF(ISRA!G12&lt;99,IF(ISRA!G12&gt;91,85,0),0)</f>
        <v>0</v>
      </c>
      <c r="P18" s="61">
        <f>IF(ISRA!G13&lt;28,IF(ISRA!G13&gt;24,85,0),0)</f>
        <v>0</v>
      </c>
      <c r="Q18" s="61">
        <f>IF(ISRA!G14&lt;60,IF(ISRA!G14&gt;49,85,0),0)</f>
        <v>0</v>
      </c>
      <c r="R18" s="61">
        <f>IF(ISRA!G15&lt;42,IF(ISRA!G15&gt;34,95,0),0)</f>
        <v>0</v>
      </c>
      <c r="S18" s="62"/>
    </row>
    <row r="19" spans="1:19" x14ac:dyDescent="0.25">
      <c r="A19" s="67"/>
      <c r="B19" s="60">
        <f>IF(ISRA!G7&lt;129,IF(ISRA!G7&gt;116,90,0),0)</f>
        <v>0</v>
      </c>
      <c r="C19" s="60">
        <f>IF(ISRA!G8&lt;94,IF(ISRA!G8&gt;70,90,0),0)</f>
        <v>0</v>
      </c>
      <c r="D19" s="60">
        <f>IF(ISRA!G9&lt;94,IF(ISRA!G9&gt;81,90,0),0)</f>
        <v>0</v>
      </c>
      <c r="E19" s="60">
        <f>IF(ISRA!G10&lt;299,IF(ISRA!G10&gt;244,90,0),0)</f>
        <v>0</v>
      </c>
      <c r="F19" s="60">
        <f>IF(ISRA!G12&lt;135,IF(ISRA!G12&gt;112,90,0),0)</f>
        <v>0</v>
      </c>
      <c r="G19" s="60">
        <f>IF(ISRA!G13&lt;42,IF(ISRA!G13&gt;32,90,0),0)</f>
        <v>0</v>
      </c>
      <c r="H19" s="60">
        <f>IF(ISRA!G14&lt;86,IF(ISRA!G14&gt;71,90,0),0)</f>
        <v>0</v>
      </c>
      <c r="I19" s="60">
        <f>IF(ISRA!G15&lt;41,IF(ISRA!G15&gt;30,90,0),0)</f>
        <v>0</v>
      </c>
      <c r="J19" s="67"/>
      <c r="K19" s="61">
        <f>IF(ISRA!G7&lt;109,IF(ISRA!G7&gt;95,90,0),0)</f>
        <v>0</v>
      </c>
      <c r="L19" s="61">
        <f>IF(ISRA!G8&lt;68,IF(ISRA!G8&gt;52,90,0),0)</f>
        <v>90</v>
      </c>
      <c r="M19" s="61">
        <f>IF(ISRA!G9&lt;94,IF(ISRA!G9&gt;79,90,0),0)</f>
        <v>0</v>
      </c>
      <c r="N19" s="61">
        <f>IF(ISRA!G10&lt;260,IF(ISRA!G10&gt;210,90,0),0)</f>
        <v>90</v>
      </c>
      <c r="O19" s="61">
        <f>IF(ISRA!G12&lt;108,IF(ISRA!G12&gt;98,90,0),0)</f>
        <v>0</v>
      </c>
      <c r="P19" s="61">
        <f>IF(ISRA!G13&lt;34,IF(ISRA!G13&gt;27,90,0),0)</f>
        <v>0</v>
      </c>
      <c r="Q19" s="61">
        <f>IF(ISRA!G14&lt;71,IF(ISRA!G14&gt;59,90,0),0)</f>
        <v>90</v>
      </c>
      <c r="R19" s="61">
        <f>IF(ISRA!G15&gt;41,99,0)</f>
        <v>0</v>
      </c>
      <c r="S19" s="62"/>
    </row>
    <row r="20" spans="1:19" x14ac:dyDescent="0.25">
      <c r="A20" s="67"/>
      <c r="B20" s="60">
        <f>IF(ISRA!G7&lt;164,IF(ISRA!G7&gt;128,95,0),0)</f>
        <v>0</v>
      </c>
      <c r="C20" s="60">
        <f>IF(ISRA!G8&lt;124,IF(ISRA!G8&gt;93,95,0),0)</f>
        <v>0</v>
      </c>
      <c r="D20" s="60">
        <f>IF(ISRA!G9&lt;121,IF(ISRA!G9&gt;93,95,0),0)</f>
        <v>95</v>
      </c>
      <c r="E20" s="60">
        <f>IF(ISRA!G10&lt;376,IF(ISRA!G10&gt;298,95,0),0)</f>
        <v>0</v>
      </c>
      <c r="F20" s="60">
        <f>IF(ISRA!G12&lt;155,IF(ISRA!G12&gt;134,95,0),0)</f>
        <v>0</v>
      </c>
      <c r="G20" s="60">
        <f>IF(ISRA!G13&lt;55,IF(ISRA!G13&gt;41,95,0),0)</f>
        <v>0</v>
      </c>
      <c r="H20" s="60">
        <f>IF(ISRA!G14&lt;124,IF(ISRA!G14&gt;85,95,0),0)</f>
        <v>0</v>
      </c>
      <c r="I20" s="60">
        <f>IF(ISRA!G15&lt;58,IF(ISRA!G15&gt;40,95,0),0)</f>
        <v>0</v>
      </c>
      <c r="J20" s="67"/>
      <c r="K20" s="61">
        <f>IF(ISRA!G7&lt;124,IF(ISRA!G7&gt;108,95,0),0)</f>
        <v>0</v>
      </c>
      <c r="L20" s="61">
        <f>IF(ISRA!G8&lt;84,IF(ISRA!G8&gt;67,95,0),0)</f>
        <v>0</v>
      </c>
      <c r="M20" s="61">
        <f>IF(ISRA!G9&lt;108,IF(ISRA!G9&gt;93,95,0),0)</f>
        <v>95</v>
      </c>
      <c r="N20" s="61">
        <f>IF(ISRA!G10&lt;296,IF(ISRA!G10&gt;259,95,0),0)</f>
        <v>0</v>
      </c>
      <c r="O20" s="61">
        <f>IF(ISRA!G12&lt;137,IF(ISRA!G12&gt;107,95,0),0)</f>
        <v>0</v>
      </c>
      <c r="P20" s="61">
        <f>IF(ISRA!G13&lt;45,IF(ISRA!G13&gt;33,95,0),0)</f>
        <v>0</v>
      </c>
      <c r="Q20" s="61">
        <f>IF(ISRA!G14&lt;90,IF(ISRA!G14&gt;70,95,0),0)</f>
        <v>0</v>
      </c>
      <c r="R20" s="61"/>
      <c r="S20" s="62"/>
    </row>
    <row r="21" spans="1:19" x14ac:dyDescent="0.25">
      <c r="A21" s="67"/>
      <c r="B21" s="60">
        <f>IF(ISRA!G7&gt;163,99,0)</f>
        <v>0</v>
      </c>
      <c r="C21" s="60">
        <f>IF(ISRA!G8&gt;123,99,0)</f>
        <v>0</v>
      </c>
      <c r="D21" s="60">
        <f>IF(ISRA!G9&gt;120,99,0)</f>
        <v>0</v>
      </c>
      <c r="E21" s="60">
        <f>IF(ISRA!G10&gt;375,99,0)</f>
        <v>0</v>
      </c>
      <c r="F21" s="60">
        <f>IF(ISRA!G12&gt;154,99,0)</f>
        <v>0</v>
      </c>
      <c r="G21" s="60">
        <f>IF(ISRA!G13&gt;54,99,0)</f>
        <v>0</v>
      </c>
      <c r="H21" s="60">
        <f>IF(ISRA!G14&gt;123,99,0)</f>
        <v>0</v>
      </c>
      <c r="I21" s="60">
        <f>IF(ISRA!G15&gt;57,99,0)</f>
        <v>0</v>
      </c>
      <c r="J21" s="67"/>
      <c r="K21" s="61">
        <f>IF(ISRA!G7&gt;123,99,0)</f>
        <v>0</v>
      </c>
      <c r="L21" s="61">
        <f>IF(ISRA!G8&gt;83,99,0)</f>
        <v>0</v>
      </c>
      <c r="M21" s="61">
        <f>IF(ISRA!G9&gt;107,99,0)</f>
        <v>0</v>
      </c>
      <c r="N21" s="61">
        <f>IF(ISRA!G10&gt;295,99,0)</f>
        <v>0</v>
      </c>
      <c r="O21" s="61">
        <f>IF(ISRA!G12&gt;136,99,0)</f>
        <v>0</v>
      </c>
      <c r="P21" s="61">
        <f>IF(ISRA!G13&gt;44,99,0)</f>
        <v>0</v>
      </c>
      <c r="Q21" s="61">
        <f>IF(ISRA!G14&gt;89,99,0)</f>
        <v>0</v>
      </c>
      <c r="R21" s="61"/>
      <c r="S21" s="62"/>
    </row>
    <row r="22" spans="1:19" x14ac:dyDescent="0.25">
      <c r="A22" s="63"/>
      <c r="B22" s="63">
        <f t="shared" ref="B22:I22" si="0">SUM(B2:B21)</f>
        <v>45</v>
      </c>
      <c r="C22" s="63">
        <f t="shared" si="0"/>
        <v>80</v>
      </c>
      <c r="D22" s="63">
        <f t="shared" si="0"/>
        <v>95</v>
      </c>
      <c r="E22" s="63">
        <f t="shared" si="0"/>
        <v>80</v>
      </c>
      <c r="F22" s="63">
        <f t="shared" si="0"/>
        <v>55</v>
      </c>
      <c r="G22" s="63">
        <f t="shared" si="0"/>
        <v>25</v>
      </c>
      <c r="H22" s="63">
        <f t="shared" si="0"/>
        <v>85</v>
      </c>
      <c r="I22" s="63">
        <f t="shared" si="0"/>
        <v>80</v>
      </c>
      <c r="J22" s="63"/>
      <c r="K22" s="63">
        <f t="shared" ref="K22:R22" si="1">SUM(K2:K21)</f>
        <v>55</v>
      </c>
      <c r="L22" s="63">
        <f t="shared" si="1"/>
        <v>90</v>
      </c>
      <c r="M22" s="63">
        <f t="shared" si="1"/>
        <v>95</v>
      </c>
      <c r="N22" s="63">
        <f t="shared" si="1"/>
        <v>90</v>
      </c>
      <c r="O22" s="63">
        <f t="shared" si="1"/>
        <v>60</v>
      </c>
      <c r="P22" s="63">
        <f t="shared" si="1"/>
        <v>30</v>
      </c>
      <c r="Q22" s="63">
        <f t="shared" si="1"/>
        <v>90</v>
      </c>
      <c r="R22" s="63">
        <f t="shared" si="1"/>
        <v>85</v>
      </c>
      <c r="S22" s="62"/>
    </row>
  </sheetData>
  <mergeCells count="2">
    <mergeCell ref="A1:A21"/>
    <mergeCell ref="J1:J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DISRA</vt:lpstr>
      <vt:lpstr>ISRA</vt:lpstr>
      <vt:lpstr>RESPUESTAS</vt:lpstr>
      <vt:lpstr>BAREMOS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Rocio Medina</cp:lastModifiedBy>
  <dcterms:modified xsi:type="dcterms:W3CDTF">2026-06-26T01:08:11Z</dcterms:modified>
</cp:coreProperties>
</file>